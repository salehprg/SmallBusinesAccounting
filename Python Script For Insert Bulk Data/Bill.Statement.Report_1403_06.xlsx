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صورت‌حساب" sheetId="1" r:id="rId4"/>
    <sheet state="visible" name="Cards" sheetId="2" r:id="rId5"/>
    <sheet state="visible" name="Final_Data" sheetId="3" r:id="rId6"/>
  </sheets>
  <definedNames/>
  <calcPr/>
</workbook>
</file>

<file path=xl/sharedStrings.xml><?xml version="1.0" encoding="utf-8"?>
<sst xmlns="http://schemas.openxmlformats.org/spreadsheetml/2006/main" count="4193" uniqueCount="1197">
  <si>
    <t>صورت‌حساب سپرده</t>
  </si>
  <si>
    <t>9316-888-1512735-1</t>
  </si>
  <si>
    <t xml:space="preserve">از 1404/06/01  -  00:00 تا 1404/06/31  -  23:59 </t>
  </si>
  <si>
    <t xml:space="preserve"> IR330560931688801512735001</t>
  </si>
  <si>
    <t>تاریخ ایجاد گزارش: 1404/08/16  -  22:29</t>
  </si>
  <si>
    <t>شعبه تهیه گزارش: اینترنت بانک</t>
  </si>
  <si>
    <t>ارز سپرده:</t>
  </si>
  <si>
    <t>ریال</t>
  </si>
  <si>
    <t>موجودی:</t>
  </si>
  <si>
    <t>موجودی قابل برداشت:</t>
  </si>
  <si>
    <t>مبلغ مسدودی:</t>
  </si>
  <si>
    <t>شناسه واریز:</t>
  </si>
  <si>
    <t>ترتیب تاریخ:</t>
  </si>
  <si>
    <t>صعودی</t>
  </si>
  <si>
    <t xml:space="preserve">نوع تراکنش: </t>
  </si>
  <si>
    <t>از  مبلغ:</t>
  </si>
  <si>
    <t>تا  مبلغ:</t>
  </si>
  <si>
    <t xml:space="preserve">یادداشت: </t>
  </si>
  <si>
    <t>ردیف</t>
  </si>
  <si>
    <t>تاریخ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</si>
  <si>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</si>
  <si>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</si>
  <si>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</si>
  <si>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</si>
  <si>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</si>
  <si>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</si>
  <si>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>شماره کارت</t>
  </si>
  <si>
    <t>شعبه</t>
  </si>
  <si>
    <t>شماره سند</t>
  </si>
  <si>
    <t>شماره برگه/شماره چک</t>
  </si>
  <si>
    <t>شناسه واریز</t>
  </si>
  <si>
    <t>یادداشت</t>
  </si>
  <si>
    <t>شماره پیگیری</t>
  </si>
  <si>
    <t>1404/06/01</t>
  </si>
  <si>
    <t>19:55:39</t>
  </si>
  <si>
    <t>انتقال وجه داخلي</t>
  </si>
  <si>
    <t>انتقال از اينترنت 00019041 سامان به ک 5029081028402846 ش م 523519935160 ش پ 935160</t>
  </si>
  <si>
    <t>مرکز عمليات کارت(880)</t>
  </si>
  <si>
    <t>40170202</t>
  </si>
  <si>
    <t>-</t>
  </si>
  <si>
    <t/>
  </si>
  <si>
    <t>کارمزد انتقال از اينترنت 00019041 سامان از ک 6219861085979838 ش م 523519935160 ش پ 935160</t>
  </si>
  <si>
    <t>1404/06/03</t>
  </si>
  <si>
    <t>17:05:45</t>
  </si>
  <si>
    <t>خريد کالا</t>
  </si>
  <si>
    <t>خريد کالا و خدمات از پايانه فروش 33562616 پرداخت الکترونيک سداد 2 از ک 6219861085979838 ش م 32846261</t>
  </si>
  <si>
    <t>40206053</t>
  </si>
  <si>
    <t>17:15:56</t>
  </si>
  <si>
    <t>خريد کالا و خدمات از پايانه فروش 14973164 پرداخت الکترونيک سامان1 از ک 6219861085979838 ش م 85385603</t>
  </si>
  <si>
    <t>30206405</t>
  </si>
  <si>
    <t>17:21:51</t>
  </si>
  <si>
    <t>خريد کالا و خدمات از پايانه فروش 03071227 کارت اعتباري ايران کيش از ک 6219861085979838 ش م 712272362</t>
  </si>
  <si>
    <t>40206095</t>
  </si>
  <si>
    <t>17:25:33</t>
  </si>
  <si>
    <t>انتقال از اينترنت 17592030 ملي از ک 6037998237030795 ش م 016876014170 ش پ 493899</t>
  </si>
  <si>
    <t>30206518</t>
  </si>
  <si>
    <t>18:17:33</t>
  </si>
  <si>
    <t>انتقال از اينترنت 02884325 ملت از ک 6104337385303662 ش م 166359185039 ش پ 185039</t>
  </si>
  <si>
    <t>30207513</t>
  </si>
  <si>
    <t>18:40:51</t>
  </si>
  <si>
    <t>انتقال از خودپرداز 45101693 تجارت - بين 2 به ک 6104338738476148 ش م 169323667249 ش پ 169359</t>
  </si>
  <si>
    <t>30207925</t>
  </si>
  <si>
    <t>کارمزد انتقال از خودپرداز 45101693 تجارت - بين 2 از ک 6219861085979838 ش م 169323667249 ش پ 169359</t>
  </si>
  <si>
    <t>18:41:18</t>
  </si>
  <si>
    <t>انتقال از خودپرداز 45101693 تجارت - بين 2 به ک 6274121208660688 ش م 169323667273 ش پ 169360</t>
  </si>
  <si>
    <t>30207938</t>
  </si>
  <si>
    <t>کارمزد انتقال از خودپرداز 45101693 تجارت - بين 2 از ک 6219861085979838 ش م 169323667273 ش پ 169360</t>
  </si>
  <si>
    <t>18:42:51</t>
  </si>
  <si>
    <t>انتقال از اينترنت 17592030 ملي از ک 6037998147282734 ش م 792004884415 ش پ 683232</t>
  </si>
  <si>
    <t>30207965</t>
  </si>
  <si>
    <t>18:51:32</t>
  </si>
  <si>
    <t>اعلام موجودي</t>
  </si>
  <si>
    <t>کارمزد مانده حساب از پايانه فروش 13444162 پرداخت الکترونيک سامان1 از ک 6219861085979838 ش م 85386013</t>
  </si>
  <si>
    <t>30208306</t>
  </si>
  <si>
    <t>20:32:32</t>
  </si>
  <si>
    <t>خريد کالا و خدمات از پايانه فروش 99085527 مبنا کارت آريا (اينفوتک) از ک 6219861085979838 ش م 1290173</t>
  </si>
  <si>
    <t>30211035</t>
  </si>
  <si>
    <t>20:38:37</t>
  </si>
  <si>
    <t>واريز قبوض</t>
  </si>
  <si>
    <t>پرداخت قبوض از پايانه فروش 13444162 پرداخت الکترونيک سامان1 از ک 6219861085979838 ش م 853865790585 ش</t>
  </si>
  <si>
    <t>30211114</t>
  </si>
  <si>
    <t>20:43:0</t>
  </si>
  <si>
    <t>پرداخت قبوض از پايانه فروش 13444162 پرداخت الکترونيک سامان1 از ک 6219861085979838 ش م 853865995250 ش</t>
  </si>
  <si>
    <t>30211157</t>
  </si>
  <si>
    <t>20:45:16</t>
  </si>
  <si>
    <t>کارمزد مانده حساب از پايانه فروش 13444162 پرداخت الکترونيک سامان1 از ک 6219861085979838 ش م 85386610</t>
  </si>
  <si>
    <t>40211373</t>
  </si>
  <si>
    <t>21:25:28</t>
  </si>
  <si>
    <t>انتقال از خودپرداز 45101693 تجارت - بين 2 به ک 5029081028402846 ش م 169323677124 ش پ 169379</t>
  </si>
  <si>
    <t>40212268</t>
  </si>
  <si>
    <t>کارمزد انتقال از خودپرداز 45101693 تجارت - بين 2 از ک 6219861085979838 ش م 169323677124 ش پ 169379</t>
  </si>
  <si>
    <t>21:26:27</t>
  </si>
  <si>
    <t>انتقال از خودپرداز 45101693 تجارت - بين 2 به ک 5859831103338371 ش م 169323677184 ش پ 169380</t>
  </si>
  <si>
    <t>40212276</t>
  </si>
  <si>
    <t>کارمزد انتقال از خودپرداز 45101693 تجارت - بين 2 از ک 6219861085979838 ش م 169323677184 ش پ 169380</t>
  </si>
  <si>
    <t>1404/06/04</t>
  </si>
  <si>
    <t>05:02:55</t>
  </si>
  <si>
    <t>انتقال وجه از طريق مدرن</t>
  </si>
  <si>
    <t>انتقال وجه موبايلت از سپرده 9316.888.1579090.1 ش.پ 00001756171975410758 - محمود ابراهيميان</t>
  </si>
  <si>
    <t>نيشابور(9316)</t>
  </si>
  <si>
    <t>50210715</t>
  </si>
  <si>
    <t>00001756171975410758</t>
  </si>
  <si>
    <t>12:14:51</t>
  </si>
  <si>
    <t>انتقال از اينترنت 00019001 قرض الحسنه مهر از ک 6063731022374301 ش م 523812906975 ش پ 906975</t>
  </si>
  <si>
    <t>30224976</t>
  </si>
  <si>
    <t>12:26:40</t>
  </si>
  <si>
    <t>انتقال از اينترنت 17592030 ملي از ک 6037997466532679 ش م 371161752158 ش پ 286173</t>
  </si>
  <si>
    <t>30225529</t>
  </si>
  <si>
    <t>12:39:27</t>
  </si>
  <si>
    <t>صدور سند انتقال</t>
  </si>
  <si>
    <t>انتقال وجه بلو بانک از شبا IR980560611828005162307101 ش.پ 14042376156530 - مريم طاهري شرق</t>
  </si>
  <si>
    <t>مرکزي(802)</t>
  </si>
  <si>
    <t>10225281</t>
  </si>
  <si>
    <t>17:52:0</t>
  </si>
  <si>
    <t>خريد کالا و خدمات از پايانه فروش 33562616 پرداخت الکترونيک سداد 2 از ک 6219861085979838 ش م 32847812</t>
  </si>
  <si>
    <t>40231839</t>
  </si>
  <si>
    <t>17:57:8</t>
  </si>
  <si>
    <t>خريد کالا و خدمات از پايانه فروش 10409379 پرداخت الکترونيک سامان1 از ک 6219861085979838 ش م 85388912</t>
  </si>
  <si>
    <t>30231706</t>
  </si>
  <si>
    <t>18:24:0</t>
  </si>
  <si>
    <t>انتقال از اينترنت 02884325 ملت از ک 6104338676737337 ش م 166408928391 ش پ 928391</t>
  </si>
  <si>
    <t>30232352</t>
  </si>
  <si>
    <t>19:03:27</t>
  </si>
  <si>
    <t>انتقال از خودپرداز 45101693 تجارت - بين 2 به ک 6037697609800401 ش م 169323768602 ش پ 169309</t>
  </si>
  <si>
    <t>30233351</t>
  </si>
  <si>
    <t>کارمزد انتقال از خودپرداز 45101693 تجارت - بين 2 از ک 6219861085979838 ش م 169323768602 ش پ 169309</t>
  </si>
  <si>
    <t>19:04:5</t>
  </si>
  <si>
    <t>انتقال از خودپرداز 45101693 تجارت - بين 2 به ک 6104338738476148 ش م 169323768641 ش پ 169310</t>
  </si>
  <si>
    <t>30233358</t>
  </si>
  <si>
    <t>کارمزد انتقال از خودپرداز 45101693 تجارت - بين 2 از ک 6219861085979838 ش م 169323768641 ش پ 169310</t>
  </si>
  <si>
    <t>19:04:52</t>
  </si>
  <si>
    <t>انتقال از خودپرداز 45101693 تجارت - بين 2 به ک 6037997381658112 ش م 169323768683 ش پ 169311</t>
  </si>
  <si>
    <t>30233364</t>
  </si>
  <si>
    <t>کارمزد انتقال از خودپرداز 45101693 تجارت - بين 2 از ک 6219861085979838 ش م 169323768683 ش پ 169311</t>
  </si>
  <si>
    <t>20:13:9</t>
  </si>
  <si>
    <t>انتقال از اينترنت I000MP01 تجارت - بين 2 از ک 5859831812791340 ش م 010736717775 ش پ 802625</t>
  </si>
  <si>
    <t>40235579</t>
  </si>
  <si>
    <t>20:14:22</t>
  </si>
  <si>
    <t>انتقال از اينترنت 00000200 ملت از ک 6104337348955376 ش م 166415994114 ش پ 994114</t>
  </si>
  <si>
    <t>40235594</t>
  </si>
  <si>
    <t>1404/06/05</t>
  </si>
  <si>
    <t>04:52:49</t>
  </si>
  <si>
    <t>انتقال وجه موبايلت از سپرده 9316.888.1579090.1 ش.پ 00001756257769554304 - محمود ابراهيميان</t>
  </si>
  <si>
    <t>20234793</t>
  </si>
  <si>
    <t>00001756257769554304</t>
  </si>
  <si>
    <t>10:17:7</t>
  </si>
  <si>
    <t>انتقال از اينترنت 00019001 ايران زمين از ک 5057851033294510 ش م 523910220312 ش پ 220312</t>
  </si>
  <si>
    <t>30247099</t>
  </si>
  <si>
    <t>11:23:47</t>
  </si>
  <si>
    <t xml:space="preserve">خريد کالا و خدمات از پايانه فروش 31143271 پرداخت نوين آرين از ک 6219861085979838 ش م 512780896197 ش </t>
  </si>
  <si>
    <t>30248922</t>
  </si>
  <si>
    <t>12:26:30</t>
  </si>
  <si>
    <t>انتقال از اينترنت 17592030 ملي از ک 6037991794272728 ش م 264295365709 ش پ 532112</t>
  </si>
  <si>
    <t>30250550</t>
  </si>
  <si>
    <t>13:27:46</t>
  </si>
  <si>
    <t>کارمزد مانده حساب از پايانه فروش 02263389 پرداخت الکترونيک سامان1 از ک 6219861085979838 ش م 85391406</t>
  </si>
  <si>
    <t>40252351</t>
  </si>
  <si>
    <t>17:58:46</t>
  </si>
  <si>
    <t>خريد کالا و خدمات از پايانه فروش 33562616 پرداخت الکترونيک سداد 2 از ک 6219861085979838 ش م 32849266</t>
  </si>
  <si>
    <t>30256686</t>
  </si>
  <si>
    <t>18:08:47</t>
  </si>
  <si>
    <t>خريد کالا و خدمات از پايانه فروش 14973164 پرداخت الکترونيک سامان1 از ک 6219861085979838 ش م 85392103</t>
  </si>
  <si>
    <t>30257010</t>
  </si>
  <si>
    <t>18:19:15</t>
  </si>
  <si>
    <t>خريد کالا و خدمات از پايانه فروش 03071227 کارت اعتباري ايران کيش از ک 6219861085979838 ش م 712272382</t>
  </si>
  <si>
    <t>30257138</t>
  </si>
  <si>
    <t>19:37:29</t>
  </si>
  <si>
    <t>انتقال از اينترنت 17592030 ملي از ک 6037998111666086 ش م 302739988248 ش پ 131806</t>
  </si>
  <si>
    <t>30259155</t>
  </si>
  <si>
    <t>20:38:7</t>
  </si>
  <si>
    <t xml:space="preserve">خريد کالا و خدمات از پايانه فروش 01959230 پرداخت نوين آرين از ک 6219861085979838 ش م 707330200125 ش </t>
  </si>
  <si>
    <t>30261254</t>
  </si>
  <si>
    <t>21:31:17</t>
  </si>
  <si>
    <t>کارمزد مانده حساب از پايانه فروش 13444162 پرداخت الکترونيک سامان1 از ک 6219861085979838 ش م 85393062</t>
  </si>
  <si>
    <t>30262490</t>
  </si>
  <si>
    <t>21:43:41</t>
  </si>
  <si>
    <t>انتقال از خودپرداز 45101693 تجارت - بين 2 به ک 6274121208660688 ش م 169323878218 ش پ 169353</t>
  </si>
  <si>
    <t>30262807</t>
  </si>
  <si>
    <t>کارمزد انتقال از خودپرداز 45101693 تجارت - بين 2 از ک 6219861085979838 ش م 169323878218 ش پ 169353</t>
  </si>
  <si>
    <t>21:44:15</t>
  </si>
  <si>
    <t>انتقال از خودپرداز 45101693 تجارت - بين 2 به ک 6037997272771941 ش م 169323878251 ش پ 169354</t>
  </si>
  <si>
    <t>40262667</t>
  </si>
  <si>
    <t>کارمزد انتقال از خودپرداز 45101693 تجارت - بين 2 از ک 6219861085979838 ش م 169323878251 ش پ 169354</t>
  </si>
  <si>
    <t>1404/06/06</t>
  </si>
  <si>
    <t>04:47:32</t>
  </si>
  <si>
    <t>انتقال وجه موبايلت از سپرده 9316.888.1579090.1 ش.پ 00001756343852165113 - محمود ابراهيميان</t>
  </si>
  <si>
    <t>50255382</t>
  </si>
  <si>
    <t>00001756343852165113</t>
  </si>
  <si>
    <t>05:10:6</t>
  </si>
  <si>
    <t>انتقال وجه موبايلت از سپرده 9316.888.1579090.1 ش.پ 00001756345205994391 - محمود ابراهيميان</t>
  </si>
  <si>
    <t>50255384</t>
  </si>
  <si>
    <t>00001756345205994391</t>
  </si>
  <si>
    <t>10:09:6</t>
  </si>
  <si>
    <t>پرداخت قبوض از خودپرداز 00212331 سپه از ک 6219861085979838 ش م 524010126840 ش پ 120075</t>
  </si>
  <si>
    <t>30271023</t>
  </si>
  <si>
    <t>10:47:26</t>
  </si>
  <si>
    <t>انتقال از اينترنت 00019041 سامان به ک 6219861083639228 ش م 524010704562 ش پ 704562</t>
  </si>
  <si>
    <t>40272043</t>
  </si>
  <si>
    <t>11:44:55</t>
  </si>
  <si>
    <t>انتقال از خودپرداز 00015708 سپه به ک 6104337394688681 ش م 524011600969 ش پ 600969</t>
  </si>
  <si>
    <t>30273341</t>
  </si>
  <si>
    <t>کارمزد انتقال از خودپرداز 00015708 سپه از ک 6219861085979838 ش م 524011600969 ش پ 600969</t>
  </si>
  <si>
    <t>13:28:27</t>
  </si>
  <si>
    <t>خريد کالا و خدمات از پايانه فروش 33590571 پرداخت الکترونيک سداد 2 از ک 6219861085979838 ش م 32850345</t>
  </si>
  <si>
    <t>40276776</t>
  </si>
  <si>
    <t>17:22:48</t>
  </si>
  <si>
    <t>خريد کالا و خدمات از پايانه فروش 33562616 پرداخت الکترونيک سداد 2 از ک 6219861085979838 ش م 32850564</t>
  </si>
  <si>
    <t>40280426</t>
  </si>
  <si>
    <t>19:14:0</t>
  </si>
  <si>
    <t>انتقال از اينترنت I000MP01 تجارت - بين 2 از ک 5859831193602801 ش م 859564651435 ش پ 625908</t>
  </si>
  <si>
    <t>40282743</t>
  </si>
  <si>
    <t>20:35:47</t>
  </si>
  <si>
    <t>کارمزد مانده حساب از پايانه فروش 13444162 پرداخت الکترونيک سامان1 از ک 6219861085979838 ش م 85395987</t>
  </si>
  <si>
    <t>30285005</t>
  </si>
  <si>
    <t>20:57:8</t>
  </si>
  <si>
    <t>انتقال از خودپرداز 45101693 تجارت - بين 2 به ک 6104338738476148 ش م 169323975426 ش پ 169348</t>
  </si>
  <si>
    <t>30285493</t>
  </si>
  <si>
    <t>کارمزد انتقال از خودپرداز 45101693 تجارت - بين 2 از ک 6219861085979838 ش م 169323975426 ش پ 169348</t>
  </si>
  <si>
    <t>20:57:45</t>
  </si>
  <si>
    <t>انتقال از خودپرداز 45101693 تجارت - بين 2 به ک 6277601326432075 ش م 169323975461 ش پ 169349</t>
  </si>
  <si>
    <t>40285382</t>
  </si>
  <si>
    <t>کارمزد انتقال از خودپرداز 45101693 تجارت - بين 2 از ک 6219861085979838 ش م 169323975461 ش پ 169349</t>
  </si>
  <si>
    <t>1404/06/07</t>
  </si>
  <si>
    <t>01:04:38</t>
  </si>
  <si>
    <t>مديريت سود سپرده- واريز علي الحساب</t>
  </si>
  <si>
    <t>سودعلي الحساب س-1-1512735-888-9316از1404/4/7تا1404/6/6</t>
  </si>
  <si>
    <t>50287815</t>
  </si>
  <si>
    <t>14:16:1</t>
  </si>
  <si>
    <t>انتقال وجه موبايلت از سپرده 9316.888.1579090.1 ش.پ 00001756464361919981 - محمود ابراهيميان</t>
  </si>
  <si>
    <t>50287894</t>
  </si>
  <si>
    <t>00001756464361919981</t>
  </si>
  <si>
    <t>1404/06/08</t>
  </si>
  <si>
    <t>08:42:51</t>
  </si>
  <si>
    <t>انتقال از اينترنت 17592030 ملي از ک 6037998219892063 ش م 044200650981 ش پ 127871</t>
  </si>
  <si>
    <t>30310130</t>
  </si>
  <si>
    <t>11:56:16</t>
  </si>
  <si>
    <t>خريد کالا و خدمات از پايانه فروش 33562616 پرداخت الکترونيک سداد 2 از ک 6219861085979838 ش م 32852484</t>
  </si>
  <si>
    <t>30316722</t>
  </si>
  <si>
    <t>12:01:19</t>
  </si>
  <si>
    <t>انتقال از اينترنت 00019001 قرض الحسنه مهر از ک 6063731229099057 ش م 524212806620 ش پ 806620</t>
  </si>
  <si>
    <t>30316816</t>
  </si>
  <si>
    <t>12:03:46</t>
  </si>
  <si>
    <t>خريد کالا و خدمات از پايانه فروش 33590571 پرداخت الکترونيک سداد 2 از ک 6219861085979838 ش م 32852507</t>
  </si>
  <si>
    <t>30316867</t>
  </si>
  <si>
    <t>12:39:19</t>
  </si>
  <si>
    <t>انتقال از اينترنت 17592030 ملي از ک 6037991942363080 ش م 175804111145 ش پ 488962</t>
  </si>
  <si>
    <t>30317941</t>
  </si>
  <si>
    <t>12:58:43</t>
  </si>
  <si>
    <t>انتقال از خودپرداز 45101693 تجارت - بين 2 به ک 6274121208660688 ش م 169324146714 ش پ 169328</t>
  </si>
  <si>
    <t>30318661</t>
  </si>
  <si>
    <t>کارمزد انتقال از خودپرداز 45101693 تجارت - بين 2 از ک 6219861085979838 ش م 169324146714 ش پ 169328</t>
  </si>
  <si>
    <t>12:59:15</t>
  </si>
  <si>
    <t>انتقال از خودپرداز 45101693 تجارت - بين 2 به ک 6104338738476148 ش م 169324146752 ش پ 169329</t>
  </si>
  <si>
    <t>30318675</t>
  </si>
  <si>
    <t>کارمزد انتقال از خودپرداز 45101693 تجارت - بين 2 از ک 6219861085979838 ش م 169324146752 ش پ 169329</t>
  </si>
  <si>
    <t>13:04:34</t>
  </si>
  <si>
    <t>کارمزد مانده حساب از پايانه فروش 13444162 پرداخت الکترونيک سامان1 از ک 6219861085979838 ش م 85400007</t>
  </si>
  <si>
    <t>40318803</t>
  </si>
  <si>
    <t>18:02:37</t>
  </si>
  <si>
    <t>انتقال از اينترنت 06590002 صادرات از ک 6037691590153474 ش م 221802368124 ش پ 128124</t>
  </si>
  <si>
    <t>30326477</t>
  </si>
  <si>
    <t>18:07:48</t>
  </si>
  <si>
    <t>انتقال از اينترنت 06590002 صادرات از ک 6037691590153474 ش م 221807489764 ش پ 129764</t>
  </si>
  <si>
    <t>30326543</t>
  </si>
  <si>
    <t>18:38:54</t>
  </si>
  <si>
    <t>انتقال از اينترنت 17592030 ملي از ک 6037998237030795 ش م 523559411291 ش پ 008961</t>
  </si>
  <si>
    <t>40327491</t>
  </si>
  <si>
    <t>19:01:53</t>
  </si>
  <si>
    <t>انتقال از اينترنت I000MP01 تجارت - بين 2 از ک 5859831190634039 ش م 602939484213 ش پ 605341</t>
  </si>
  <si>
    <t>40328448</t>
  </si>
  <si>
    <t>1404/06/09</t>
  </si>
  <si>
    <t>04:49:0</t>
  </si>
  <si>
    <t>انتقال وجه موبايلت از سپرده 9316.888.1579090.1 ش.پ 00001756603140856495 - محمود ابراهيميان</t>
  </si>
  <si>
    <t>50334819</t>
  </si>
  <si>
    <t>00001756603140856495</t>
  </si>
  <si>
    <t>07:47:25</t>
  </si>
  <si>
    <t>انتقال وجه موبايلت از سپرده 9316.888.1579090.1 ش.پ 00001756613845525853 - محمود ابراهيميان</t>
  </si>
  <si>
    <t>50334929</t>
  </si>
  <si>
    <t>00001756613845525853</t>
  </si>
  <si>
    <t>09:25:50</t>
  </si>
  <si>
    <t>انتقال از اينترنت 17592030 ملي از ک 6037997435518122 ش م 573857501254 ش پ 289970</t>
  </si>
  <si>
    <t>40340098</t>
  </si>
  <si>
    <t>11:10:45</t>
  </si>
  <si>
    <t>انتقال از اينترنت 130      پاسارگاد از ک 5022291559010713 ش م 061541352351 ش پ 403568</t>
  </si>
  <si>
    <t>30343057</t>
  </si>
  <si>
    <t>14:32:5</t>
  </si>
  <si>
    <t>انتقال وجه موبايلت به سپرده 9316.700.2465114.1 ش.پ 00001756638125004887-سيدمحمدعلي حامدحيدري</t>
  </si>
  <si>
    <t>20342176</t>
  </si>
  <si>
    <t>00001756638125004887</t>
  </si>
  <si>
    <t>17:15:13</t>
  </si>
  <si>
    <t>خريد کالا و خدمات از پايانه فروش 33562616 پرداخت الکترونيک سداد 2 از ک 6219861085979838 ش م 32854245</t>
  </si>
  <si>
    <t>40350829</t>
  </si>
  <si>
    <t>20:10:14</t>
  </si>
  <si>
    <t>انتقال از اينترنت 130      پاسارگاد از ک 5022291587757657 ش م 061559236255 ش پ 003391</t>
  </si>
  <si>
    <t>30355267</t>
  </si>
  <si>
    <t>20:32:0</t>
  </si>
  <si>
    <t>کارمزد مانده حساب از پايانه فروش 13444162 پرداخت الکترونيک سامان1 از ک 6219861085979838 ش م 85404650</t>
  </si>
  <si>
    <t>40355741</t>
  </si>
  <si>
    <t>21:00:56</t>
  </si>
  <si>
    <t>انتقال از خودپرداز 45101693 تجارت - بين 2 به ک 6274121208660688 ش م 169324275652 ش پ 169322</t>
  </si>
  <si>
    <t>30356600</t>
  </si>
  <si>
    <t>کارمزد انتقال از خودپرداز 45101693 تجارت - بين 2 از ک 6219861085979838 ش م 169324275652 ش پ 169322</t>
  </si>
  <si>
    <t>21:01:41</t>
  </si>
  <si>
    <t>انتقال از خودپرداز 45101693 تجارت - بين 2 به ک 6104338738476148 ش م 169324275697 ش پ 169323</t>
  </si>
  <si>
    <t>40356432</t>
  </si>
  <si>
    <t>کارمزد انتقال از خودپرداز 45101693 تجارت - بين 2 از ک 6219861085979838 ش م 169324275697 ش پ 169323</t>
  </si>
  <si>
    <t>21:02:19</t>
  </si>
  <si>
    <t>انتقال از خودپرداز 45101693 تجارت - بين 2 به ک 5894631178646402 ش م 169324275735 ش پ 169324</t>
  </si>
  <si>
    <t>40356435</t>
  </si>
  <si>
    <t>کارمزد انتقال از خودپرداز 45101693 تجارت - بين 2 از ک 6219861085979838 ش م 169324275735 ش پ 169324</t>
  </si>
  <si>
    <t>1404/06/10</t>
  </si>
  <si>
    <t>14:11:44</t>
  </si>
  <si>
    <t>انتقال وجه موبايلت از سپرده 9316.888.1579090.1 ش.پ 00001756723304522299 - محمود ابراهيميان</t>
  </si>
  <si>
    <t>10368349</t>
  </si>
  <si>
    <t>00001756723304522299</t>
  </si>
  <si>
    <t>1404/06/11</t>
  </si>
  <si>
    <t>10:34:25</t>
  </si>
  <si>
    <t xml:space="preserve">خريد کالا و خدمات از پايانه فروش 06126779 پرداخت نوين آرين از ک 6219861085979838 ش م 512856909249 ش </t>
  </si>
  <si>
    <t>40385889</t>
  </si>
  <si>
    <t>10:37:55</t>
  </si>
  <si>
    <t>خريد کالا و خدمات از پايانه فروش 33369450 پرداخت الکترونيک سداد 2 از ک 6219861085979838 ش م 32856235</t>
  </si>
  <si>
    <t>40385934</t>
  </si>
  <si>
    <t>12:16:31</t>
  </si>
  <si>
    <t>انتقال از اينترنت 00019022 سامان از ک 6219861805826798 ش م 524512417593 ش پ 417593</t>
  </si>
  <si>
    <t>40388793</t>
  </si>
  <si>
    <t>12:29:6</t>
  </si>
  <si>
    <t>انتقال از خودپرداز 45101693 تجارت - بين 2 به ک 6037697600840968 ش م 169324444943 ش پ 169391</t>
  </si>
  <si>
    <t>30389538</t>
  </si>
  <si>
    <t>کارمزد انتقال از خودپرداز 45101693 تجارت - بين 2 از ک 6219861085979838 ش م 169324444943 ش پ 169391</t>
  </si>
  <si>
    <t>12:32:35</t>
  </si>
  <si>
    <t>دستور پرداخت لحظه اي سمت متعهد</t>
  </si>
  <si>
    <t>انتقال وجه آني به شباIR540170000000200773662008به محمد شهريارپور ش.پ140406110563104433333</t>
  </si>
  <si>
    <t>مرکز عمليات مدرن(888)</t>
  </si>
  <si>
    <t>20388036</t>
  </si>
  <si>
    <t>صدور سند کارمزد_انتقالي از سپرده يا حساب مطالبات سپرده به حساب کارمزد بانک</t>
  </si>
  <si>
    <t>دريافت کارمزد بابت انتقال وجه از کانال هاي مدرن به شيوه لايت  از سپرده 9316.888.1512735.1-کارمزد دستور پرداخت سامانه پل</t>
  </si>
  <si>
    <t>20388037</t>
  </si>
  <si>
    <t>12:36:32</t>
  </si>
  <si>
    <t>انتقال از اينترنت 17592030 ملي از ک 6037997333052109 ش م 774399154310 ش پ 094276</t>
  </si>
  <si>
    <t>40389665</t>
  </si>
  <si>
    <t>13:01:8</t>
  </si>
  <si>
    <t>کارمزد مانده حساب از پايانه فروش 13444162 پرداخت الکترونيک سامان1 از ک 6219861085979838 ش م 85408921</t>
  </si>
  <si>
    <t>40390361</t>
  </si>
  <si>
    <t>13:16:29</t>
  </si>
  <si>
    <t>انتقال از اينترنت I000MP01 تجارت - بين 2 از ک 5859831063366115 ش م 226305083236 ش پ 896102</t>
  </si>
  <si>
    <t>40390756</t>
  </si>
  <si>
    <t>13:50:15</t>
  </si>
  <si>
    <t xml:space="preserve">خريد کالا و خدمات از پايانه فروش 31222115 پرداخت نوين آرين از ک 6219861085979838 ش م 512859848610 ش </t>
  </si>
  <si>
    <t>40391694</t>
  </si>
  <si>
    <t>19:49:30</t>
  </si>
  <si>
    <t>انتقال از اينترنت 17592030 ملي از ک 6037998244815204 ش م 500506043570 ش پ 593889</t>
  </si>
  <si>
    <t>30398294</t>
  </si>
  <si>
    <t>1404/06/12</t>
  </si>
  <si>
    <t>04:54:31</t>
  </si>
  <si>
    <t>انتقال وجه موبايلت از سپرده 9316.888.1579090.1 ش.پ 00001756862671960633 - محمود ابراهيميان</t>
  </si>
  <si>
    <t>10404513</t>
  </si>
  <si>
    <t>00001756862671960633</t>
  </si>
  <si>
    <t>05:11:31</t>
  </si>
  <si>
    <t>انتقال وجه موبايلت از سپرده 9316.888.1579090.1 ش.پ 00001756863691579920 - محمود ابراهيميان</t>
  </si>
  <si>
    <t>20396327</t>
  </si>
  <si>
    <t>00001756863691579920</t>
  </si>
  <si>
    <t>08:30:15</t>
  </si>
  <si>
    <t>انتقال از اينترنت 00019041 سامان به ک 5859831103338371 ش م 524608682022 ش پ 682022</t>
  </si>
  <si>
    <t>40407315</t>
  </si>
  <si>
    <t>کارمزد انتقال از اينترنت 00019041 سامان از ک 6219861085979838 ش م 524608682022 ش پ 682022</t>
  </si>
  <si>
    <t>09:04:0</t>
  </si>
  <si>
    <t>خريد کالا و خدمات از پايانه فروش 12260112 پرداخت الکترونيک سامان1 از ک 6219861085979838 ش م 85411192</t>
  </si>
  <si>
    <t>40407856</t>
  </si>
  <si>
    <t>09:18:30</t>
  </si>
  <si>
    <t xml:space="preserve">خريد کالا و خدمات از پايانه فروش 31143271 پرداخت نوين آرين از ک 6219861085979838 ش م 512869153929 ش </t>
  </si>
  <si>
    <t>30408065</t>
  </si>
  <si>
    <t>09:26:15</t>
  </si>
  <si>
    <t>خريد کالا و خدمات از پايانه فروش 06475498 به پرداخت ملت از ک 6219861085979838 ش م 318874691155 ش پ 6</t>
  </si>
  <si>
    <t>30408094</t>
  </si>
  <si>
    <t>09:51:41</t>
  </si>
  <si>
    <t>کارمزد مانده حساب از پايانه فروش 13444162 پرداخت الکترونيک سامان1 از ک 6219861085979838 ش م 85411316</t>
  </si>
  <si>
    <t>40409088</t>
  </si>
  <si>
    <t>09:59:53</t>
  </si>
  <si>
    <t>انتقال از خودپرداز 45101693 تجارت - بين 2 به ک 6274121208660688 ش م 169324535990 ش پ 169334</t>
  </si>
  <si>
    <t>30409246</t>
  </si>
  <si>
    <t>کارمزد انتقال از خودپرداز 45101693 تجارت - بين 2 از ک 6219861085979838 ش م 169324535990 ش پ 169334</t>
  </si>
  <si>
    <t>10:00:25</t>
  </si>
  <si>
    <t>انتقال از خودپرداز 45101693 تجارت - بين 2 به ک 6104338738476148 ش م 169324536022 ش پ 169335</t>
  </si>
  <si>
    <t>30409251</t>
  </si>
  <si>
    <t>کارمزد انتقال از خودپرداز 45101693 تجارت - بين 2 از ک 6219861085979838 ش م 169324536022 ش پ 169335</t>
  </si>
  <si>
    <t>17:50:42</t>
  </si>
  <si>
    <t>انتقال وجه موبايلت از سپرده 9316.800.1512735.1 ش.پ 00001756909242175423 - علي ابراهيميان</t>
  </si>
  <si>
    <t>10418125</t>
  </si>
  <si>
    <t>00001756909242175423</t>
  </si>
  <si>
    <t>17:51:20</t>
  </si>
  <si>
    <t>انتقال وجه آني به شباIR660120010000001523463677به محسن عاملي ش.پ140406120563104459518</t>
  </si>
  <si>
    <t>20412749</t>
  </si>
  <si>
    <t>20412750</t>
  </si>
  <si>
    <t>18:32:37</t>
  </si>
  <si>
    <t>انتقال از اينترنت I000MP01 تجارت - بين 2 از ک 5859831807160501 ش م 642008031486 ش پ 859262</t>
  </si>
  <si>
    <t>30420608</t>
  </si>
  <si>
    <t>21:38:20</t>
  </si>
  <si>
    <t>کارمزد مانده حساب از پايانه فروش 13444162 پرداخت الکترونيک سامان1 از ک 6219861085979838 ش م 85413746</t>
  </si>
  <si>
    <t>40425088</t>
  </si>
  <si>
    <t>21:48:49</t>
  </si>
  <si>
    <t>انتقال از خودپرداز 00015708 سپه به ک 5894631178646402 ش م 524621103151 ش پ 103151</t>
  </si>
  <si>
    <t>40425161</t>
  </si>
  <si>
    <t>کارمزد انتقال از خودپرداز 00015708 سپه از ک 6219861085979838 ش م 524621103151 ش پ 103151</t>
  </si>
  <si>
    <t>1404/06/13</t>
  </si>
  <si>
    <t>05:13:7</t>
  </si>
  <si>
    <t>انتقال وجه موبايلت از سپرده 9316.888.1579090.1 ش.پ 00001756950187500964 - محمود ابراهيميان</t>
  </si>
  <si>
    <t>20423097</t>
  </si>
  <si>
    <t>00001756950187500964</t>
  </si>
  <si>
    <t>05:13:57</t>
  </si>
  <si>
    <t>انتقال وجه موبايلت از سپرده 9316.888.1579090.1 ش.پ 00001756950237145989 - محمود ابراهيميان</t>
  </si>
  <si>
    <t>20423098</t>
  </si>
  <si>
    <t>00001756950237145989</t>
  </si>
  <si>
    <t>09:15:15</t>
  </si>
  <si>
    <t>خريد کالا و خدمات از پايانه فروش 33562616 پرداخت الکترونيک سداد 2 از ک 6219861085979838 ش م 32858905</t>
  </si>
  <si>
    <t>30432020</t>
  </si>
  <si>
    <t>09:26:30</t>
  </si>
  <si>
    <t>انتقال از خودپرداز 00016137 سپه به ک 6037697709482571 ش م 524709218890 ش پ 218890</t>
  </si>
  <si>
    <t>40431939</t>
  </si>
  <si>
    <t>کارمزد انتقال از خودپرداز 00016137 سپه از ک 6219861085979838 ش م 524709218890 ش پ 218890</t>
  </si>
  <si>
    <t>11:46:56</t>
  </si>
  <si>
    <t>انتقال از اينترنت 141      پاسارگاد از ک 5022291559163587 ش م 061663912799 ش پ 455997</t>
  </si>
  <si>
    <t>30436043</t>
  </si>
  <si>
    <t>13:53:3</t>
  </si>
  <si>
    <t>انتقال از اينترنت 00019041 سامان به ک 5029081028402846 ش م 524713822153 ش پ 822153</t>
  </si>
  <si>
    <t>40439169</t>
  </si>
  <si>
    <t>کارمزد انتقال از اينترنت 00019041 سامان از ک 6219861085979838 ش م 524713822153 ش پ 822153</t>
  </si>
  <si>
    <t>19:30:21</t>
  </si>
  <si>
    <t>انتقال از اينترنت 00019041 سامان به ک 6219861083639228 ش م 524719344893 ش پ 344893</t>
  </si>
  <si>
    <t>30444928</t>
  </si>
  <si>
    <t>19:47:3</t>
  </si>
  <si>
    <t>انتقال از اينترنت I000MP01 تجارت - بين 2 از ک 5859831044692845 ش م 592868017375 ش پ 937651</t>
  </si>
  <si>
    <t>40445371</t>
  </si>
  <si>
    <t>21:11:27</t>
  </si>
  <si>
    <t>کارمزد مانده حساب از پايانه فروش 13444162 پرداخت الکترونيک سامان1 از ک 6219861085979838 ش م 85416767</t>
  </si>
  <si>
    <t>30447790</t>
  </si>
  <si>
    <t>21:16:48</t>
  </si>
  <si>
    <t>انتقال از خودپرداز 45101693 تجارت - بين 2 به ک 6274121208660688 ش م 169324676605 ش پ 169399</t>
  </si>
  <si>
    <t>30447855</t>
  </si>
  <si>
    <t>کارمزد انتقال از خودپرداز 45101693 تجارت - بين 2 از ک 6219861085979838 ش م 169324676605 ش پ 169399</t>
  </si>
  <si>
    <t>21:28:36</t>
  </si>
  <si>
    <t>کارمزد مانده حساب از پايانه فروش 13444162 پرداخت الکترونيک سامان1 از ک 6219861085979838 ش م 85416826</t>
  </si>
  <si>
    <t>30448242</t>
  </si>
  <si>
    <t>1404/06/14</t>
  </si>
  <si>
    <t>13:53:54</t>
  </si>
  <si>
    <t>انتقال وجه موبايلت از سپرده 9316.888.1579090.1 ش.پ 00001757067834673511 - محمود ابراهيميان</t>
  </si>
  <si>
    <t>50448734</t>
  </si>
  <si>
    <t>00001757067834673511</t>
  </si>
  <si>
    <t>22:00:38</t>
  </si>
  <si>
    <t>انتقال از اينترنت 00019041 سامان به ک 6104338981389121 ش م 524822683212 ش پ 683212</t>
  </si>
  <si>
    <t>30464778</t>
  </si>
  <si>
    <t>کارمزد انتقال از اينترنت 00019041 سامان از ک 6219861085979838 ش م 524822683212 ش پ 683212</t>
  </si>
  <si>
    <t>22:01:43</t>
  </si>
  <si>
    <t>انتقال وجه موبايلت به سپرده 9316.800.1589675.1 ش.پ 00001757097103758711-امير حسين ابراهيميان</t>
  </si>
  <si>
    <t>20453593</t>
  </si>
  <si>
    <t>00001757097103758711</t>
  </si>
  <si>
    <t>1404/06/15</t>
  </si>
  <si>
    <t>10:25:58</t>
  </si>
  <si>
    <t>انتقال وجه</t>
  </si>
  <si>
    <t xml:space="preserve">انتقالي از 9316.888.1512735.1 به 9316.424.1-هزينه2 ص صورتحساب </t>
  </si>
  <si>
    <t>50468891</t>
  </si>
  <si>
    <t>12:27:13</t>
  </si>
  <si>
    <t>انتقال از اينترنت 00019001 ايران زمين از ک 5057851033134344 ش م 524912147602 ش پ 147602</t>
  </si>
  <si>
    <t>40476230</t>
  </si>
  <si>
    <t>16:21:0</t>
  </si>
  <si>
    <t>کارمزد مانده حساب از خودپرداز 86610020 ملي از ک 6219861085979838 ش م 758424858860 ش پ 758459</t>
  </si>
  <si>
    <t>40480812</t>
  </si>
  <si>
    <t>16:31:17</t>
  </si>
  <si>
    <t>انتقال از اينترنت 00019041 سامان به ک 6037697600840968 ش م 524916754619 ش پ 754619</t>
  </si>
  <si>
    <t>40480871</t>
  </si>
  <si>
    <t>کارمزد انتقال از اينترنت 00019041 سامان از ک 6219861085979838 ش م 524916754619 ش پ 754619</t>
  </si>
  <si>
    <t>19:07:2</t>
  </si>
  <si>
    <t>انتقال از اينترنت 17592030 ملي از ک 6037998207116723 ش م 007673128956 ش پ 580354</t>
  </si>
  <si>
    <t>40484190</t>
  </si>
  <si>
    <t>1404/06/16</t>
  </si>
  <si>
    <t>04:57:13</t>
  </si>
  <si>
    <t>انتقال وجه موبايلت از سپرده 9316.888.1579090.1 ش.پ 00001757208433269955 - محمود ابراهيميان</t>
  </si>
  <si>
    <t>20486155</t>
  </si>
  <si>
    <t>00001757208433269955</t>
  </si>
  <si>
    <t>08:44:0</t>
  </si>
  <si>
    <t>انتقال از خودپرداز 28450303 صادرات به ک 6274121208660688 ش م 0F1C74931435 ش پ 386814</t>
  </si>
  <si>
    <t>40494808</t>
  </si>
  <si>
    <t>کارمزد انتقال از خودپرداز 28450303 صادرات از ک 6219861085979838 ش م 0F1C74931435 ش پ 386814</t>
  </si>
  <si>
    <t>08:44:50</t>
  </si>
  <si>
    <t>انتقال از خودپرداز 28450303 صادرات به ک 6104338738476148 ش م 0F1C74931484 ش پ 386815</t>
  </si>
  <si>
    <t>40494822</t>
  </si>
  <si>
    <t>کارمزد انتقال از خودپرداز 28450303 صادرات از ک 6219861085979838 ش م 0F1C74931484 ش پ 386815</t>
  </si>
  <si>
    <t>08:45:49</t>
  </si>
  <si>
    <t>انتقال از خودپرداز 28450303 صادرات به ک 5894631178646402 ش م 0F1C74931546 ش پ 386816</t>
  </si>
  <si>
    <t>40494840</t>
  </si>
  <si>
    <t>کارمزد انتقال از خودپرداز 28450303 صادرات از ک 6219861085979838 ش م 0F1C74931546 ش پ 386816</t>
  </si>
  <si>
    <t>11:46:24</t>
  </si>
  <si>
    <t>انتقال از اينترنت 02884325 ملت از ک 6104338767073667 ش م 166915904398 ش پ 904398</t>
  </si>
  <si>
    <t>40500055</t>
  </si>
  <si>
    <t>19:14:52</t>
  </si>
  <si>
    <t>انتقال وجه بلو بانک از شبا IR040560611828006568148902 ش.پ 14042603170052 - مجتبي رجبي</t>
  </si>
  <si>
    <t>10506881</t>
  </si>
  <si>
    <t>21:06:30</t>
  </si>
  <si>
    <t>کارمزد مانده حساب از پايانه فروش 13444162 پرداخت الکترونيک سامان1 از ک 6219861085979838 ش م 85425280</t>
  </si>
  <si>
    <t>30512210</t>
  </si>
  <si>
    <t>21:24:31</t>
  </si>
  <si>
    <t>انتقال از خودپرداز 45101693 تجارت - بين 2 به ک 6219861076095867 ش م 169324977065 ش پ 169356</t>
  </si>
  <si>
    <t>30512444</t>
  </si>
  <si>
    <t>کارمزد انتقال از خودپرداز 45101693 تجارت - بين 2 از ک 6219861085979838 ش م 169324977065 ش پ 169356</t>
  </si>
  <si>
    <t>1404/06/17</t>
  </si>
  <si>
    <t>05:11:32</t>
  </si>
  <si>
    <t>انتقال وجه موبايلت از سپرده 9316.888.1579090.1 ش.پ 00001757295692432945 - محمود ابراهيميان</t>
  </si>
  <si>
    <t>50511283</t>
  </si>
  <si>
    <t>00001757295692432945</t>
  </si>
  <si>
    <t>08:21:13</t>
  </si>
  <si>
    <t>انتقال از خودپرداز 28450303 صادرات به ک 6037697600840968 ش م 0F1C75030069 ش پ 386883</t>
  </si>
  <si>
    <t>30518852</t>
  </si>
  <si>
    <t>کارمزد انتقال از خودپرداز 28450303 صادرات از ک 6219861085979838 ش م 0F1C75030069 ش پ 386883</t>
  </si>
  <si>
    <t>08:21:50</t>
  </si>
  <si>
    <t>انتقال از خودپرداز 28450303 صادرات به ک 6274121208660688 ش م 0F1C75030105 ش پ 386884</t>
  </si>
  <si>
    <t>40519031</t>
  </si>
  <si>
    <t>کارمزد انتقال از خودپرداز 28450303 صادرات از ک 6219861085979838 ش م 0F1C75030105 ش پ 386884</t>
  </si>
  <si>
    <t>11:36:40</t>
  </si>
  <si>
    <t>انتقال از اينترنت 19050022 صادرات از ک 6037697648955661 ش م 008890240491 ش پ 186681</t>
  </si>
  <si>
    <t>40523714</t>
  </si>
  <si>
    <t>11:50:47</t>
  </si>
  <si>
    <t>انتقال از اينترنت 17592030 ملي از ک 6037998156963273 ش م 112599432799 ش پ 510624</t>
  </si>
  <si>
    <t>30523913</t>
  </si>
  <si>
    <t>19:52:41</t>
  </si>
  <si>
    <t>انتقال از اينترنت 17592030 ملي از ک 6037998262889479 ش م 275508832359 ش پ 017330</t>
  </si>
  <si>
    <t>30533915</t>
  </si>
  <si>
    <t>1404/06/18</t>
  </si>
  <si>
    <t>04:51:15</t>
  </si>
  <si>
    <t>انتقال وجه موبايلت از سپرده 9316.888.1579090.1 ش.پ 00001757380875193268 - محمود ابراهيميان</t>
  </si>
  <si>
    <t>10540448</t>
  </si>
  <si>
    <t>00001757380875193268</t>
  </si>
  <si>
    <t>08:20:33</t>
  </si>
  <si>
    <t>انتقال وجه موبايلت به سپرده 9316.800.1512735.1 ش.پ 00001757393432990240-علي ابراهيميان</t>
  </si>
  <si>
    <t>50538445</t>
  </si>
  <si>
    <t>00001757393432990240</t>
  </si>
  <si>
    <t>08:21:23</t>
  </si>
  <si>
    <t>انتقال از اينترنت 00019041 سامان به ک 6037697600840968 ش م 525208840809 ش پ 840809</t>
  </si>
  <si>
    <t>40542501</t>
  </si>
  <si>
    <t>کارمزد انتقال از اينترنت 00019041 سامان از ک 6219861085979838 ش م 525208840809 ش پ 840809</t>
  </si>
  <si>
    <t>08:55:48</t>
  </si>
  <si>
    <t>انتقال از خودپرداز 28450303 صادرات به ک 6104338738476148 ش م 0F1C75132145 ش پ 386830</t>
  </si>
  <si>
    <t>40543260</t>
  </si>
  <si>
    <t>کارمزد انتقال از خودپرداز 28450303 صادرات از ک 6219861085979838 ش م 0F1C75132145 ش پ 386830</t>
  </si>
  <si>
    <t>08:56:20</t>
  </si>
  <si>
    <t>انتقال از خودپرداز 28450303 صادرات به ک 6274121208660688 ش م 0F1C75132176 ش پ 386831</t>
  </si>
  <si>
    <t>40543262</t>
  </si>
  <si>
    <t>کارمزد انتقال از خودپرداز 28450303 صادرات از ک 6219861085979838 ش م 0F1C75132176 ش پ 386831</t>
  </si>
  <si>
    <t>08:56:59</t>
  </si>
  <si>
    <t>انتقال از خودپرداز 28450303 صادرات به ک 5894631178646402 ش م 0F1C75132215 ش پ 386832</t>
  </si>
  <si>
    <t>30543103</t>
  </si>
  <si>
    <t>کارمزد انتقال از خودپرداز 28450303 صادرات از ک 6219861085979838 ش م 0F1C75132215 ش پ 386832</t>
  </si>
  <si>
    <t>12:19:7</t>
  </si>
  <si>
    <t>انتقال از اينترنت 00019041 سامان به ک 5859831103338371 ش م 525212207265 ش پ 207265</t>
  </si>
  <si>
    <t>40549066</t>
  </si>
  <si>
    <t>کارمزد انتقال از اينترنت 00019041 سامان از ک 6219861085979838 ش م 525212207265 ش پ 207265</t>
  </si>
  <si>
    <t>18:15:17</t>
  </si>
  <si>
    <t>انتقال از اينترنت 67777777 رفاه از ک 5894631231781055 ش م 757429106820 ش پ 920087</t>
  </si>
  <si>
    <t>40555357</t>
  </si>
  <si>
    <t>19:51:12</t>
  </si>
  <si>
    <t>انتقال وجه آني به شباIR020600302502514731969001به علي شادي ش.پ140406180563104565495</t>
  </si>
  <si>
    <t>50557209</t>
  </si>
  <si>
    <t>50557210</t>
  </si>
  <si>
    <t>1404/06/19</t>
  </si>
  <si>
    <t>14:07:57</t>
  </si>
  <si>
    <t>انتقال وجه موبايلت از سپرده 9316.888.1579090.1 ش.پ 00001757500677019924 - محمود ابراهيميان</t>
  </si>
  <si>
    <t>20562755</t>
  </si>
  <si>
    <t>00001757500677019924</t>
  </si>
  <si>
    <t>21:20:51</t>
  </si>
  <si>
    <t>انتقال از خودپرداز 45101693 تجارت - بين 2 به ک 6274121208660688 ش م 169325276848 ش پ 169301</t>
  </si>
  <si>
    <t>40580385</t>
  </si>
  <si>
    <t>کارمزد انتقال از خودپرداز 45101693 تجارت - بين 2 از ک 6219861085979838 ش م 169325276848 ش پ 169301</t>
  </si>
  <si>
    <t>21:21:15</t>
  </si>
  <si>
    <t>انتقال از خودپرداز 45101693 تجارت - بين 2 به ک 6104338738476148 ش م 169325276872 ش پ 169302</t>
  </si>
  <si>
    <t>40580399</t>
  </si>
  <si>
    <t>کارمزد انتقال از خودپرداز 45101693 تجارت - بين 2 از ک 6219861085979838 ش م 169325276872 ش پ 169302</t>
  </si>
  <si>
    <t>21:21:45</t>
  </si>
  <si>
    <t>انتقال از خودپرداز 45101693 تجارت - بين 2 به ک 5894631178646402 ش م 169325276902 ش پ 169303</t>
  </si>
  <si>
    <t>30580134</t>
  </si>
  <si>
    <t>کارمزد انتقال از خودپرداز 45101693 تجارت - بين 2 از ک 6219861085979838 ش م 169325276902 ش پ 169303</t>
  </si>
  <si>
    <t>22:27:39</t>
  </si>
  <si>
    <t>خريد کالا و خدمات از پايانه فروش 31209020 پرداخت الکترونيک سامان1 از ک 6219861085979838 ش م 85434691</t>
  </si>
  <si>
    <t>40581390</t>
  </si>
  <si>
    <t>1404/06/20</t>
  </si>
  <si>
    <t>04:52:56</t>
  </si>
  <si>
    <t>انتقال وجه موبايلت از سپرده 9316.888.1579090.1 ش.پ 00001757553776503184 - محمود ابراهيميان</t>
  </si>
  <si>
    <t>20574137</t>
  </si>
  <si>
    <t>00001757553776503184</t>
  </si>
  <si>
    <t>08:44:44</t>
  </si>
  <si>
    <t>انتقال از اينترنت 00019041 سامان به ک 6037697600840968 ش م 525408641803 ش پ 641803</t>
  </si>
  <si>
    <t>40586770</t>
  </si>
  <si>
    <t>کارمزد انتقال از اينترنت 00019041 سامان از ک 6219861085979838 ش م 525408641803 ش پ 641803</t>
  </si>
  <si>
    <t>09:01:19</t>
  </si>
  <si>
    <t>انتقال وجه آني به شباIR190170000000106408546000به محمد نجفي‌ ز‌اده‌ ش.پ140406200563104581588</t>
  </si>
  <si>
    <t>50586035</t>
  </si>
  <si>
    <t>50586036</t>
  </si>
  <si>
    <t>12:01:7</t>
  </si>
  <si>
    <t>انتقال از اينترنت 17592030 ملي از ک 6037997154145891 ش م 743457479560 ش پ 431824</t>
  </si>
  <si>
    <t>30591756</t>
  </si>
  <si>
    <t>20:29:58</t>
  </si>
  <si>
    <t>انتقال وجه بلو بانک از شبا IR220560611828006530033301 ش.پ 14042678407686 - حامد برمكي تربقان</t>
  </si>
  <si>
    <t>10601458</t>
  </si>
  <si>
    <t>1404/06/21</t>
  </si>
  <si>
    <t>16:17:34</t>
  </si>
  <si>
    <t>انتقال وجه موبايلت از سپرده 9316.888.1579090.1 ش.پ 00001757681254646121 - محمود ابراهيميان</t>
  </si>
  <si>
    <t>50607464</t>
  </si>
  <si>
    <t>00001757681254646121</t>
  </si>
  <si>
    <t>1404/06/22</t>
  </si>
  <si>
    <t>09:13:49</t>
  </si>
  <si>
    <t>کارمزد مانده حساب از پايانه فروش 13444162 پرداخت الکترونيک سامان1 از ک 6219861085979838 ش م 85440863</t>
  </si>
  <si>
    <t>40625849</t>
  </si>
  <si>
    <t>09:23:26</t>
  </si>
  <si>
    <t>انتقال از خودپرداز 45101693 تجارت - بين 2 به ک 5041721027695767 ش م 169325533802 ش پ 169362</t>
  </si>
  <si>
    <t>30626244</t>
  </si>
  <si>
    <t>کارمزد انتقال از خودپرداز 45101693 تجارت - بين 2 از ک 6219861085979838 ش م 169325533802 ش پ 169362</t>
  </si>
  <si>
    <t>09:23:53</t>
  </si>
  <si>
    <t>انتقال از خودپرداز 45101693 تجارت - بين 2 به ک 5894631178646402 ش م 169325533830 ش پ 169363</t>
  </si>
  <si>
    <t>30626256</t>
  </si>
  <si>
    <t>کارمزد انتقال از خودپرداز 45101693 تجارت - بين 2 از ک 6219861085979838 ش م 169325533830 ش پ 169363</t>
  </si>
  <si>
    <t>09:24:27</t>
  </si>
  <si>
    <t>انتقال از خودپرداز 45101693 تجارت - بين 2 به ک 6104338738476148 ش م 169325533865 ش پ 169364</t>
  </si>
  <si>
    <t>30626270</t>
  </si>
  <si>
    <t>کارمزد انتقال از خودپرداز 45101693 تجارت - بين 2 از ک 6219861085979838 ش م 169325533865 ش پ 169364</t>
  </si>
  <si>
    <t>09:24:54</t>
  </si>
  <si>
    <t>انتقال از خودپرداز 45101693 تجارت - بين 2 به ک 6274121208660688 ش م 169325533892 ش پ 169365</t>
  </si>
  <si>
    <t>40625905</t>
  </si>
  <si>
    <t>کارمزد انتقال از خودپرداز 45101693 تجارت - بين 2 از ک 6219861085979838 ش م 169325533892 ش پ 169365</t>
  </si>
  <si>
    <t>11:29:22</t>
  </si>
  <si>
    <t>انتقال از اينترنت 10002007 رفاه از ک 5894631110179074 ش م 055779090156 ش پ 647942</t>
  </si>
  <si>
    <t>30630264</t>
  </si>
  <si>
    <t>12:31:8</t>
  </si>
  <si>
    <t xml:space="preserve">خريد کالا و خدمات از پايانه فروش 11390779 پرداخت نوين آرين از ک 6219861085979838 ش م 707375684914 ش </t>
  </si>
  <si>
    <t>30631909</t>
  </si>
  <si>
    <t>12:38:54</t>
  </si>
  <si>
    <t>کارمزد مانده حساب از پايانه فروش 13444162 پرداخت الکترونيک سامان1 از ک 6219861085979838 ش م 85441645</t>
  </si>
  <si>
    <t>30632248</t>
  </si>
  <si>
    <t>13:07:5</t>
  </si>
  <si>
    <t>انتقال از اينترنت 00019041 سامان به ک 6221061103079648 ش م 525613538040 ش پ 538040</t>
  </si>
  <si>
    <t>30632997</t>
  </si>
  <si>
    <t>کارمزد انتقال از اينترنت 00019041 سامان از ک 6219861085979838 ش م 525613538040 ش پ 538040</t>
  </si>
  <si>
    <t>17:27:24</t>
  </si>
  <si>
    <t>خريد کالا و خدمات از پايانه فروش 33562616 پرداخت الکترونيک سداد 2 از ک 6219861085979838 ش م 32871279</t>
  </si>
  <si>
    <t>30637433</t>
  </si>
  <si>
    <t>17:44:34</t>
  </si>
  <si>
    <t>خريد کالا و خدمات از پايانه فروش 06475498 به پرداخت ملت از ک 6219861085979838 ش م 319970361600 ش پ 3</t>
  </si>
  <si>
    <t>40637807</t>
  </si>
  <si>
    <t>18:04:38</t>
  </si>
  <si>
    <t>کارمزد مانده حساب از پايانه فروش 13444162 پرداخت الکترونيک سامان1 از ک 6219861085979838 ش م 85442622</t>
  </si>
  <si>
    <t>40638182</t>
  </si>
  <si>
    <t>18:08:21</t>
  </si>
  <si>
    <t>خريد کالا و خدمات از پايانه فروش 01915828 آسان پرداخت پرشين از ک 6219861085979838 ش م 065707892025 ش</t>
  </si>
  <si>
    <t>40638466</t>
  </si>
  <si>
    <t>1404/06/23</t>
  </si>
  <si>
    <t>04:40:11</t>
  </si>
  <si>
    <t>انتقال وجه موبايلت از سپرده 9316.888.1579090.1 ش.پ 00001757812211201836 - محمود ابراهيميان</t>
  </si>
  <si>
    <t>20640949</t>
  </si>
  <si>
    <t>00001757812211201836</t>
  </si>
  <si>
    <t>04:53:26</t>
  </si>
  <si>
    <t>انتقال وجه موبايلت از سپرده 9316.888.1579090.1 ش.پ 00001757813006774565 - محمود ابراهيميان</t>
  </si>
  <si>
    <t>10647798</t>
  </si>
  <si>
    <t>00001757813006774565</t>
  </si>
  <si>
    <t>09:33:47</t>
  </si>
  <si>
    <t>خريد کالا و خدمات از پايانه فروش 66104410 مبنا کارت آريا (اينفوتک) از ک 6219861085979838 ش م 3007552</t>
  </si>
  <si>
    <t>30651458</t>
  </si>
  <si>
    <t>09:42:23</t>
  </si>
  <si>
    <t>خريد کالا و خدمات از پايانه فروش 10751540 پرداخت الکترونيک سامان1 از ک 6219861085979838 ش م 85444256</t>
  </si>
  <si>
    <t>40651747</t>
  </si>
  <si>
    <t>09:46:28</t>
  </si>
  <si>
    <t>خريد کالا و خدمات از پايانه فروش 06475498 به پرداخت ملت از ک 6219861085979838 ش م 320030024537 ش پ 0</t>
  </si>
  <si>
    <t>40651816</t>
  </si>
  <si>
    <t>10:45:40</t>
  </si>
  <si>
    <t>انتقال از اينترنت I000MP01 تجارت - بين 2 از ک 5859831184660420 ش م 367016226701 ش پ 789796</t>
  </si>
  <si>
    <t>40653538</t>
  </si>
  <si>
    <t>11:21:55</t>
  </si>
  <si>
    <t>کارمزد مانده حساب از پايانه فروش 13444162 پرداخت الکترونيک سامان1 از ک 6219861085979838 ش م 85444608</t>
  </si>
  <si>
    <t>40654843</t>
  </si>
  <si>
    <t>11:33:8</t>
  </si>
  <si>
    <t>انتقال از خودپرداز 45101693 تجارت - بين 2 به ک 6037701575716284 ش م 169325641585 ش پ 169374</t>
  </si>
  <si>
    <t>40655060</t>
  </si>
  <si>
    <t>کارمزد انتقال از خودپرداز 45101693 تجارت - بين 2 از ک 6219861085979838 ش م 169325641585 ش پ 169374</t>
  </si>
  <si>
    <t>11:33:39</t>
  </si>
  <si>
    <t>انتقال از خودپرداز 45101693 تجارت - بين 2 به ک 5894631178646402 ش م 169325641616 ش پ 169375</t>
  </si>
  <si>
    <t>40655079</t>
  </si>
  <si>
    <t>کارمزد انتقال از خودپرداز 45101693 تجارت - بين 2 از ک 6219861085979838 ش م 169325641616 ش پ 169375</t>
  </si>
  <si>
    <t>11:34:11</t>
  </si>
  <si>
    <t>انتقال از خودپرداز 45101693 تجارت - بين 2 به ک 6104338738476148 ش م 169325641649 ش پ 169376</t>
  </si>
  <si>
    <t>40655092</t>
  </si>
  <si>
    <t>کارمزد انتقال از خودپرداز 45101693 تجارت - بين 2 از ک 6219861085979838 ش م 169325641649 ش پ 169376</t>
  </si>
  <si>
    <t>12:56:15</t>
  </si>
  <si>
    <t>کارمزد مانده حساب از پايانه فروش 13444162 پرداخت الکترونيک سامان1 از ک 6219861085979838 ش م 85444979</t>
  </si>
  <si>
    <t>40657407</t>
  </si>
  <si>
    <t>13:18:1</t>
  </si>
  <si>
    <t>انتقال از خودپرداز 45101693 تجارت - بين 2 به ک 5029081028402846 ش م 169325647879 ش پ 169358</t>
  </si>
  <si>
    <t>40657980</t>
  </si>
  <si>
    <t>کارمزد انتقال از خودپرداز 45101693 تجارت - بين 2 از ک 6219861085979838 ش م 169325647879 ش پ 169358</t>
  </si>
  <si>
    <t>18:58:27</t>
  </si>
  <si>
    <t>انتقال از اينترنت 67777777 رفاه از ک 5894631178082228 ش م 863753015473 ش پ 778932</t>
  </si>
  <si>
    <t>40664528</t>
  </si>
  <si>
    <t>19:28:23</t>
  </si>
  <si>
    <t>انتقال از اينترنت 17592030 ملي از ک 6037998190920818 ش م 827253486262 ش پ 393314</t>
  </si>
  <si>
    <t>30665307</t>
  </si>
  <si>
    <t>19:51:57</t>
  </si>
  <si>
    <t>انتقال از خودپرداز 00360302 صادرات به ک 6037697600840968 ش م 083F75671515 ش پ 211138</t>
  </si>
  <si>
    <t>40665863</t>
  </si>
  <si>
    <t>کارمزد انتقال از خودپرداز 00360302 صادرات از ک 6219861085979838 ش م 083F75671515 ش پ 211138</t>
  </si>
  <si>
    <t>1404/06/24</t>
  </si>
  <si>
    <t>05:30:29</t>
  </si>
  <si>
    <t>انتقال وجه موبايلت از سپرده 9316.888.1579090.1 ش.پ 00001757901629479034 - محمود ابراهيميان</t>
  </si>
  <si>
    <t>10672900</t>
  </si>
  <si>
    <t>00001757901629479034</t>
  </si>
  <si>
    <t>08:56:45</t>
  </si>
  <si>
    <t>انتقال از اينترنت 00019041 سامان به ک 5029081028402846 ش م 525808253593 ش پ 253593</t>
  </si>
  <si>
    <t>40675159</t>
  </si>
  <si>
    <t>کارمزد انتقال از اينترنت 00019041 سامان از ک 6219861085979838 ش م 525808253593 ش پ 253593</t>
  </si>
  <si>
    <t>09:45:11</t>
  </si>
  <si>
    <t>خريد کالا و خدمات از پايانه فروش 31171365 پرداخت الکترونيک سامان1 از ک 6219861085979838 ش م 85447363</t>
  </si>
  <si>
    <t>40676361</t>
  </si>
  <si>
    <t>09:50:53</t>
  </si>
  <si>
    <t>خريد کالا و خدمات از پايانه فروش 14890167 پرداخت الکترونيک سامان1 از ک 6219861085979838 ش م 85447378</t>
  </si>
  <si>
    <t>40676463</t>
  </si>
  <si>
    <t>10:22:3</t>
  </si>
  <si>
    <t>انتقال از خودپرداز 45101693 تجارت - بين 2 به ک 6274121208660688 ش م 169325737320 ش پ 169311</t>
  </si>
  <si>
    <t>40677464</t>
  </si>
  <si>
    <t>کارمزد انتقال از خودپرداز 45101693 تجارت - بين 2 از ک 6219861085979838 ش م 169325737320 ش پ 169311</t>
  </si>
  <si>
    <t>10:22:35</t>
  </si>
  <si>
    <t>انتقال از خودپرداز 45101693 تجارت - بين 2 به ک 5894631178646402 ش م 169325737352 ش پ 169312</t>
  </si>
  <si>
    <t>30676965</t>
  </si>
  <si>
    <t>کارمزد انتقال از خودپرداز 45101693 تجارت - بين 2 از ک 6219861085979838 ش م 169325737352 ش پ 169312</t>
  </si>
  <si>
    <t>10:54:17</t>
  </si>
  <si>
    <t>کارمزد مانده حساب از پايانه فروش 13444162 پرداخت الکترونيک سامان1 از ک 6219861085979838 ش م 85447591</t>
  </si>
  <si>
    <t>40678500</t>
  </si>
  <si>
    <t>17:50:48</t>
  </si>
  <si>
    <t>خريد کالا و خدمات از پايانه فروش 06475498 به پرداخت ملت از ک 6219861085979838 ش م 320193302994 ش پ 3</t>
  </si>
  <si>
    <t>40687706</t>
  </si>
  <si>
    <t>19:55:9</t>
  </si>
  <si>
    <t>انتقال از اينترنت 17592030 ملي از ک 6037997307504895 ش م 680661574945 ش پ 029881</t>
  </si>
  <si>
    <t>40690876</t>
  </si>
  <si>
    <t>19:58:1</t>
  </si>
  <si>
    <t>کارمزد مانده حساب از پايانه فروش 13444162 پرداخت الکترونيک سامان1 از ک 6219861085979838 ش م 85449476</t>
  </si>
  <si>
    <t>40690919</t>
  </si>
  <si>
    <t>20:40:47</t>
  </si>
  <si>
    <t>انتقال از اينترنت 00019002 اقتصادنوين از ک 6274121202278347 ش م 999901359973 ش پ 359973</t>
  </si>
  <si>
    <t>30691986</t>
  </si>
  <si>
    <t>1404/06/25</t>
  </si>
  <si>
    <t>06:02:19</t>
  </si>
  <si>
    <t>انتقال وجه موبايلت از سپرده 9316.888.1579090.1 ش.پ 00001757989939837184 - محمود ابراهيميان</t>
  </si>
  <si>
    <t>10697512</t>
  </si>
  <si>
    <t>00001757989939837184</t>
  </si>
  <si>
    <t>10:24:55</t>
  </si>
  <si>
    <t>انتقال از اينترنت I000MP01 تجارت - بين 2 از ک 5859831842934894 ش م 833037064128 ش پ 971167</t>
  </si>
  <si>
    <t>30701917</t>
  </si>
  <si>
    <t>10:46:24</t>
  </si>
  <si>
    <t>خريد کالا و خدمات از پايانه فروش 23194229 پرداخت الکترونيک سداد 2 از ک 6219861085979838 ش م 32874882</t>
  </si>
  <si>
    <t>30702596</t>
  </si>
  <si>
    <t>10:47:1</t>
  </si>
  <si>
    <t>خريد کالا و خدمات از پايانه فروش 23194229 پرداخت الکترونيک سداد 2 از ک 6219861085979838 ش م 32874888</t>
  </si>
  <si>
    <t>40702682</t>
  </si>
  <si>
    <t>11:28:52</t>
  </si>
  <si>
    <t>کارمزد مانده حساب از پايانه فروش 13444162 پرداخت الکترونيک سامان1 از ک 6219861085979838 ش م 85450818</t>
  </si>
  <si>
    <t>40703902</t>
  </si>
  <si>
    <t>11:29:31</t>
  </si>
  <si>
    <t>کارمزد مانده حساب از پايانه فروش 13444162 پرداخت الکترونيک سامان1 از ک 6219861085979838 ش م 85450821</t>
  </si>
  <si>
    <t>30703784</t>
  </si>
  <si>
    <t>12:50:27</t>
  </si>
  <si>
    <t>خريد کالا و خدمات از پايانه فروش 98911250 تجارت الکترونيک پارسيان از ک 6219861085979838 ش م 74773839</t>
  </si>
  <si>
    <t>40706256</t>
  </si>
  <si>
    <t>19:26:55</t>
  </si>
  <si>
    <t>پرداخت قبوض از تلفن 00000013 پارسيان از ک 6219861085979838 ش م 757084980789 ش پ 729604</t>
  </si>
  <si>
    <t>40714119</t>
  </si>
  <si>
    <t>19:49:44</t>
  </si>
  <si>
    <t>انتقال وجه بلو بانک از شبا IR750560611828005619802001 ش.پ 14042767960072 - زهرا ابراهيم آبادي</t>
  </si>
  <si>
    <t>10713329</t>
  </si>
  <si>
    <t>20:19:31</t>
  </si>
  <si>
    <t>انتقال از اينترنت 130      پاسارگاد از ک 5022291593336132 ش م 062035080795 ش پ 046270</t>
  </si>
  <si>
    <t>40715348</t>
  </si>
  <si>
    <t>20:19:42</t>
  </si>
  <si>
    <t>انتقال از اينترنت 180      قرض الحسنه رسالت از ک 5041721237580106 ش م 029548668985 ش پ 552821</t>
  </si>
  <si>
    <t>30715192</t>
  </si>
  <si>
    <t>20:42:1</t>
  </si>
  <si>
    <t>انتقال از خودپرداز 45101693 تجارت - بين 2 به ک 5894631178646402 ش م 169325874517 ش پ 169358</t>
  </si>
  <si>
    <t>40715870</t>
  </si>
  <si>
    <t>کارمزد انتقال از خودپرداز 45101693 تجارت - بين 2 از ک 6219861085979838 ش م 169325874517 ش پ 169358</t>
  </si>
  <si>
    <t>20:42:27</t>
  </si>
  <si>
    <t>انتقال از خودپرداز 45101693 تجارت - بين 2 به ک 6104338738476148 ش م 169325874544 ش پ 169359</t>
  </si>
  <si>
    <t>30715574</t>
  </si>
  <si>
    <t>کارمزد انتقال از خودپرداز 45101693 تجارت - بين 2 از ک 6219861085979838 ش م 169325874544 ش پ 169359</t>
  </si>
  <si>
    <t>20:42:52</t>
  </si>
  <si>
    <t>انتقال از خودپرداز 45101693 تجارت - بين 2 به ک 6274121208660688 ش م 169325874570 ش پ 169360</t>
  </si>
  <si>
    <t>30715579</t>
  </si>
  <si>
    <t>کارمزد انتقال از خودپرداز 45101693 تجارت - بين 2 از ک 6219861085979838 ش م 169325874570 ش پ 169360</t>
  </si>
  <si>
    <t>22:02:21</t>
  </si>
  <si>
    <t>خريد کالا و خدمات از پايانه فروش 23979176 پرداخت الکترونيک سداد 2 از ک 6219861085979838 ش م 32875765</t>
  </si>
  <si>
    <t>40717304</t>
  </si>
  <si>
    <t>1404/06/26</t>
  </si>
  <si>
    <t>04:43:37</t>
  </si>
  <si>
    <t>انتقال وجه موبايلت از سپرده 9316.888.1579090.1 ش.پ 00001758071617432826 - محمود ابراهيميان</t>
  </si>
  <si>
    <t>50719213</t>
  </si>
  <si>
    <t>00001758071617432826</t>
  </si>
  <si>
    <t>04:54:53</t>
  </si>
  <si>
    <t>انتقال وجه موبايلت از سپرده 9316.888.1579090.1 ش.پ 00001758072293390985 - محمود ابراهيميان</t>
  </si>
  <si>
    <t>10721063</t>
  </si>
  <si>
    <t>00001758072293390985</t>
  </si>
  <si>
    <t>08:51:50</t>
  </si>
  <si>
    <t>خريد کالا و خدمات از پايانه فروش 33562616 پرداخت الکترونيک سداد 2 از ک 6219861085979838 ش م 32876108</t>
  </si>
  <si>
    <t>30723348</t>
  </si>
  <si>
    <t>09:38:17</t>
  </si>
  <si>
    <t>کارمزد مانده حساب از پايانه فروش 13444162 پرداخت الکترونيک سامان1 از ک 6219861085979838 ش م 85453546</t>
  </si>
  <si>
    <t>40724714</t>
  </si>
  <si>
    <t>12:49:55</t>
  </si>
  <si>
    <t>انتقال از خودپرداز 45101693 تجارت - بين 2 به ک 5859831103338371 ش م 169325946194 ش پ 169348</t>
  </si>
  <si>
    <t>40730397</t>
  </si>
  <si>
    <t>کارمزد انتقال از خودپرداز 45101693 تجارت - بين 2 از ک 6219861085979838 ش م 169325946194 ش پ 169348</t>
  </si>
  <si>
    <t>12:50:17</t>
  </si>
  <si>
    <t>انتقال از خودپرداز 45101693 تجارت - بين 2 به ک 5894631178646402 ش م 169325946214 ش پ 169349</t>
  </si>
  <si>
    <t>30730600</t>
  </si>
  <si>
    <t>کارمزد انتقال از خودپرداز 45101693 تجارت - بين 2 از ک 6219861085979838 ش م 169325946214 ش پ 169349</t>
  </si>
  <si>
    <t>12:50:40</t>
  </si>
  <si>
    <t>انتقال از خودپرداز 45101693 تجارت - بين 2 به ک 6274121208660688 ش م 169325946237 ش پ 169350</t>
  </si>
  <si>
    <t>30730606</t>
  </si>
  <si>
    <t>کارمزد انتقال از خودپرداز 45101693 تجارت - بين 2 از ک 6219861085979838 ش م 169325946237 ش پ 169350</t>
  </si>
  <si>
    <t>12:51:4</t>
  </si>
  <si>
    <t>انتقال از خودپرداز 45101693 تجارت - بين 2 به ک 6104338738476148 ش م 169325946262 ش پ 169351</t>
  </si>
  <si>
    <t>30730611</t>
  </si>
  <si>
    <t>کارمزد انتقال از خودپرداز 45101693 تجارت - بين 2 از ک 6219861085979838 ش م 169325946262 ش پ 169351</t>
  </si>
  <si>
    <t>19:13:21</t>
  </si>
  <si>
    <t>انتقال از اينترنت I000MP01 تجارت - بين 2 از ک 5859831168886793 ش م 741642343133 ش پ 589530</t>
  </si>
  <si>
    <t>40737873</t>
  </si>
  <si>
    <t>20:16:34</t>
  </si>
  <si>
    <t>انتقال از اينترنت 17592030 ملي از ک 6037998176433810 ش م 860588347578 ش پ 371791</t>
  </si>
  <si>
    <t>30739185</t>
  </si>
  <si>
    <t>1404/06/27</t>
  </si>
  <si>
    <t>04:53:3</t>
  </si>
  <si>
    <t>انتقال وجه موبايلت از سپرده 9316.888.1579090.1 ش.پ 00001758158583564041 - محمود ابراهيميان</t>
  </si>
  <si>
    <t>50742632</t>
  </si>
  <si>
    <t>00001758158583564041</t>
  </si>
  <si>
    <t>05:12:11</t>
  </si>
  <si>
    <t>انتقال وجه موبايلت از سپرده 9316.888.1579090.1 ش.پ 00001758159731863263 - محمود ابراهيميان</t>
  </si>
  <si>
    <t>10745372</t>
  </si>
  <si>
    <t>00001758159731863263</t>
  </si>
  <si>
    <t>17:54:33</t>
  </si>
  <si>
    <t>خريد کالا و خدمات از پايانه فروش 33562616 پرداخت الکترونيک سداد 2 از ک 6219861085979838 ش م 32878289</t>
  </si>
  <si>
    <t>30758906</t>
  </si>
  <si>
    <t>18:28:42</t>
  </si>
  <si>
    <t>کارمزد مانده حساب از پايانه فروش 02263389 پرداخت الکترونيک سامان1 از ک 6219861085979838 ش م 85458437</t>
  </si>
  <si>
    <t>40759698</t>
  </si>
  <si>
    <t>20:43:8</t>
  </si>
  <si>
    <t>انتقال از خودپرداز 45101693 تجارت - بين 2 به ک 5894631178646402 ش م 169326074586 ش پ 169367</t>
  </si>
  <si>
    <t>30763017</t>
  </si>
  <si>
    <t>کارمزد انتقال از خودپرداز 45101693 تجارت - بين 2 از ک 6219861085979838 ش م 169326074586 ش پ 169367</t>
  </si>
  <si>
    <t>20:43:41</t>
  </si>
  <si>
    <t>انتقال از خودپرداز 45101693 تجارت - بين 2 به ک 6274121208660688 ش م 169326074618 ش پ 169368</t>
  </si>
  <si>
    <t>40762979</t>
  </si>
  <si>
    <t>کارمزد انتقال از خودپرداز 45101693 تجارت - بين 2 از ک 6219861085979838 ش م 169326074618 ش پ 169368</t>
  </si>
  <si>
    <t>20:44:8</t>
  </si>
  <si>
    <t>انتقال از خودپرداز 45101693 تجارت - بين 2 به ک 6037697709482571 ش م 169326074644 ش پ 169369</t>
  </si>
  <si>
    <t>30763029</t>
  </si>
  <si>
    <t>کارمزد انتقال از خودپرداز 45101693 تجارت - بين 2 از ک 6219861085979838 ش م 169326074644 ش پ 169369</t>
  </si>
  <si>
    <t>20:44:38</t>
  </si>
  <si>
    <t>انتقال از خودپرداز 45101693 تجارت - بين 2 به ک 5894631178646402 ش م 169326074675 ش پ 169370</t>
  </si>
  <si>
    <t>30763042</t>
  </si>
  <si>
    <t>کارمزد انتقال از خودپرداز 45101693 تجارت - بين 2 از ک 6219861085979838 ش م 169326074675 ش پ 169370</t>
  </si>
  <si>
    <t>1404/06/28</t>
  </si>
  <si>
    <t>14:04:9</t>
  </si>
  <si>
    <t>انتقال وجه موبايلت از سپرده 9316.888.1579090.1 ش.پ 00001758278049061263 - محمود ابراهيميان</t>
  </si>
  <si>
    <t>10772004</t>
  </si>
  <si>
    <t>00001758278049061263</t>
  </si>
  <si>
    <t>1404/06/29</t>
  </si>
  <si>
    <t>10:10:13</t>
  </si>
  <si>
    <t>خريد کالا و خدمات از پايانه فروش 11702218 پرداخت الکترونيک سامان1 از ک 6219861085979838 ش م 85462313</t>
  </si>
  <si>
    <t>30787873</t>
  </si>
  <si>
    <t>10:31:0</t>
  </si>
  <si>
    <t>خريد کالا و خدمات از پايانه فروش 06475498 به پرداخت ملت از ک 6219861085979838 ش م 320669346311 ش پ 3</t>
  </si>
  <si>
    <t>40788518</t>
  </si>
  <si>
    <t>11:51:3</t>
  </si>
  <si>
    <t>انتقال از اينترنت 17592030 ملي از ک 6037998268673539 ش م 233527066905 ش پ 032491</t>
  </si>
  <si>
    <t>30791271</t>
  </si>
  <si>
    <t>13:27:24</t>
  </si>
  <si>
    <t>کارمزد مانده حساب از پايانه فروش 13444162 پرداخت الکترونيک سامان1 از ک 6219861085979838 ش م 85463131</t>
  </si>
  <si>
    <t>40794051</t>
  </si>
  <si>
    <t>17:38:31</t>
  </si>
  <si>
    <t>خريد کالا و خدمات از پايانه فروش 33562616 پرداخت الکترونيک سداد 2 از ک 6219861085979838 ش م 32880690</t>
  </si>
  <si>
    <t>40797814</t>
  </si>
  <si>
    <t>17:47:38</t>
  </si>
  <si>
    <t xml:space="preserve">خريد کالا و خدمات از پايانه فروش 31143271 پرداخت نوين آرين از ک 6219861085979838 ش م 513095589151 ش </t>
  </si>
  <si>
    <t>40797911</t>
  </si>
  <si>
    <t>19:41:16</t>
  </si>
  <si>
    <t>انتقال از اينترنت I000MP01 تجارت - بين 2 از ک 5859831141763309 ش م 549227121891 ش پ 748555</t>
  </si>
  <si>
    <t>40800941</t>
  </si>
  <si>
    <t>21:33:55</t>
  </si>
  <si>
    <t>کارمزد مانده حساب از پايانه فروش 13444162 پرداخت الکترونيک سامان1 از ک 6219861085979838 ش م 85464918</t>
  </si>
  <si>
    <t>40803735</t>
  </si>
  <si>
    <t>21:38:19</t>
  </si>
  <si>
    <t>انتقال از خودپرداز 45101693 تجارت - بين 2 به ک 6104338738476148 ش م 169326277897 ش پ 169331</t>
  </si>
  <si>
    <t>40804003</t>
  </si>
  <si>
    <t>کارمزد انتقال از خودپرداز 45101693 تجارت - بين 2 از ک 6219861085979838 ش م 169326277897 ش پ 169331</t>
  </si>
  <si>
    <t>21:39:4</t>
  </si>
  <si>
    <t>انتقال از خودپرداز 45101693 تجارت - بين 2 به ک 6280238033262159 ش م 169326277941 ش پ 169332</t>
  </si>
  <si>
    <t>30803834</t>
  </si>
  <si>
    <t>کارمزد انتقال از خودپرداز 45101693 تجارت - بين 2 از ک 6219861085979838 ش م 169326277941 ش پ 169332</t>
  </si>
  <si>
    <t>1404/06/30</t>
  </si>
  <si>
    <t>05:30:32</t>
  </si>
  <si>
    <t>انتقال وجه موبايلت از سپرده 9316.888.1579090.1 ش.پ 00001758420032442448 - محمود ابراهيميان</t>
  </si>
  <si>
    <t>50807802</t>
  </si>
  <si>
    <t>00001758420032442448</t>
  </si>
  <si>
    <t>08:44:1</t>
  </si>
  <si>
    <t>خريد کالا و خدمات از پايانه فروش 33562616 پرداخت الکترونيک سداد 2 از ک 6219861085979838 ش م 32881319</t>
  </si>
  <si>
    <t>30809916</t>
  </si>
  <si>
    <t>10:11:42</t>
  </si>
  <si>
    <t>خريد کالا و خدمات از اينترنت 14930422 پرداخت الکترونيک سامان1 از ک 6219861085979838 ش م 223889208822</t>
  </si>
  <si>
    <t>30811507</t>
  </si>
  <si>
    <t>10:12:25</t>
  </si>
  <si>
    <t>خريد کالا و خدمات از پايانه فروش 12747825 پرداخت الکترونيک سامان1 از ک 6219861085979838 ش م 85465646</t>
  </si>
  <si>
    <t>40812281</t>
  </si>
  <si>
    <t>10:48:6</t>
  </si>
  <si>
    <t>انتقال از اينترنت 10002002 رفاه از ک 5894631136109329 ش م 690195534924 ش پ 493970</t>
  </si>
  <si>
    <t>30812886</t>
  </si>
  <si>
    <t>11:13:42</t>
  </si>
  <si>
    <t>انتقال از اينترنت 17592030 ملي از ک 6037997153050548 ش م 928713709587 ش پ 207109</t>
  </si>
  <si>
    <t>40813962</t>
  </si>
  <si>
    <t>11:24:57</t>
  </si>
  <si>
    <t>دستور پرداخت لحظه اي سمت ذينفع</t>
  </si>
  <si>
    <t>انتقال وجه آني از شباIR210190000000217631272004از ابراهيميان علي ش.پ140406300193346700368112456</t>
  </si>
  <si>
    <t>مديريت حسابداري و خزانه داري(475)</t>
  </si>
  <si>
    <t>50811937</t>
  </si>
  <si>
    <t>11:31:2</t>
  </si>
  <si>
    <t>خريد کالا و خدمات از پايانه فروش 23194229 پرداخت الکترونيک سداد 2 از ک 6219861085979838 ش م 32881583</t>
  </si>
  <si>
    <t>40814501</t>
  </si>
  <si>
    <t>11:31:46</t>
  </si>
  <si>
    <t>خريد کالا و خدمات از پايانه فروش 23194229 پرداخت الکترونيک سداد 2 از ک 6219861085979838 ش م 32881589</t>
  </si>
  <si>
    <t>40814513</t>
  </si>
  <si>
    <t>11:32:12</t>
  </si>
  <si>
    <t>خريد کالا و خدمات از پايانه فروش 23194229 پرداخت الکترونيک سداد 2 از ک 6219861085979838 ش م 32881606</t>
  </si>
  <si>
    <t>40814523</t>
  </si>
  <si>
    <t>11:33:2</t>
  </si>
  <si>
    <t>خريد کالا و خدمات از پايانه فروش 23194229 پرداخت الکترونيک سداد 2 از ک 6219861085979838 ش م 32881596</t>
  </si>
  <si>
    <t>40814536</t>
  </si>
  <si>
    <t>11:33:48</t>
  </si>
  <si>
    <t>40814551</t>
  </si>
  <si>
    <t>11:34:25</t>
  </si>
  <si>
    <t>40814562</t>
  </si>
  <si>
    <t>11:51:33</t>
  </si>
  <si>
    <t>کارمزد مانده حساب از پايانه فروش 13444162 پرداخت الکترونيک سامان1 از ک 6219861085979838 ش م 85466056</t>
  </si>
  <si>
    <t>30814653</t>
  </si>
  <si>
    <t>11:55:24</t>
  </si>
  <si>
    <t>انتقال وجه آني به شباIR270190000000101536120004به ‌علي‌ ‌اکبر دوستي‌ ش.پ140406300563104756992</t>
  </si>
  <si>
    <t>50811994</t>
  </si>
  <si>
    <t>بالت قسمتي از بدهي آقاي محمود الرا</t>
  </si>
  <si>
    <t>50811995</t>
  </si>
  <si>
    <t>12:46:3</t>
  </si>
  <si>
    <t>کارمزد مانده حساب از پايانه فروش 13444162 پرداخت الکترونيک سامان1 از ک 6219861085979838 ش م 85466283</t>
  </si>
  <si>
    <t>40816944</t>
  </si>
  <si>
    <t>13:02:40</t>
  </si>
  <si>
    <t>انتقال از خودپرداز 45101693 تجارت - بين 2 به ک 6104338738476148 ش م 169326346957 ش پ 169363</t>
  </si>
  <si>
    <t>40817493</t>
  </si>
  <si>
    <t>کارمزد انتقال از خودپرداز 45101693 تجارت - بين 2 از ک 6219861085979838 ش م 169326346957 ش پ 169363</t>
  </si>
  <si>
    <t>13:03:2</t>
  </si>
  <si>
    <t>انتقال از خودپرداز 45101693 تجارت - بين 2 به ک 6274121208660688 ش م 169326346979 ش پ 169364</t>
  </si>
  <si>
    <t>40817498</t>
  </si>
  <si>
    <t>کارمزد انتقال از خودپرداز 45101693 تجارت - بين 2 از ک 6219861085979838 ش م 169326346979 ش پ 169364</t>
  </si>
  <si>
    <t>14:04:44</t>
  </si>
  <si>
    <t>خريد کالا و خدمات از پايانه فروش 14411230 پرداخت الکترونيک سامان1 از ک 6219861085979838 ش م 85466537</t>
  </si>
  <si>
    <t>40819257</t>
  </si>
  <si>
    <t>14:06:38</t>
  </si>
  <si>
    <t>خريد کالا و خدمات از پايانه فروش 05465898 کارت اعتباري ايران کيش از ک 6219861085979838 ش م 658982630</t>
  </si>
  <si>
    <t>40819281</t>
  </si>
  <si>
    <t>18:23:21</t>
  </si>
  <si>
    <t>انتقال از اينترنت 17592030 ملي از ک 6037991557459314 ش م 447410125709 ش پ 654830</t>
  </si>
  <si>
    <t>30825544</t>
  </si>
  <si>
    <t>19:05:0</t>
  </si>
  <si>
    <t>انتقال از اينترنت 130      پاسارگاد از ک 5022291564975769 ش م 062183588097 ش پ 973437</t>
  </si>
  <si>
    <t>30829199</t>
  </si>
  <si>
    <t>1404/06/31</t>
  </si>
  <si>
    <t>04:57:52</t>
  </si>
  <si>
    <t>انتقال وجه موبايلت از سپرده 9316.888.1579090.1 ش.پ 00001758504472510277 - محمود ابراهيميان</t>
  </si>
  <si>
    <t>50835220</t>
  </si>
  <si>
    <t>00001758504472510277</t>
  </si>
  <si>
    <t>09:46:41</t>
  </si>
  <si>
    <t>خريد کالا و خدمات از پايانه فروش 06475498 به پرداخت ملت از ک 6219861085979838 ش م 320892063602 ش پ 0</t>
  </si>
  <si>
    <t>30841559</t>
  </si>
  <si>
    <t>10:48:4</t>
  </si>
  <si>
    <t>خريد کالا و خدمات از پايانه فروش 14375013 پرداخت الکترونيک سامان1 از ک 6219861085979838 ش م 85469066</t>
  </si>
  <si>
    <t>40843256</t>
  </si>
  <si>
    <t>10:55:51</t>
  </si>
  <si>
    <t>خريد کالا و خدمات از پايانه فروش 05429898 به پرداخت ملت از ک 6219861085979838 ش م 320900918797 ش پ 9</t>
  </si>
  <si>
    <t>40843327</t>
  </si>
  <si>
    <t>10:59:55</t>
  </si>
  <si>
    <t>خريد کالا و خدمات از پايانه فروش 12288147 پرداخت الکترونيک سامان1 از ک 6219861085979838 ش م 85469115</t>
  </si>
  <si>
    <t>30843641</t>
  </si>
  <si>
    <t>12:16:56</t>
  </si>
  <si>
    <t>کارمزد مانده حساب از پايانه فروش 13444162 پرداخت الکترونيک سامان1 از ک 6219861085979838 ش م 85469457</t>
  </si>
  <si>
    <t>30846376</t>
  </si>
  <si>
    <t>12:51:32</t>
  </si>
  <si>
    <t>انتقال از خودپرداز 45101693 تجارت - بين 2 به ک 6274121208660688 ش م 169326446289 ش پ 169378</t>
  </si>
  <si>
    <t>30847328</t>
  </si>
  <si>
    <t>کارمزد انتقال از خودپرداز 45101693 تجارت - بين 2 از ک 6219861085979838 ش م 169326446289 ش پ 169378</t>
  </si>
  <si>
    <t>12:52:10</t>
  </si>
  <si>
    <t>انتقال از خودپرداز 45101693 تجارت - بين 2 به ک 6037697600840968 ش م 169326446327 ش پ 169379</t>
  </si>
  <si>
    <t>30847344</t>
  </si>
  <si>
    <t>کارمزد انتقال از خودپرداز 45101693 تجارت - بين 2 از ک 6219861085979838 ش م 169326446327 ش پ 169379</t>
  </si>
  <si>
    <t>17:51:59</t>
  </si>
  <si>
    <t>خريد کالا و خدمات از پايانه فروش 66104410 مبنا کارت آريا (اينفوتک) از ک 6219861085979838 ش م 3007836</t>
  </si>
  <si>
    <t>40852957</t>
  </si>
  <si>
    <t>20:15:32</t>
  </si>
  <si>
    <t>انتقال وجه بلو بانک از شبا IR680560611828005728766301 ش.پ 14042880898864 - فاطمه برزو</t>
  </si>
  <si>
    <t>10853799</t>
  </si>
  <si>
    <t>21:07:5</t>
  </si>
  <si>
    <t>کارمزد مانده حساب از پايانه فروش 13444162 پرداخت الکترونيک سامان1 از ک 6219861085979838 ش م 85471673</t>
  </si>
  <si>
    <t>30858739</t>
  </si>
  <si>
    <t>21:08:4</t>
  </si>
  <si>
    <t>کارمزد مانده حساب از پايانه فروش 13444162 پرداخت الکترونيک سامان1 از ک 6219861085979838 ش م 85471680</t>
  </si>
  <si>
    <t>30858765</t>
  </si>
  <si>
    <t>21:26:50</t>
  </si>
  <si>
    <t>انتقال از خودپرداز 45101693 تجارت - بين 2 به ک 6104338653250742 ش م 169326477208 ش پ 169374</t>
  </si>
  <si>
    <t>30859135</t>
  </si>
  <si>
    <t>کارمزد انتقال از خودپرداز 45101693 تجارت - بين 2 از ک 6219861085979838 ش م 169326477208 ش پ 169374</t>
  </si>
  <si>
    <t>21:40:49</t>
  </si>
  <si>
    <t>خريد کالا و خدمات از پايانه فروش 14648542 پرداخت الکترونيک سامان1 از ک 6219861085979838 ش م 85471794</t>
  </si>
  <si>
    <t>40859328</t>
  </si>
  <si>
    <t>مجموع</t>
  </si>
  <si>
    <t>5029081028402846</t>
  </si>
  <si>
    <t>جواد ابراهيميان</t>
  </si>
  <si>
    <t>توسعه تعاون</t>
  </si>
  <si>
    <t>5041721008139702</t>
  </si>
  <si>
    <t>زهرا سيدآبادي</t>
  </si>
  <si>
    <t>قرض الحسنه رسالت</t>
  </si>
  <si>
    <t>5047061133420162</t>
  </si>
  <si>
    <t>مصطفي پيراني</t>
  </si>
  <si>
    <t>شهر</t>
  </si>
  <si>
    <t>5057851012912561</t>
  </si>
  <si>
    <t>گلثومه برمهاني</t>
  </si>
  <si>
    <t>ايران زمين</t>
  </si>
  <si>
    <t>5859831183919207</t>
  </si>
  <si>
    <t>سعيد جلال آبادي</t>
  </si>
  <si>
    <t>تجارت - بين 2</t>
  </si>
  <si>
    <t>5859831188404023</t>
  </si>
  <si>
    <t>صالحه عارفخاني</t>
  </si>
  <si>
    <t>5859831222155581</t>
  </si>
  <si>
    <t>مبينا جلال آبادي</t>
  </si>
  <si>
    <t>تجارت - بين 3</t>
  </si>
  <si>
    <t>5859831236990700</t>
  </si>
  <si>
    <t>مهشيد بوژمهراني</t>
  </si>
  <si>
    <t>تجارت - بين 4</t>
  </si>
  <si>
    <t>5859831242099389</t>
  </si>
  <si>
    <t>علي يوسفيان</t>
  </si>
  <si>
    <t>تجارت - بين 5</t>
  </si>
  <si>
    <t>5859831809022071</t>
  </si>
  <si>
    <t>جواد پيرکماجي</t>
  </si>
  <si>
    <t>تجارت - بين 6</t>
  </si>
  <si>
    <t>5892101008944130</t>
  </si>
  <si>
    <t>قنبر بلوکي</t>
  </si>
  <si>
    <t>سپه</t>
  </si>
  <si>
    <t>5892101060857923</t>
  </si>
  <si>
    <t>حسين کوه ميشي</t>
  </si>
  <si>
    <t>5892101063187187</t>
  </si>
  <si>
    <t>مصطفي اسحقي</t>
  </si>
  <si>
    <t>5892101155796150</t>
  </si>
  <si>
    <t>سمانه همتي فرد</t>
  </si>
  <si>
    <t>5892101233211875</t>
  </si>
  <si>
    <t>الهام آخوندان</t>
  </si>
  <si>
    <t>5892101311895185</t>
  </si>
  <si>
    <t>محمد سيدآبادي</t>
  </si>
  <si>
    <t>5892101317227359</t>
  </si>
  <si>
    <t>محمدرضا جهانديده</t>
  </si>
  <si>
    <t>5892101344377961</t>
  </si>
  <si>
    <t>سيديحيي حامدحيدري</t>
  </si>
  <si>
    <t>5892101396907889</t>
  </si>
  <si>
    <t>5892101408887160</t>
  </si>
  <si>
    <t>فرشته سيدآبادي</t>
  </si>
  <si>
    <t>5892101413472149</t>
  </si>
  <si>
    <t>محسن واسعي</t>
  </si>
  <si>
    <t>5892101600739268</t>
  </si>
  <si>
    <t>5892101626109181</t>
  </si>
  <si>
    <t>مجيد شجاع پور</t>
  </si>
  <si>
    <t>5892101632834145</t>
  </si>
  <si>
    <t>علي بلوچي</t>
  </si>
  <si>
    <t>5892101634724955</t>
  </si>
  <si>
    <t>محمدمهدي روديان</t>
  </si>
  <si>
    <t>5892101634813113</t>
  </si>
  <si>
    <t>مهدي خاني علي آبادي</t>
  </si>
  <si>
    <t>5892101642705822</t>
  </si>
  <si>
    <t>حسن برجي</t>
  </si>
  <si>
    <t>5892101643117522</t>
  </si>
  <si>
    <t>محمد کريمي</t>
  </si>
  <si>
    <t>5894631179149984</t>
  </si>
  <si>
    <t>معصومه دماوندي</t>
  </si>
  <si>
    <t>رفاه</t>
  </si>
  <si>
    <t>5894631204873137</t>
  </si>
  <si>
    <t>فاطمه حسين آبادي</t>
  </si>
  <si>
    <t>6037691647225903</t>
  </si>
  <si>
    <t>احمد زارعي</t>
  </si>
  <si>
    <t>صادرات</t>
  </si>
  <si>
    <t>6037697418797186</t>
  </si>
  <si>
    <t>اميد قره بيات</t>
  </si>
  <si>
    <t>6037697600840968</t>
  </si>
  <si>
    <t>محمد کوچکي</t>
  </si>
  <si>
    <t>6037697681149024</t>
  </si>
  <si>
    <t>حسين ميربلوک</t>
  </si>
  <si>
    <t>6037701513346939</t>
  </si>
  <si>
    <t>زهرا قندهاري</t>
  </si>
  <si>
    <t>کشاورزی</t>
  </si>
  <si>
    <t>6037701613254967</t>
  </si>
  <si>
    <t>حسين دستجردي</t>
  </si>
  <si>
    <t>6037991528641214</t>
  </si>
  <si>
    <t>زهرا قدمگاهي</t>
  </si>
  <si>
    <t>ملی</t>
  </si>
  <si>
    <t>6037991713397994</t>
  </si>
  <si>
    <t>سعيد نيرآبادي</t>
  </si>
  <si>
    <t>6037991780004135</t>
  </si>
  <si>
    <t>علي غرويان</t>
  </si>
  <si>
    <t>6037991784282307</t>
  </si>
  <si>
    <t>محمد نقدبيشي</t>
  </si>
  <si>
    <t>6037991933743951</t>
  </si>
  <si>
    <t>مهدي نعمتزاده</t>
  </si>
  <si>
    <t>6037997272842619</t>
  </si>
  <si>
    <t>فرزانه مهراسا</t>
  </si>
  <si>
    <t>6037997308463778</t>
  </si>
  <si>
    <t>فاطمه سليماني</t>
  </si>
  <si>
    <t>6037997417144129</t>
  </si>
  <si>
    <t>مهناز شوروزي</t>
  </si>
  <si>
    <t>6037997446678998</t>
  </si>
  <si>
    <t>ابوالفضل فروتن</t>
  </si>
  <si>
    <t>6037998137441456</t>
  </si>
  <si>
    <t>محمد نجفيزاده</t>
  </si>
  <si>
    <t>6037998149271040</t>
  </si>
  <si>
    <t>زهرا اردمه</t>
  </si>
  <si>
    <t>6037998153675680</t>
  </si>
  <si>
    <t>امير آسيابي</t>
  </si>
  <si>
    <t>6037998246679087</t>
  </si>
  <si>
    <t>مريم گندمکار</t>
  </si>
  <si>
    <t>6037998273831502</t>
  </si>
  <si>
    <t>فايزه اديبان</t>
  </si>
  <si>
    <t>6063731012075140</t>
  </si>
  <si>
    <t>عباس شفيعي</t>
  </si>
  <si>
    <t>قرض الحسنه مهر</t>
  </si>
  <si>
    <t>6063731197381008</t>
  </si>
  <si>
    <t>مريم دامنجاني</t>
  </si>
  <si>
    <t>6063731202378833</t>
  </si>
  <si>
    <t>ولي اله سلامي</t>
  </si>
  <si>
    <t>6063731204953062</t>
  </si>
  <si>
    <t>علي پورسعيدي</t>
  </si>
  <si>
    <t>6104337886219300</t>
  </si>
  <si>
    <t>محسن عاملي</t>
  </si>
  <si>
    <t>ملت</t>
  </si>
  <si>
    <t>6104337933702571</t>
  </si>
  <si>
    <t>معصومه متقي پور</t>
  </si>
  <si>
    <t>6104338641289216</t>
  </si>
  <si>
    <t>اکرم بي پروا</t>
  </si>
  <si>
    <t>6104338653250742</t>
  </si>
  <si>
    <t>عليرضا سيد ابادي</t>
  </si>
  <si>
    <t>6104338930122953</t>
  </si>
  <si>
    <t>حسين شرفي</t>
  </si>
  <si>
    <t>6104338971567579</t>
  </si>
  <si>
    <t>محمد خانگاه</t>
  </si>
  <si>
    <t>6104338974821924</t>
  </si>
  <si>
    <t>امير حسين توزنده جاني</t>
  </si>
  <si>
    <t>6219861050987337</t>
  </si>
  <si>
    <t>مهدي ابراهيميان</t>
  </si>
  <si>
    <t>سامان</t>
  </si>
  <si>
    <t>6219861067456409</t>
  </si>
  <si>
    <t>بنت الهدي سرچاهي</t>
  </si>
  <si>
    <t>6219861067532142</t>
  </si>
  <si>
    <t>بهمن شايان آذر</t>
  </si>
  <si>
    <t>6219861073786146</t>
  </si>
  <si>
    <t>نيره منتظري</t>
  </si>
  <si>
    <t>6219861074936021</t>
  </si>
  <si>
    <t>حجت عابدي</t>
  </si>
  <si>
    <t>6219861076095867</t>
  </si>
  <si>
    <t>سيدمحمدعلي حامدحيدري</t>
  </si>
  <si>
    <t>6219861085062957</t>
  </si>
  <si>
    <t>علي ابراهيميان</t>
  </si>
  <si>
    <t>6219861920369294</t>
  </si>
  <si>
    <t>ابراهيم اسلام پناه</t>
  </si>
  <si>
    <t>6219861928532117</t>
  </si>
  <si>
    <t>6221061056823190</t>
  </si>
  <si>
    <t>علي پرنيان</t>
  </si>
  <si>
    <t>پارسیان</t>
  </si>
  <si>
    <t>6221061221800057</t>
  </si>
  <si>
    <t>شايسته عسکرآبادي</t>
  </si>
  <si>
    <t>پارسيان</t>
  </si>
  <si>
    <t>6274121182908384</t>
  </si>
  <si>
    <t>الهه سادات حسيني</t>
  </si>
  <si>
    <t>اقتصادنوين</t>
  </si>
  <si>
    <t>6274121208660688</t>
  </si>
  <si>
    <t>محسن خانگاه</t>
  </si>
  <si>
    <t>6277601362952630</t>
  </si>
  <si>
    <t>الهه احمدابادي</t>
  </si>
  <si>
    <t>پست بانک</t>
  </si>
  <si>
    <t>6280231511386376</t>
  </si>
  <si>
    <t>طاهره برمهاني</t>
  </si>
  <si>
    <t>مسکن</t>
  </si>
  <si>
    <t>6362141055049986</t>
  </si>
  <si>
    <t>محمد مومني</t>
  </si>
  <si>
    <t>آینده</t>
  </si>
  <si>
    <t>6362141813482370</t>
  </si>
  <si>
    <t>حميد گندمکار</t>
  </si>
  <si>
    <t>6396071217181585</t>
  </si>
  <si>
    <t>الهام اسلامي</t>
  </si>
  <si>
    <t>سرمایه</t>
  </si>
  <si>
    <t>نام دارنده کارت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</si>
</sst>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\-#,##0\ "/>
    <numFmt numFmtId="165" formatCode="#,##0_-_ر_ي_ا_ل"/>
  </numFmts>
  <fonts count="8">
    <font>
      <sz val="11.0"/>
      <color theme="1"/>
      <name val="Calibri"/>
      <scheme val="minor"/>
    </font>
    <font>
      <sz val="9.0"/>
      <color theme="1"/>
      <name val="Tahoma"/>
    </font>
    <font>
      <b/>
      <sz val="11.0"/>
      <color theme="1"/>
      <name val="Tahoma"/>
    </font>
    <font>
      <sz val="8.0"/>
      <color theme="1"/>
      <name val="Tahoma"/>
    </font>
    <font>
      <b/>
      <sz val="8.0"/>
      <color rgb="FF7F7F7F"/>
      <name val="Tahoma"/>
    </font>
    <font>
      <sz val="9.0"/>
      <color rgb="FF595959"/>
      <name val="Tahoma"/>
    </font>
    <font>
      <b/>
      <sz val="10.0"/>
      <color rgb="FF595959"/>
      <name val="Tahoma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F5F5F5"/>
        <bgColor rgb="FFF5F5F5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4" numFmtId="3" xfId="0" applyAlignment="1" applyBorder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1" fillId="3" fontId="3" numFmtId="49" xfId="0" applyAlignment="1" applyBorder="1" applyFont="1" applyNumberFormat="1">
      <alignment readingOrder="0" shrinkToFit="0" vertical="center" wrapText="0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3" fillId="0" fontId="6" numFmtId="0" xfId="0" applyAlignment="1" applyBorder="1" applyFont="1">
      <alignment horizontal="center" readingOrder="0" shrinkToFit="0" vertical="center" wrapText="0"/>
    </xf>
    <xf borderId="4" fillId="0" fontId="6" numFmtId="3" xfId="0" applyAlignment="1" applyBorder="1" applyFont="1" applyNumberFormat="1">
      <alignment horizontal="center" shrinkToFit="0" vertical="center" wrapText="0"/>
    </xf>
    <xf borderId="5" fillId="0" fontId="6" numFmtId="3" xfId="0" applyAlignment="1" applyBorder="1" applyFont="1" applyNumberFormat="1">
      <alignment horizontal="center" shrinkToFit="0" vertical="center" wrapText="0"/>
    </xf>
    <xf borderId="0" fillId="0" fontId="7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3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0.71"/>
    <col customWidth="1" min="2" max="2" width="13.0"/>
    <col customWidth="1" min="3" max="3" width="15.71"/>
    <col customWidth="1" min="4" max="4" width="21.0"/>
    <col customWidth="1" min="5" max="5" width="24.14"/>
    <col customWidth="1" min="6" max="6" width="16.86"/>
    <col customWidth="1" min="7" max="7" width="20.43"/>
    <col customWidth="1" min="8" max="9" width="26.71"/>
    <col customWidth="1" min="10" max="10" width="28.0"/>
    <col customWidth="1" min="11" max="11" width="26.86"/>
    <col customWidth="1" min="12" max="12" width="30.57"/>
    <col customWidth="1" min="13" max="13" width="63.71"/>
    <col customWidth="1" min="14" max="15" width="26.43"/>
    <col customWidth="1" min="16" max="16" width="14.29"/>
    <col customWidth="1" min="17" max="17" width="11.14"/>
    <col customWidth="1" min="18" max="18" width="12.29"/>
    <col customWidth="1" min="19" max="35" width="9.14"/>
  </cols>
  <sheetData>
    <row r="1" ht="4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3.25" customHeight="1">
      <c r="A2" s="2" t="s">
        <v>0</v>
      </c>
      <c r="B2" s="3" t="s">
        <v>1</v>
      </c>
      <c r="C2" s="3"/>
      <c r="D2" s="4" t="s">
        <v>2</v>
      </c>
      <c r="E2" s="5"/>
      <c r="F2" s="3"/>
      <c r="G2" s="3"/>
      <c r="H2" s="3"/>
      <c r="I2" s="3"/>
      <c r="J2" s="3"/>
      <c r="K2" s="3"/>
      <c r="L2" s="3"/>
      <c r="M2" s="3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9.5" customHeight="1">
      <c r="A3" s="5" t="s">
        <v>3</v>
      </c>
      <c r="B3" s="5"/>
      <c r="C3" s="5"/>
      <c r="D3" s="4" t="s">
        <v>4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9.5" customHeight="1">
      <c r="A4" s="7" t="s">
        <v>5</v>
      </c>
      <c r="B4" s="6"/>
      <c r="C4" s="6"/>
      <c r="D4" s="6"/>
      <c r="E4" s="6"/>
      <c r="F4" s="6"/>
      <c r="G4" s="8"/>
      <c r="H4" s="8"/>
      <c r="I4" s="8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9.5" customHeight="1">
      <c r="A5" s="10"/>
      <c r="B5" s="11" t="s">
        <v>6</v>
      </c>
      <c r="C5" s="11" t="s">
        <v>7</v>
      </c>
      <c r="D5" s="11" t="s">
        <v>8</v>
      </c>
      <c r="E5" s="12">
        <v>9.9584637E7</v>
      </c>
      <c r="F5" s="13" t="s">
        <v>9</v>
      </c>
      <c r="G5" s="12">
        <v>9.9584637E7</v>
      </c>
      <c r="H5" s="11" t="s">
        <v>10</v>
      </c>
      <c r="I5" s="11"/>
      <c r="J5" s="12">
        <v>0.0</v>
      </c>
      <c r="K5" s="1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9.5" customHeight="1">
      <c r="A6" s="10"/>
      <c r="B6" s="11" t="s">
        <v>11</v>
      </c>
      <c r="C6" s="10"/>
      <c r="D6" s="13" t="s">
        <v>12</v>
      </c>
      <c r="E6" s="11" t="s">
        <v>13</v>
      </c>
      <c r="F6" s="11" t="s">
        <v>14</v>
      </c>
      <c r="G6" s="10"/>
      <c r="H6" s="14"/>
      <c r="I6" s="14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9.5" customHeight="1">
      <c r="A7" s="10"/>
      <c r="B7" s="11" t="s">
        <v>15</v>
      </c>
      <c r="C7" s="10"/>
      <c r="D7" s="15" t="s">
        <v>16</v>
      </c>
      <c r="E7" s="10"/>
      <c r="F7" s="15" t="s">
        <v>17</v>
      </c>
      <c r="G7" s="10"/>
      <c r="H7" s="14"/>
      <c r="I7" s="14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20.25" customHeight="1">
      <c r="A8" s="16" t="s">
        <v>18</v>
      </c>
      <c r="B8" s="16" t="s">
        <v>19</v>
      </c>
      <c r="C8" s="16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6" t="s">
        <v>25</v>
      </c>
      <c r="I8" s="17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6" t="s">
        <v>31</v>
      </c>
      <c r="O8" s="16" t="s">
        <v>32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ht="25.5" customHeight="1">
      <c r="A9" s="19">
        <v>1.0</v>
      </c>
      <c r="B9" s="19" t="s">
        <v>33</v>
      </c>
      <c r="C9" s="20" t="s">
        <v>34</v>
      </c>
      <c r="D9" s="21" t="s">
        <v>35</v>
      </c>
      <c r="E9" s="21" t="s">
        <v>36</v>
      </c>
      <c r="F9" s="22">
        <v>0.0</v>
      </c>
      <c r="G9" s="23">
        <v>1.0E7</v>
      </c>
      <c r="H9" s="24">
        <v>1.85327059E8</v>
      </c>
      <c r="I9" s="24" t="str">
        <f>IFERROR(__xludf.DUMMYFUNCTION("REGEXEXTRACT(E9, ""ک\s(\d{16})"")"),"5029081028402846")</f>
        <v>5029081028402846</v>
      </c>
      <c r="J9" s="25" t="s">
        <v>37</v>
      </c>
      <c r="K9" s="20" t="s">
        <v>38</v>
      </c>
      <c r="L9" s="26" t="s">
        <v>39</v>
      </c>
      <c r="M9" s="26" t="s">
        <v>40</v>
      </c>
      <c r="N9" s="27" t="s">
        <v>40</v>
      </c>
      <c r="O9" s="27"/>
      <c r="P9" s="27"/>
      <c r="Q9" s="26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ht="25.5" customHeight="1">
      <c r="A10" s="19">
        <v>2.0</v>
      </c>
      <c r="B10" s="19" t="s">
        <v>33</v>
      </c>
      <c r="C10" s="20" t="s">
        <v>34</v>
      </c>
      <c r="D10" s="21" t="s">
        <v>35</v>
      </c>
      <c r="E10" s="21" t="s">
        <v>41</v>
      </c>
      <c r="F10" s="22">
        <v>0.0</v>
      </c>
      <c r="G10" s="23">
        <v>9000.0</v>
      </c>
      <c r="H10" s="24">
        <v>1.85318059E8</v>
      </c>
      <c r="I10" s="24" t="str">
        <f>IFERROR(__xludf.DUMMYFUNCTION("REGEXEXTRACT(E10, ""ک\s(\d{16})"")"),"6219861085979838")</f>
        <v>6219861085979838</v>
      </c>
      <c r="J10" s="25" t="s">
        <v>37</v>
      </c>
      <c r="K10" s="20" t="s">
        <v>38</v>
      </c>
      <c r="L10" s="26" t="s">
        <v>39</v>
      </c>
      <c r="M10" s="26" t="s">
        <v>40</v>
      </c>
      <c r="N10" s="27" t="s">
        <v>40</v>
      </c>
      <c r="O10" s="27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ht="25.5" customHeight="1">
      <c r="A11" s="19">
        <v>3.0</v>
      </c>
      <c r="B11" s="19" t="s">
        <v>42</v>
      </c>
      <c r="C11" s="20" t="s">
        <v>43</v>
      </c>
      <c r="D11" s="21" t="s">
        <v>44</v>
      </c>
      <c r="E11" s="21" t="s">
        <v>45</v>
      </c>
      <c r="F11" s="22">
        <v>0.0</v>
      </c>
      <c r="G11" s="23">
        <v>1.56E7</v>
      </c>
      <c r="H11" s="24">
        <v>1.69718059E8</v>
      </c>
      <c r="I11" s="24" t="str">
        <f>IFERROR(__xludf.DUMMYFUNCTION("REGEXEXTRACT(E11, ""ک\s(\d{16})"")"),"6219861085979838")</f>
        <v>6219861085979838</v>
      </c>
      <c r="J11" s="25" t="s">
        <v>37</v>
      </c>
      <c r="K11" s="20" t="s">
        <v>46</v>
      </c>
      <c r="L11" s="26" t="s">
        <v>39</v>
      </c>
      <c r="M11" s="26" t="s">
        <v>40</v>
      </c>
      <c r="N11" s="27" t="s">
        <v>40</v>
      </c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ht="25.5" customHeight="1">
      <c r="A12" s="19">
        <v>4.0</v>
      </c>
      <c r="B12" s="19" t="s">
        <v>42</v>
      </c>
      <c r="C12" s="20" t="s">
        <v>47</v>
      </c>
      <c r="D12" s="21" t="s">
        <v>44</v>
      </c>
      <c r="E12" s="21" t="s">
        <v>48</v>
      </c>
      <c r="F12" s="22">
        <v>0.0</v>
      </c>
      <c r="G12" s="23">
        <v>1.0E7</v>
      </c>
      <c r="H12" s="24">
        <v>1.59718059E8</v>
      </c>
      <c r="I12" s="24" t="str">
        <f>IFERROR(__xludf.DUMMYFUNCTION("REGEXEXTRACT(E12, ""ک\s(\d{16})"")"),"6219861085979838")</f>
        <v>6219861085979838</v>
      </c>
      <c r="J12" s="25" t="s">
        <v>37</v>
      </c>
      <c r="K12" s="20" t="s">
        <v>49</v>
      </c>
      <c r="L12" s="26" t="s">
        <v>39</v>
      </c>
      <c r="M12" s="26" t="s">
        <v>40</v>
      </c>
      <c r="N12" s="27" t="s">
        <v>40</v>
      </c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ht="25.5" customHeight="1">
      <c r="A13" s="19">
        <v>5.0</v>
      </c>
      <c r="B13" s="19" t="s">
        <v>42</v>
      </c>
      <c r="C13" s="20" t="s">
        <v>50</v>
      </c>
      <c r="D13" s="21" t="s">
        <v>44</v>
      </c>
      <c r="E13" s="21" t="s">
        <v>51</v>
      </c>
      <c r="F13" s="22">
        <v>0.0</v>
      </c>
      <c r="G13" s="23">
        <v>1.821E7</v>
      </c>
      <c r="H13" s="24">
        <v>1.41508059E8</v>
      </c>
      <c r="I13" s="24" t="str">
        <f>IFERROR(__xludf.DUMMYFUNCTION("REGEXEXTRACT(E13, ""ک\s(\d{16})"")"),"6219861085979838")</f>
        <v>6219861085979838</v>
      </c>
      <c r="J13" s="25" t="s">
        <v>37</v>
      </c>
      <c r="K13" s="20" t="s">
        <v>52</v>
      </c>
      <c r="L13" s="26" t="s">
        <v>39</v>
      </c>
      <c r="M13" s="26" t="s">
        <v>40</v>
      </c>
      <c r="N13" s="27" t="s">
        <v>40</v>
      </c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ht="25.5" customHeight="1">
      <c r="A14" s="19">
        <v>6.0</v>
      </c>
      <c r="B14" s="19" t="s">
        <v>42</v>
      </c>
      <c r="C14" s="20" t="s">
        <v>53</v>
      </c>
      <c r="D14" s="21" t="s">
        <v>35</v>
      </c>
      <c r="E14" s="21" t="s">
        <v>54</v>
      </c>
      <c r="F14" s="22">
        <v>550000.0</v>
      </c>
      <c r="G14" s="23">
        <v>0.0</v>
      </c>
      <c r="H14" s="24">
        <v>1.42058059E8</v>
      </c>
      <c r="I14" s="24" t="str">
        <f>IFERROR(__xludf.DUMMYFUNCTION("REGEXEXTRACT(E14, ""ک\s(\d{16})"")"),"6037998237030795")</f>
        <v>6037998237030795</v>
      </c>
      <c r="J14" s="25" t="s">
        <v>37</v>
      </c>
      <c r="K14" s="20" t="s">
        <v>55</v>
      </c>
      <c r="L14" s="26" t="s">
        <v>39</v>
      </c>
      <c r="M14" s="26" t="s">
        <v>40</v>
      </c>
      <c r="N14" s="27" t="s">
        <v>40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ht="25.5" customHeight="1">
      <c r="A15" s="19">
        <v>7.0</v>
      </c>
      <c r="B15" s="19" t="s">
        <v>42</v>
      </c>
      <c r="C15" s="20" t="s">
        <v>56</v>
      </c>
      <c r="D15" s="21" t="s">
        <v>35</v>
      </c>
      <c r="E15" s="21" t="s">
        <v>57</v>
      </c>
      <c r="F15" s="22">
        <v>1400000.0</v>
      </c>
      <c r="G15" s="23">
        <v>0.0</v>
      </c>
      <c r="H15" s="24">
        <v>1.43458059E8</v>
      </c>
      <c r="I15" s="24" t="str">
        <f>IFERROR(__xludf.DUMMYFUNCTION("REGEXEXTRACT(E15, ""ک\s(\d{16})"")"),"6104337385303662")</f>
        <v>6104337385303662</v>
      </c>
      <c r="J15" s="25" t="s">
        <v>37</v>
      </c>
      <c r="K15" s="20" t="s">
        <v>58</v>
      </c>
      <c r="L15" s="26" t="s">
        <v>39</v>
      </c>
      <c r="M15" s="26" t="s">
        <v>40</v>
      </c>
      <c r="N15" s="27" t="s">
        <v>40</v>
      </c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ht="25.5" customHeight="1">
      <c r="A16" s="19">
        <v>8.0</v>
      </c>
      <c r="B16" s="19" t="s">
        <v>42</v>
      </c>
      <c r="C16" s="20" t="s">
        <v>59</v>
      </c>
      <c r="D16" s="21" t="s">
        <v>35</v>
      </c>
      <c r="E16" s="21" t="s">
        <v>60</v>
      </c>
      <c r="F16" s="22">
        <v>0.0</v>
      </c>
      <c r="G16" s="23">
        <v>2.1534E7</v>
      </c>
      <c r="H16" s="24">
        <v>1.21924059E8</v>
      </c>
      <c r="I16" s="24" t="str">
        <f>IFERROR(__xludf.DUMMYFUNCTION("REGEXEXTRACT(E16, ""ک\s(\d{16})"")"),"6104338738476148")</f>
        <v>6104338738476148</v>
      </c>
      <c r="J16" s="25" t="s">
        <v>37</v>
      </c>
      <c r="K16" s="20" t="s">
        <v>61</v>
      </c>
      <c r="L16" s="26" t="s">
        <v>39</v>
      </c>
      <c r="M16" s="26" t="s">
        <v>40</v>
      </c>
      <c r="N16" s="27" t="s">
        <v>40</v>
      </c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ht="25.5" customHeight="1">
      <c r="A17" s="19">
        <v>9.0</v>
      </c>
      <c r="B17" s="19" t="s">
        <v>42</v>
      </c>
      <c r="C17" s="20" t="s">
        <v>59</v>
      </c>
      <c r="D17" s="21" t="s">
        <v>35</v>
      </c>
      <c r="E17" s="21" t="s">
        <v>62</v>
      </c>
      <c r="F17" s="22">
        <v>0.0</v>
      </c>
      <c r="G17" s="23">
        <v>15400.0</v>
      </c>
      <c r="H17" s="24">
        <v>1.21908659E8</v>
      </c>
      <c r="I17" s="24" t="str">
        <f>IFERROR(__xludf.DUMMYFUNCTION("REGEXEXTRACT(E17, ""ک\s(\d{16})"")"),"6219861085979838")</f>
        <v>6219861085979838</v>
      </c>
      <c r="J17" s="25" t="s">
        <v>37</v>
      </c>
      <c r="K17" s="20" t="s">
        <v>61</v>
      </c>
      <c r="L17" s="26" t="s">
        <v>39</v>
      </c>
      <c r="M17" s="26" t="s">
        <v>40</v>
      </c>
      <c r="N17" s="27" t="s">
        <v>40</v>
      </c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ht="25.5" customHeight="1">
      <c r="A18" s="19">
        <v>10.0</v>
      </c>
      <c r="B18" s="19" t="s">
        <v>42</v>
      </c>
      <c r="C18" s="20" t="s">
        <v>63</v>
      </c>
      <c r="D18" s="21" t="s">
        <v>35</v>
      </c>
      <c r="E18" s="21" t="s">
        <v>64</v>
      </c>
      <c r="F18" s="22">
        <v>0.0</v>
      </c>
      <c r="G18" s="23">
        <v>3.292E7</v>
      </c>
      <c r="H18" s="24">
        <v>8.8988659E7</v>
      </c>
      <c r="I18" s="24" t="str">
        <f>IFERROR(__xludf.DUMMYFUNCTION("REGEXEXTRACT(E18, ""ک\s(\d{16})"")"),"6274121208660688")</f>
        <v>6274121208660688</v>
      </c>
      <c r="J18" s="25" t="s">
        <v>37</v>
      </c>
      <c r="K18" s="20" t="s">
        <v>65</v>
      </c>
      <c r="L18" s="26" t="s">
        <v>39</v>
      </c>
      <c r="M18" s="26" t="s">
        <v>40</v>
      </c>
      <c r="N18" s="27" t="s">
        <v>40</v>
      </c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ht="25.5" customHeight="1">
      <c r="A19" s="19">
        <v>11.0</v>
      </c>
      <c r="B19" s="19" t="s">
        <v>42</v>
      </c>
      <c r="C19" s="20" t="s">
        <v>63</v>
      </c>
      <c r="D19" s="21" t="s">
        <v>35</v>
      </c>
      <c r="E19" s="21" t="s">
        <v>66</v>
      </c>
      <c r="F19" s="22">
        <v>0.0</v>
      </c>
      <c r="G19" s="23">
        <v>18600.0</v>
      </c>
      <c r="H19" s="24">
        <v>8.8970059E7</v>
      </c>
      <c r="I19" s="24" t="str">
        <f>IFERROR(__xludf.DUMMYFUNCTION("REGEXEXTRACT(E19, ""ک\s(\d{16})"")"),"6219861085979838")</f>
        <v>6219861085979838</v>
      </c>
      <c r="J19" s="25" t="s">
        <v>37</v>
      </c>
      <c r="K19" s="20" t="s">
        <v>65</v>
      </c>
      <c r="L19" s="26" t="s">
        <v>39</v>
      </c>
      <c r="M19" s="26" t="s">
        <v>40</v>
      </c>
      <c r="N19" s="27" t="s">
        <v>40</v>
      </c>
      <c r="O19" s="2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ht="25.5" customHeight="1">
      <c r="A20" s="19">
        <v>12.0</v>
      </c>
      <c r="B20" s="19" t="s">
        <v>42</v>
      </c>
      <c r="C20" s="20" t="s">
        <v>67</v>
      </c>
      <c r="D20" s="21" t="s">
        <v>35</v>
      </c>
      <c r="E20" s="21" t="s">
        <v>68</v>
      </c>
      <c r="F20" s="22">
        <v>900000.0</v>
      </c>
      <c r="G20" s="23">
        <v>0.0</v>
      </c>
      <c r="H20" s="24">
        <v>8.9870059E7</v>
      </c>
      <c r="I20" s="24" t="str">
        <f>IFERROR(__xludf.DUMMYFUNCTION("REGEXEXTRACT(E20, ""ک\s(\d{16})"")"),"6037998147282734")</f>
        <v>6037998147282734</v>
      </c>
      <c r="J20" s="25" t="s">
        <v>37</v>
      </c>
      <c r="K20" s="20" t="s">
        <v>69</v>
      </c>
      <c r="L20" s="26" t="s">
        <v>39</v>
      </c>
      <c r="M20" s="26" t="s">
        <v>40</v>
      </c>
      <c r="N20" s="27" t="s">
        <v>40</v>
      </c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ht="25.5" customHeight="1">
      <c r="A21" s="19">
        <v>13.0</v>
      </c>
      <c r="B21" s="19" t="s">
        <v>42</v>
      </c>
      <c r="C21" s="20" t="s">
        <v>70</v>
      </c>
      <c r="D21" s="21" t="s">
        <v>71</v>
      </c>
      <c r="E21" s="21" t="s">
        <v>72</v>
      </c>
      <c r="F21" s="22">
        <v>0.0</v>
      </c>
      <c r="G21" s="23">
        <v>1800.0</v>
      </c>
      <c r="H21" s="24">
        <v>8.9868259E7</v>
      </c>
      <c r="I21" s="24" t="str">
        <f>IFERROR(__xludf.DUMMYFUNCTION("REGEXEXTRACT(E21, ""ک\s(\d{16})"")"),"6219861085979838")</f>
        <v>6219861085979838</v>
      </c>
      <c r="J21" s="25" t="s">
        <v>37</v>
      </c>
      <c r="K21" s="20" t="s">
        <v>73</v>
      </c>
      <c r="L21" s="26" t="s">
        <v>39</v>
      </c>
      <c r="M21" s="26" t="s">
        <v>40</v>
      </c>
      <c r="N21" s="27" t="s">
        <v>40</v>
      </c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ht="25.5" customHeight="1">
      <c r="A22" s="19">
        <v>14.0</v>
      </c>
      <c r="B22" s="19" t="s">
        <v>42</v>
      </c>
      <c r="C22" s="20" t="s">
        <v>74</v>
      </c>
      <c r="D22" s="21" t="s">
        <v>44</v>
      </c>
      <c r="E22" s="21" t="s">
        <v>75</v>
      </c>
      <c r="F22" s="22">
        <v>0.0</v>
      </c>
      <c r="G22" s="23">
        <v>1.5951E7</v>
      </c>
      <c r="H22" s="24">
        <v>7.3917259E7</v>
      </c>
      <c r="I22" s="24" t="str">
        <f>IFERROR(__xludf.DUMMYFUNCTION("REGEXEXTRACT(E22, ""ک\s(\d{16})"")"),"6219861085979838")</f>
        <v>6219861085979838</v>
      </c>
      <c r="J22" s="25" t="s">
        <v>37</v>
      </c>
      <c r="K22" s="20" t="s">
        <v>76</v>
      </c>
      <c r="L22" s="26" t="s">
        <v>39</v>
      </c>
      <c r="M22" s="26" t="s">
        <v>40</v>
      </c>
      <c r="N22" s="27" t="s">
        <v>40</v>
      </c>
      <c r="O22" s="2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ht="25.5" customHeight="1">
      <c r="A23" s="19">
        <v>15.0</v>
      </c>
      <c r="B23" s="19" t="s">
        <v>42</v>
      </c>
      <c r="C23" s="20" t="s">
        <v>77</v>
      </c>
      <c r="D23" s="21" t="s">
        <v>78</v>
      </c>
      <c r="E23" s="21" t="s">
        <v>79</v>
      </c>
      <c r="F23" s="22">
        <v>0.0</v>
      </c>
      <c r="G23" s="23">
        <v>2.4727E7</v>
      </c>
      <c r="H23" s="24">
        <v>4.9190259E7</v>
      </c>
      <c r="I23" s="24" t="str">
        <f>IFERROR(__xludf.DUMMYFUNCTION("REGEXEXTRACT(E23, ""ک\s(\d{16})"")"),"6219861085979838")</f>
        <v>6219861085979838</v>
      </c>
      <c r="J23" s="25" t="s">
        <v>37</v>
      </c>
      <c r="K23" s="20" t="s">
        <v>80</v>
      </c>
      <c r="L23" s="26" t="s">
        <v>39</v>
      </c>
      <c r="M23" s="26" t="s">
        <v>40</v>
      </c>
      <c r="N23" s="27" t="s">
        <v>40</v>
      </c>
      <c r="O23" s="2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ht="25.5" customHeight="1">
      <c r="A24" s="19">
        <v>16.0</v>
      </c>
      <c r="B24" s="19" t="s">
        <v>42</v>
      </c>
      <c r="C24" s="20" t="s">
        <v>81</v>
      </c>
      <c r="D24" s="21" t="s">
        <v>78</v>
      </c>
      <c r="E24" s="21" t="s">
        <v>82</v>
      </c>
      <c r="F24" s="22">
        <v>0.0</v>
      </c>
      <c r="G24" s="23">
        <v>1.4552E7</v>
      </c>
      <c r="H24" s="24">
        <v>3.4638259E7</v>
      </c>
      <c r="I24" s="24" t="str">
        <f>IFERROR(__xludf.DUMMYFUNCTION("REGEXEXTRACT(E24, ""ک\s(\d{16})"")"),"6219861085979838")</f>
        <v>6219861085979838</v>
      </c>
      <c r="J24" s="25" t="s">
        <v>37</v>
      </c>
      <c r="K24" s="20" t="s">
        <v>83</v>
      </c>
      <c r="L24" s="26" t="s">
        <v>39</v>
      </c>
      <c r="M24" s="26" t="s">
        <v>40</v>
      </c>
      <c r="N24" s="27" t="s">
        <v>40</v>
      </c>
      <c r="O24" s="2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ht="25.5" customHeight="1">
      <c r="A25" s="19">
        <v>17.0</v>
      </c>
      <c r="B25" s="19" t="s">
        <v>42</v>
      </c>
      <c r="C25" s="20" t="s">
        <v>84</v>
      </c>
      <c r="D25" s="21" t="s">
        <v>71</v>
      </c>
      <c r="E25" s="21" t="s">
        <v>85</v>
      </c>
      <c r="F25" s="22">
        <v>0.0</v>
      </c>
      <c r="G25" s="23">
        <v>1800.0</v>
      </c>
      <c r="H25" s="24">
        <v>3.4636459E7</v>
      </c>
      <c r="I25" s="24" t="str">
        <f>IFERROR(__xludf.DUMMYFUNCTION("REGEXEXTRACT(E25, ""ک\s(\d{16})"")"),"6219861085979838")</f>
        <v>6219861085979838</v>
      </c>
      <c r="J25" s="25" t="s">
        <v>37</v>
      </c>
      <c r="K25" s="20" t="s">
        <v>86</v>
      </c>
      <c r="L25" s="26" t="s">
        <v>39</v>
      </c>
      <c r="M25" s="26" t="s">
        <v>40</v>
      </c>
      <c r="N25" s="27" t="s">
        <v>40</v>
      </c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ht="25.5" customHeight="1">
      <c r="A26" s="19">
        <v>18.0</v>
      </c>
      <c r="B26" s="19" t="s">
        <v>42</v>
      </c>
      <c r="C26" s="20" t="s">
        <v>87</v>
      </c>
      <c r="D26" s="21" t="s">
        <v>35</v>
      </c>
      <c r="E26" s="21" t="s">
        <v>88</v>
      </c>
      <c r="F26" s="22">
        <v>0.0</v>
      </c>
      <c r="G26" s="23">
        <v>1.0E7</v>
      </c>
      <c r="H26" s="24">
        <v>2.4636459E7</v>
      </c>
      <c r="I26" s="24" t="str">
        <f>IFERROR(__xludf.DUMMYFUNCTION("REGEXEXTRACT(E26, ""ک\s(\d{16})"")"),"5029081028402846")</f>
        <v>5029081028402846</v>
      </c>
      <c r="J26" s="25" t="s">
        <v>37</v>
      </c>
      <c r="K26" s="20" t="s">
        <v>89</v>
      </c>
      <c r="L26" s="26" t="s">
        <v>39</v>
      </c>
      <c r="M26" s="26" t="s">
        <v>40</v>
      </c>
      <c r="N26" s="27" t="s">
        <v>40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ht="25.5" customHeight="1">
      <c r="A27" s="19">
        <v>19.0</v>
      </c>
      <c r="B27" s="19" t="s">
        <v>42</v>
      </c>
      <c r="C27" s="20" t="s">
        <v>87</v>
      </c>
      <c r="D27" s="21" t="s">
        <v>35</v>
      </c>
      <c r="E27" s="21" t="s">
        <v>90</v>
      </c>
      <c r="F27" s="22">
        <v>0.0</v>
      </c>
      <c r="G27" s="23">
        <v>9000.0</v>
      </c>
      <c r="H27" s="24">
        <v>2.4627459E7</v>
      </c>
      <c r="I27" s="24" t="str">
        <f>IFERROR(__xludf.DUMMYFUNCTION("REGEXEXTRACT(E27, ""ک\s(\d{16})"")"),"6219861085979838")</f>
        <v>6219861085979838</v>
      </c>
      <c r="J27" s="25" t="s">
        <v>37</v>
      </c>
      <c r="K27" s="20" t="s">
        <v>89</v>
      </c>
      <c r="L27" s="26" t="s">
        <v>39</v>
      </c>
      <c r="M27" s="26" t="s">
        <v>40</v>
      </c>
      <c r="N27" s="27" t="s">
        <v>40</v>
      </c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ht="25.5" customHeight="1">
      <c r="A28" s="19">
        <v>20.0</v>
      </c>
      <c r="B28" s="19" t="s">
        <v>42</v>
      </c>
      <c r="C28" s="20" t="s">
        <v>91</v>
      </c>
      <c r="D28" s="21" t="s">
        <v>35</v>
      </c>
      <c r="E28" s="21" t="s">
        <v>92</v>
      </c>
      <c r="F28" s="22">
        <v>0.0</v>
      </c>
      <c r="G28" s="23">
        <v>7000000.0</v>
      </c>
      <c r="H28" s="24">
        <v>1.7627459E7</v>
      </c>
      <c r="I28" s="24" t="str">
        <f>IFERROR(__xludf.DUMMYFUNCTION("REGEXEXTRACT(E28, ""ک\s(\d{16})"")"),"5859831103338371")</f>
        <v>5859831103338371</v>
      </c>
      <c r="J28" s="25" t="s">
        <v>37</v>
      </c>
      <c r="K28" s="20" t="s">
        <v>93</v>
      </c>
      <c r="L28" s="26" t="s">
        <v>39</v>
      </c>
      <c r="M28" s="26" t="s">
        <v>40</v>
      </c>
      <c r="N28" s="27" t="s">
        <v>40</v>
      </c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ht="25.5" customHeight="1">
      <c r="A29" s="19">
        <v>21.0</v>
      </c>
      <c r="B29" s="19" t="s">
        <v>42</v>
      </c>
      <c r="C29" s="20" t="s">
        <v>91</v>
      </c>
      <c r="D29" s="21" t="s">
        <v>35</v>
      </c>
      <c r="E29" s="21" t="s">
        <v>94</v>
      </c>
      <c r="F29" s="22">
        <v>0.0</v>
      </c>
      <c r="G29" s="23">
        <v>9000.0</v>
      </c>
      <c r="H29" s="24">
        <v>1.7618459E7</v>
      </c>
      <c r="I29" s="24" t="str">
        <f>IFERROR(__xludf.DUMMYFUNCTION("REGEXEXTRACT(E29, ""ک\s(\d{16})"")"),"6219861085979838")</f>
        <v>6219861085979838</v>
      </c>
      <c r="J29" s="25" t="s">
        <v>37</v>
      </c>
      <c r="K29" s="20" t="s">
        <v>93</v>
      </c>
      <c r="L29" s="26" t="s">
        <v>39</v>
      </c>
      <c r="M29" s="26" t="s">
        <v>40</v>
      </c>
      <c r="N29" s="27" t="s">
        <v>40</v>
      </c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ht="25.5" customHeight="1">
      <c r="A30" s="19">
        <v>22.0</v>
      </c>
      <c r="B30" s="19" t="s">
        <v>95</v>
      </c>
      <c r="C30" s="20" t="s">
        <v>96</v>
      </c>
      <c r="D30" s="21" t="s">
        <v>97</v>
      </c>
      <c r="E30" s="21" t="s">
        <v>98</v>
      </c>
      <c r="F30" s="22">
        <v>6.89E7</v>
      </c>
      <c r="G30" s="23">
        <v>0.0</v>
      </c>
      <c r="H30" s="24">
        <v>8.6518459E7</v>
      </c>
      <c r="I30" s="24" t="str">
        <f>IFERROR(__xludf.DUMMYFUNCTION("REGEXEXTRACT(E30, ""ک\s(\d{16})"")"),"#N/A")</f>
        <v>#N/A</v>
      </c>
      <c r="J30" s="25" t="s">
        <v>99</v>
      </c>
      <c r="K30" s="20" t="s">
        <v>100</v>
      </c>
      <c r="L30" s="26" t="s">
        <v>39</v>
      </c>
      <c r="M30" s="26" t="s">
        <v>40</v>
      </c>
      <c r="N30" s="27" t="s">
        <v>40</v>
      </c>
      <c r="O30" s="27" t="s">
        <v>101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ht="25.5" customHeight="1">
      <c r="A31" s="19">
        <v>23.0</v>
      </c>
      <c r="B31" s="19" t="s">
        <v>95</v>
      </c>
      <c r="C31" s="20" t="s">
        <v>102</v>
      </c>
      <c r="D31" s="21" t="s">
        <v>35</v>
      </c>
      <c r="E31" s="21" t="s">
        <v>103</v>
      </c>
      <c r="F31" s="22">
        <v>950000.0</v>
      </c>
      <c r="G31" s="23">
        <v>0.0</v>
      </c>
      <c r="H31" s="24">
        <v>8.7468459E7</v>
      </c>
      <c r="I31" s="24" t="str">
        <f>IFERROR(__xludf.DUMMYFUNCTION("REGEXEXTRACT(E31, ""ک\s(\d{16})"")"),"6063731022374301")</f>
        <v>6063731022374301</v>
      </c>
      <c r="J31" s="25" t="s">
        <v>37</v>
      </c>
      <c r="K31" s="20" t="s">
        <v>104</v>
      </c>
      <c r="L31" s="26" t="s">
        <v>39</v>
      </c>
      <c r="M31" s="26" t="s">
        <v>40</v>
      </c>
      <c r="N31" s="27" t="s">
        <v>40</v>
      </c>
      <c r="O31" s="2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ht="25.5" customHeight="1">
      <c r="A32" s="19">
        <v>24.0</v>
      </c>
      <c r="B32" s="19" t="s">
        <v>95</v>
      </c>
      <c r="C32" s="20" t="s">
        <v>105</v>
      </c>
      <c r="D32" s="21" t="s">
        <v>35</v>
      </c>
      <c r="E32" s="21" t="s">
        <v>106</v>
      </c>
      <c r="F32" s="22">
        <v>550000.0</v>
      </c>
      <c r="G32" s="23">
        <v>0.0</v>
      </c>
      <c r="H32" s="24">
        <v>8.8018459E7</v>
      </c>
      <c r="I32" s="24" t="str">
        <f>IFERROR(__xludf.DUMMYFUNCTION("REGEXEXTRACT(E32, ""ک\s(\d{16})"")"),"6037997466532679")</f>
        <v>6037997466532679</v>
      </c>
      <c r="J32" s="25" t="s">
        <v>37</v>
      </c>
      <c r="K32" s="20" t="s">
        <v>107</v>
      </c>
      <c r="L32" s="26" t="s">
        <v>39</v>
      </c>
      <c r="M32" s="26" t="s">
        <v>40</v>
      </c>
      <c r="N32" s="27" t="s">
        <v>40</v>
      </c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ht="25.5" customHeight="1">
      <c r="A33" s="19">
        <v>25.0</v>
      </c>
      <c r="B33" s="19" t="s">
        <v>95</v>
      </c>
      <c r="C33" s="20" t="s">
        <v>108</v>
      </c>
      <c r="D33" s="21" t="s">
        <v>109</v>
      </c>
      <c r="E33" s="21" t="s">
        <v>110</v>
      </c>
      <c r="F33" s="22">
        <v>1000000.0</v>
      </c>
      <c r="G33" s="23">
        <v>0.0</v>
      </c>
      <c r="H33" s="24">
        <v>8.9018459E7</v>
      </c>
      <c r="I33" s="24" t="str">
        <f>IFERROR(__xludf.DUMMYFUNCTION("REGEXEXTRACT(E33, ""ک\s(\d{16})"")"),"#N/A")</f>
        <v>#N/A</v>
      </c>
      <c r="J33" s="25" t="s">
        <v>111</v>
      </c>
      <c r="K33" s="20" t="s">
        <v>112</v>
      </c>
      <c r="L33" s="26" t="s">
        <v>39</v>
      </c>
      <c r="M33" s="26" t="s">
        <v>40</v>
      </c>
      <c r="N33" s="27" t="s">
        <v>40</v>
      </c>
      <c r="O33" s="2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ht="25.5" customHeight="1">
      <c r="A34" s="19">
        <v>26.0</v>
      </c>
      <c r="B34" s="19" t="s">
        <v>95</v>
      </c>
      <c r="C34" s="20" t="s">
        <v>113</v>
      </c>
      <c r="D34" s="21" t="s">
        <v>44</v>
      </c>
      <c r="E34" s="21" t="s">
        <v>114</v>
      </c>
      <c r="F34" s="22">
        <v>0.0</v>
      </c>
      <c r="G34" s="23">
        <v>1.56E7</v>
      </c>
      <c r="H34" s="24">
        <v>7.3418459E7</v>
      </c>
      <c r="I34" s="24" t="str">
        <f>IFERROR(__xludf.DUMMYFUNCTION("REGEXEXTRACT(E34, ""ک\s(\d{16})"")"),"6219861085979838")</f>
        <v>6219861085979838</v>
      </c>
      <c r="J34" s="25" t="s">
        <v>37</v>
      </c>
      <c r="K34" s="20" t="s">
        <v>115</v>
      </c>
      <c r="L34" s="26" t="s">
        <v>39</v>
      </c>
      <c r="M34" s="26" t="s">
        <v>40</v>
      </c>
      <c r="N34" s="27" t="s">
        <v>40</v>
      </c>
      <c r="O34" s="2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ht="25.5" customHeight="1">
      <c r="A35" s="19">
        <v>27.0</v>
      </c>
      <c r="B35" s="19" t="s">
        <v>95</v>
      </c>
      <c r="C35" s="20" t="s">
        <v>116</v>
      </c>
      <c r="D35" s="21" t="s">
        <v>44</v>
      </c>
      <c r="E35" s="21" t="s">
        <v>117</v>
      </c>
      <c r="F35" s="22">
        <v>0.0</v>
      </c>
      <c r="G35" s="23">
        <v>1400000.0</v>
      </c>
      <c r="H35" s="24">
        <v>7.2018459E7</v>
      </c>
      <c r="I35" s="24" t="str">
        <f>IFERROR(__xludf.DUMMYFUNCTION("REGEXEXTRACT(E35, ""ک\s(\d{16})"")"),"6219861085979838")</f>
        <v>6219861085979838</v>
      </c>
      <c r="J35" s="25" t="s">
        <v>37</v>
      </c>
      <c r="K35" s="20" t="s">
        <v>118</v>
      </c>
      <c r="L35" s="26" t="s">
        <v>39</v>
      </c>
      <c r="M35" s="26" t="s">
        <v>40</v>
      </c>
      <c r="N35" s="27" t="s">
        <v>40</v>
      </c>
      <c r="O35" s="27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ht="25.5" customHeight="1">
      <c r="A36" s="19">
        <v>28.0</v>
      </c>
      <c r="B36" s="19" t="s">
        <v>95</v>
      </c>
      <c r="C36" s="20" t="s">
        <v>119</v>
      </c>
      <c r="D36" s="21" t="s">
        <v>35</v>
      </c>
      <c r="E36" s="21" t="s">
        <v>120</v>
      </c>
      <c r="F36" s="22">
        <v>600000.0</v>
      </c>
      <c r="G36" s="23">
        <v>0.0</v>
      </c>
      <c r="H36" s="24">
        <v>7.2618459E7</v>
      </c>
      <c r="I36" s="24" t="str">
        <f>IFERROR(__xludf.DUMMYFUNCTION("REGEXEXTRACT(E36, ""ک\s(\d{16})"")"),"6104338676737337")</f>
        <v>6104338676737337</v>
      </c>
      <c r="J36" s="25" t="s">
        <v>37</v>
      </c>
      <c r="K36" s="20" t="s">
        <v>121</v>
      </c>
      <c r="L36" s="26" t="s">
        <v>39</v>
      </c>
      <c r="M36" s="26" t="s">
        <v>40</v>
      </c>
      <c r="N36" s="27" t="s">
        <v>40</v>
      </c>
      <c r="O36" s="27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ht="25.5" customHeight="1">
      <c r="A37" s="19">
        <v>29.0</v>
      </c>
      <c r="B37" s="19" t="s">
        <v>95</v>
      </c>
      <c r="C37" s="20" t="s">
        <v>122</v>
      </c>
      <c r="D37" s="21" t="s">
        <v>35</v>
      </c>
      <c r="E37" s="21" t="s">
        <v>123</v>
      </c>
      <c r="F37" s="22">
        <v>0.0</v>
      </c>
      <c r="G37" s="23">
        <v>4950000.0</v>
      </c>
      <c r="H37" s="24">
        <v>6.7668459E7</v>
      </c>
      <c r="I37" s="24" t="str">
        <f>IFERROR(__xludf.DUMMYFUNCTION("REGEXEXTRACT(E37, ""ک\s(\d{16})"")"),"6037697609800401")</f>
        <v>6037697609800401</v>
      </c>
      <c r="J37" s="25" t="s">
        <v>37</v>
      </c>
      <c r="K37" s="20" t="s">
        <v>124</v>
      </c>
      <c r="L37" s="26" t="s">
        <v>39</v>
      </c>
      <c r="M37" s="26" t="s">
        <v>40</v>
      </c>
      <c r="N37" s="27" t="s">
        <v>40</v>
      </c>
      <c r="O37" s="27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ht="25.5" customHeight="1">
      <c r="A38" s="19">
        <v>30.0</v>
      </c>
      <c r="B38" s="19" t="s">
        <v>95</v>
      </c>
      <c r="C38" s="20" t="s">
        <v>122</v>
      </c>
      <c r="D38" s="21" t="s">
        <v>35</v>
      </c>
      <c r="E38" s="21" t="s">
        <v>125</v>
      </c>
      <c r="F38" s="22">
        <v>0.0</v>
      </c>
      <c r="G38" s="23">
        <v>9000.0</v>
      </c>
      <c r="H38" s="24">
        <v>6.7659459E7</v>
      </c>
      <c r="I38" s="24" t="str">
        <f>IFERROR(__xludf.DUMMYFUNCTION("REGEXEXTRACT(E38, ""ک\s(\d{16})"")"),"6219861085979838")</f>
        <v>6219861085979838</v>
      </c>
      <c r="J38" s="25" t="s">
        <v>37</v>
      </c>
      <c r="K38" s="20" t="s">
        <v>124</v>
      </c>
      <c r="L38" s="26" t="s">
        <v>39</v>
      </c>
      <c r="M38" s="26" t="s">
        <v>40</v>
      </c>
      <c r="N38" s="27" t="s">
        <v>40</v>
      </c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ht="25.5" customHeight="1">
      <c r="A39" s="19">
        <v>31.0</v>
      </c>
      <c r="B39" s="19" t="s">
        <v>95</v>
      </c>
      <c r="C39" s="20" t="s">
        <v>126</v>
      </c>
      <c r="D39" s="21" t="s">
        <v>35</v>
      </c>
      <c r="E39" s="21" t="s">
        <v>127</v>
      </c>
      <c r="F39" s="22">
        <v>0.0</v>
      </c>
      <c r="G39" s="23">
        <v>2.14896E7</v>
      </c>
      <c r="H39" s="24">
        <v>4.6169859E7</v>
      </c>
      <c r="I39" s="24" t="str">
        <f>IFERROR(__xludf.DUMMYFUNCTION("REGEXEXTRACT(E39, ""ک\s(\d{16})"")"),"6104338738476148")</f>
        <v>6104338738476148</v>
      </c>
      <c r="J39" s="25" t="s">
        <v>37</v>
      </c>
      <c r="K39" s="20" t="s">
        <v>128</v>
      </c>
      <c r="L39" s="26" t="s">
        <v>39</v>
      </c>
      <c r="M39" s="26" t="s">
        <v>40</v>
      </c>
      <c r="N39" s="27" t="s">
        <v>40</v>
      </c>
      <c r="O39" s="27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ht="25.5" customHeight="1">
      <c r="A40" s="19">
        <v>32.0</v>
      </c>
      <c r="B40" s="19" t="s">
        <v>95</v>
      </c>
      <c r="C40" s="20" t="s">
        <v>126</v>
      </c>
      <c r="D40" s="21" t="s">
        <v>35</v>
      </c>
      <c r="E40" s="21" t="s">
        <v>129</v>
      </c>
      <c r="F40" s="22">
        <v>0.0</v>
      </c>
      <c r="G40" s="23">
        <v>15400.0</v>
      </c>
      <c r="H40" s="24">
        <v>4.6154459E7</v>
      </c>
      <c r="I40" s="24" t="str">
        <f>IFERROR(__xludf.DUMMYFUNCTION("REGEXEXTRACT(E40, ""ک\s(\d{16})"")"),"6219861085979838")</f>
        <v>6219861085979838</v>
      </c>
      <c r="J40" s="25" t="s">
        <v>37</v>
      </c>
      <c r="K40" s="20" t="s">
        <v>128</v>
      </c>
      <c r="L40" s="26" t="s">
        <v>39</v>
      </c>
      <c r="M40" s="26" t="s">
        <v>40</v>
      </c>
      <c r="N40" s="27" t="s">
        <v>40</v>
      </c>
      <c r="O40" s="27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ht="25.5" customHeight="1">
      <c r="A41" s="19">
        <v>33.0</v>
      </c>
      <c r="B41" s="19" t="s">
        <v>95</v>
      </c>
      <c r="C41" s="20" t="s">
        <v>130</v>
      </c>
      <c r="D41" s="21" t="s">
        <v>35</v>
      </c>
      <c r="E41" s="21" t="s">
        <v>131</v>
      </c>
      <c r="F41" s="22">
        <v>0.0</v>
      </c>
      <c r="G41" s="23">
        <v>9600000.0</v>
      </c>
      <c r="H41" s="24">
        <v>3.6554459E7</v>
      </c>
      <c r="I41" s="24" t="str">
        <f>IFERROR(__xludf.DUMMYFUNCTION("REGEXEXTRACT(E41, ""ک\s(\d{16})"")"),"6037997381658112")</f>
        <v>6037997381658112</v>
      </c>
      <c r="J41" s="25" t="s">
        <v>37</v>
      </c>
      <c r="K41" s="20" t="s">
        <v>132</v>
      </c>
      <c r="L41" s="26" t="s">
        <v>39</v>
      </c>
      <c r="M41" s="26" t="s">
        <v>40</v>
      </c>
      <c r="N41" s="27" t="s">
        <v>40</v>
      </c>
      <c r="O41" s="27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ht="25.5" customHeight="1">
      <c r="A42" s="19">
        <v>34.0</v>
      </c>
      <c r="B42" s="19" t="s">
        <v>95</v>
      </c>
      <c r="C42" s="20" t="s">
        <v>130</v>
      </c>
      <c r="D42" s="21" t="s">
        <v>35</v>
      </c>
      <c r="E42" s="21" t="s">
        <v>133</v>
      </c>
      <c r="F42" s="22">
        <v>0.0</v>
      </c>
      <c r="G42" s="23">
        <v>9000.0</v>
      </c>
      <c r="H42" s="24">
        <v>3.6545459E7</v>
      </c>
      <c r="I42" s="24" t="str">
        <f>IFERROR(__xludf.DUMMYFUNCTION("REGEXEXTRACT(E42, ""ک\s(\d{16})"")"),"6219861085979838")</f>
        <v>6219861085979838</v>
      </c>
      <c r="J42" s="25" t="s">
        <v>37</v>
      </c>
      <c r="K42" s="20" t="s">
        <v>132</v>
      </c>
      <c r="L42" s="26" t="s">
        <v>39</v>
      </c>
      <c r="M42" s="26" t="s">
        <v>40</v>
      </c>
      <c r="N42" s="27" t="s">
        <v>40</v>
      </c>
      <c r="O42" s="2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ht="25.5" customHeight="1">
      <c r="A43" s="19">
        <v>35.0</v>
      </c>
      <c r="B43" s="19" t="s">
        <v>95</v>
      </c>
      <c r="C43" s="20" t="s">
        <v>134</v>
      </c>
      <c r="D43" s="21" t="s">
        <v>35</v>
      </c>
      <c r="E43" s="21" t="s">
        <v>135</v>
      </c>
      <c r="F43" s="22">
        <v>800000.0</v>
      </c>
      <c r="G43" s="23">
        <v>0.0</v>
      </c>
      <c r="H43" s="24">
        <v>3.7345459E7</v>
      </c>
      <c r="I43" s="24" t="str">
        <f>IFERROR(__xludf.DUMMYFUNCTION("REGEXEXTRACT(E43, ""ک\s(\d{16})"")"),"5859831812791340")</f>
        <v>5859831812791340</v>
      </c>
      <c r="J43" s="25" t="s">
        <v>37</v>
      </c>
      <c r="K43" s="20" t="s">
        <v>136</v>
      </c>
      <c r="L43" s="26" t="s">
        <v>39</v>
      </c>
      <c r="M43" s="26" t="s">
        <v>40</v>
      </c>
      <c r="N43" s="27" t="s">
        <v>40</v>
      </c>
      <c r="O43" s="2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ht="25.5" customHeight="1">
      <c r="A44" s="19">
        <v>36.0</v>
      </c>
      <c r="B44" s="19" t="s">
        <v>95</v>
      </c>
      <c r="C44" s="20" t="s">
        <v>137</v>
      </c>
      <c r="D44" s="21" t="s">
        <v>35</v>
      </c>
      <c r="E44" s="21" t="s">
        <v>138</v>
      </c>
      <c r="F44" s="22">
        <v>1100000.0</v>
      </c>
      <c r="G44" s="23">
        <v>0.0</v>
      </c>
      <c r="H44" s="24">
        <v>3.8445459E7</v>
      </c>
      <c r="I44" s="24" t="str">
        <f>IFERROR(__xludf.DUMMYFUNCTION("REGEXEXTRACT(E44, ""ک\s(\d{16})"")"),"6104337348955376")</f>
        <v>6104337348955376</v>
      </c>
      <c r="J44" s="25" t="s">
        <v>37</v>
      </c>
      <c r="K44" s="20" t="s">
        <v>139</v>
      </c>
      <c r="L44" s="26" t="s">
        <v>39</v>
      </c>
      <c r="M44" s="26" t="s">
        <v>40</v>
      </c>
      <c r="N44" s="27" t="s">
        <v>40</v>
      </c>
      <c r="O44" s="2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ht="25.5" customHeight="1">
      <c r="A45" s="19">
        <v>37.0</v>
      </c>
      <c r="B45" s="19" t="s">
        <v>140</v>
      </c>
      <c r="C45" s="20" t="s">
        <v>141</v>
      </c>
      <c r="D45" s="21" t="s">
        <v>97</v>
      </c>
      <c r="E45" s="21" t="s">
        <v>142</v>
      </c>
      <c r="F45" s="22">
        <v>1.41E8</v>
      </c>
      <c r="G45" s="23">
        <v>0.0</v>
      </c>
      <c r="H45" s="24">
        <v>1.79445459E8</v>
      </c>
      <c r="I45" s="24" t="str">
        <f>IFERROR(__xludf.DUMMYFUNCTION("REGEXEXTRACT(E45, ""ک\s(\d{16})"")"),"#N/A")</f>
        <v>#N/A</v>
      </c>
      <c r="J45" s="25" t="s">
        <v>99</v>
      </c>
      <c r="K45" s="20" t="s">
        <v>143</v>
      </c>
      <c r="L45" s="26" t="s">
        <v>39</v>
      </c>
      <c r="M45" s="26" t="s">
        <v>40</v>
      </c>
      <c r="N45" s="27" t="s">
        <v>40</v>
      </c>
      <c r="O45" s="27" t="s">
        <v>144</v>
      </c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ht="25.5" customHeight="1">
      <c r="A46" s="19">
        <v>38.0</v>
      </c>
      <c r="B46" s="19" t="s">
        <v>140</v>
      </c>
      <c r="C46" s="20" t="s">
        <v>145</v>
      </c>
      <c r="D46" s="21" t="s">
        <v>35</v>
      </c>
      <c r="E46" s="21" t="s">
        <v>146</v>
      </c>
      <c r="F46" s="22">
        <v>1100000.0</v>
      </c>
      <c r="G46" s="23">
        <v>0.0</v>
      </c>
      <c r="H46" s="24">
        <v>1.80545459E8</v>
      </c>
      <c r="I46" s="24" t="str">
        <f>IFERROR(__xludf.DUMMYFUNCTION("REGEXEXTRACT(E46, ""ک\s(\d{16})"")"),"5057851033294510")</f>
        <v>5057851033294510</v>
      </c>
      <c r="J46" s="25" t="s">
        <v>37</v>
      </c>
      <c r="K46" s="20" t="s">
        <v>147</v>
      </c>
      <c r="L46" s="26" t="s">
        <v>39</v>
      </c>
      <c r="M46" s="26" t="s">
        <v>40</v>
      </c>
      <c r="N46" s="27" t="s">
        <v>40</v>
      </c>
      <c r="O46" s="2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ht="25.5" customHeight="1">
      <c r="A47" s="19">
        <v>39.0</v>
      </c>
      <c r="B47" s="19" t="s">
        <v>140</v>
      </c>
      <c r="C47" s="20" t="s">
        <v>148</v>
      </c>
      <c r="D47" s="21" t="s">
        <v>44</v>
      </c>
      <c r="E47" s="21" t="s">
        <v>149</v>
      </c>
      <c r="F47" s="22">
        <v>0.0</v>
      </c>
      <c r="G47" s="23">
        <v>1.16E7</v>
      </c>
      <c r="H47" s="24">
        <v>1.68945459E8</v>
      </c>
      <c r="I47" s="24" t="str">
        <f>IFERROR(__xludf.DUMMYFUNCTION("REGEXEXTRACT(E47, ""ک\s(\d{16})"")"),"6219861085979838")</f>
        <v>6219861085979838</v>
      </c>
      <c r="J47" s="25" t="s">
        <v>37</v>
      </c>
      <c r="K47" s="20" t="s">
        <v>150</v>
      </c>
      <c r="L47" s="26" t="s">
        <v>39</v>
      </c>
      <c r="M47" s="26" t="s">
        <v>40</v>
      </c>
      <c r="N47" s="27" t="s">
        <v>40</v>
      </c>
      <c r="O47" s="2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ht="25.5" customHeight="1">
      <c r="A48" s="19">
        <v>40.0</v>
      </c>
      <c r="B48" s="19" t="s">
        <v>140</v>
      </c>
      <c r="C48" s="20" t="s">
        <v>151</v>
      </c>
      <c r="D48" s="21" t="s">
        <v>35</v>
      </c>
      <c r="E48" s="21" t="s">
        <v>152</v>
      </c>
      <c r="F48" s="22">
        <v>1250000.0</v>
      </c>
      <c r="G48" s="23">
        <v>0.0</v>
      </c>
      <c r="H48" s="24">
        <v>1.70195459E8</v>
      </c>
      <c r="I48" s="24" t="str">
        <f>IFERROR(__xludf.DUMMYFUNCTION("REGEXEXTRACT(E48, ""ک\s(\d{16})"")"),"6037991794272728")</f>
        <v>6037991794272728</v>
      </c>
      <c r="J48" s="25" t="s">
        <v>37</v>
      </c>
      <c r="K48" s="20" t="s">
        <v>153</v>
      </c>
      <c r="L48" s="26" t="s">
        <v>39</v>
      </c>
      <c r="M48" s="26" t="s">
        <v>40</v>
      </c>
      <c r="N48" s="27" t="s">
        <v>40</v>
      </c>
      <c r="O48" s="27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ht="25.5" customHeight="1">
      <c r="A49" s="19">
        <v>41.0</v>
      </c>
      <c r="B49" s="19" t="s">
        <v>140</v>
      </c>
      <c r="C49" s="20" t="s">
        <v>154</v>
      </c>
      <c r="D49" s="21" t="s">
        <v>71</v>
      </c>
      <c r="E49" s="21" t="s">
        <v>155</v>
      </c>
      <c r="F49" s="22">
        <v>0.0</v>
      </c>
      <c r="G49" s="23">
        <v>1800.0</v>
      </c>
      <c r="H49" s="24">
        <v>1.70193659E8</v>
      </c>
      <c r="I49" s="24" t="str">
        <f>IFERROR(__xludf.DUMMYFUNCTION("REGEXEXTRACT(E49, ""ک\s(\d{16})"")"),"6219861085979838")</f>
        <v>6219861085979838</v>
      </c>
      <c r="J49" s="25" t="s">
        <v>37</v>
      </c>
      <c r="K49" s="20" t="s">
        <v>156</v>
      </c>
      <c r="L49" s="26" t="s">
        <v>39</v>
      </c>
      <c r="M49" s="26" t="s">
        <v>40</v>
      </c>
      <c r="N49" s="27" t="s">
        <v>40</v>
      </c>
      <c r="O49" s="2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25.5" customHeight="1">
      <c r="A50" s="19">
        <v>42.0</v>
      </c>
      <c r="B50" s="19" t="s">
        <v>140</v>
      </c>
      <c r="C50" s="20" t="s">
        <v>157</v>
      </c>
      <c r="D50" s="21" t="s">
        <v>44</v>
      </c>
      <c r="E50" s="21" t="s">
        <v>158</v>
      </c>
      <c r="F50" s="22">
        <v>0.0</v>
      </c>
      <c r="G50" s="23">
        <v>1.04E7</v>
      </c>
      <c r="H50" s="24">
        <v>1.59793659E8</v>
      </c>
      <c r="I50" s="24" t="str">
        <f>IFERROR(__xludf.DUMMYFUNCTION("REGEXEXTRACT(E50, ""ک\s(\d{16})"")"),"6219861085979838")</f>
        <v>6219861085979838</v>
      </c>
      <c r="J50" s="25" t="s">
        <v>37</v>
      </c>
      <c r="K50" s="20" t="s">
        <v>159</v>
      </c>
      <c r="L50" s="26" t="s">
        <v>39</v>
      </c>
      <c r="M50" s="26" t="s">
        <v>40</v>
      </c>
      <c r="N50" s="27" t="s">
        <v>40</v>
      </c>
      <c r="O50" s="27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ht="25.5" customHeight="1">
      <c r="A51" s="19">
        <v>43.0</v>
      </c>
      <c r="B51" s="19" t="s">
        <v>140</v>
      </c>
      <c r="C51" s="20" t="s">
        <v>160</v>
      </c>
      <c r="D51" s="21" t="s">
        <v>44</v>
      </c>
      <c r="E51" s="21" t="s">
        <v>161</v>
      </c>
      <c r="F51" s="22">
        <v>0.0</v>
      </c>
      <c r="G51" s="23">
        <v>1.412E7</v>
      </c>
      <c r="H51" s="24">
        <v>1.45673659E8</v>
      </c>
      <c r="I51" s="24" t="str">
        <f>IFERROR(__xludf.DUMMYFUNCTION("REGEXEXTRACT(E51, ""ک\s(\d{16})"")"),"6219861085979838")</f>
        <v>6219861085979838</v>
      </c>
      <c r="J51" s="25" t="s">
        <v>37</v>
      </c>
      <c r="K51" s="20" t="s">
        <v>162</v>
      </c>
      <c r="L51" s="26" t="s">
        <v>39</v>
      </c>
      <c r="M51" s="26" t="s">
        <v>40</v>
      </c>
      <c r="N51" s="27" t="s">
        <v>40</v>
      </c>
      <c r="O51" s="27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ht="25.5" customHeight="1">
      <c r="A52" s="19">
        <v>44.0</v>
      </c>
      <c r="B52" s="19" t="s">
        <v>140</v>
      </c>
      <c r="C52" s="20" t="s">
        <v>163</v>
      </c>
      <c r="D52" s="21" t="s">
        <v>44</v>
      </c>
      <c r="E52" s="21" t="s">
        <v>164</v>
      </c>
      <c r="F52" s="22">
        <v>0.0</v>
      </c>
      <c r="G52" s="23">
        <v>4.37E7</v>
      </c>
      <c r="H52" s="24">
        <v>1.01973659E8</v>
      </c>
      <c r="I52" s="24" t="str">
        <f>IFERROR(__xludf.DUMMYFUNCTION("REGEXEXTRACT(E52, ""ک\s(\d{16})"")"),"6219861085979838")</f>
        <v>6219861085979838</v>
      </c>
      <c r="J52" s="25" t="s">
        <v>37</v>
      </c>
      <c r="K52" s="20" t="s">
        <v>165</v>
      </c>
      <c r="L52" s="26" t="s">
        <v>39</v>
      </c>
      <c r="M52" s="26" t="s">
        <v>40</v>
      </c>
      <c r="N52" s="27" t="s">
        <v>40</v>
      </c>
      <c r="O52" s="27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ht="25.5" customHeight="1">
      <c r="A53" s="19">
        <v>45.0</v>
      </c>
      <c r="B53" s="19" t="s">
        <v>140</v>
      </c>
      <c r="C53" s="20" t="s">
        <v>166</v>
      </c>
      <c r="D53" s="21" t="s">
        <v>35</v>
      </c>
      <c r="E53" s="21" t="s">
        <v>167</v>
      </c>
      <c r="F53" s="22">
        <v>2250000.0</v>
      </c>
      <c r="G53" s="23">
        <v>0.0</v>
      </c>
      <c r="H53" s="24">
        <v>1.04223659E8</v>
      </c>
      <c r="I53" s="24" t="str">
        <f>IFERROR(__xludf.DUMMYFUNCTION("REGEXEXTRACT(E53, ""ک\s(\d{16})"")"),"6037998111666086")</f>
        <v>6037998111666086</v>
      </c>
      <c r="J53" s="25" t="s">
        <v>37</v>
      </c>
      <c r="K53" s="20" t="s">
        <v>168</v>
      </c>
      <c r="L53" s="26" t="s">
        <v>39</v>
      </c>
      <c r="M53" s="26" t="s">
        <v>40</v>
      </c>
      <c r="N53" s="27" t="s">
        <v>40</v>
      </c>
      <c r="O53" s="27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ht="25.5" customHeight="1">
      <c r="A54" s="19">
        <v>46.0</v>
      </c>
      <c r="B54" s="19" t="s">
        <v>140</v>
      </c>
      <c r="C54" s="20" t="s">
        <v>169</v>
      </c>
      <c r="D54" s="21" t="s">
        <v>44</v>
      </c>
      <c r="E54" s="21" t="s">
        <v>170</v>
      </c>
      <c r="F54" s="22">
        <v>0.0</v>
      </c>
      <c r="G54" s="23">
        <v>3200000.0</v>
      </c>
      <c r="H54" s="24">
        <v>1.01023659E8</v>
      </c>
      <c r="I54" s="24" t="str">
        <f>IFERROR(__xludf.DUMMYFUNCTION("REGEXEXTRACT(E54, ""ک\s(\d{16})"")"),"6219861085979838")</f>
        <v>6219861085979838</v>
      </c>
      <c r="J54" s="25" t="s">
        <v>37</v>
      </c>
      <c r="K54" s="20" t="s">
        <v>171</v>
      </c>
      <c r="L54" s="26" t="s">
        <v>39</v>
      </c>
      <c r="M54" s="26" t="s">
        <v>40</v>
      </c>
      <c r="N54" s="27" t="s">
        <v>40</v>
      </c>
      <c r="O54" s="27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ht="25.5" customHeight="1">
      <c r="A55" s="19">
        <v>47.0</v>
      </c>
      <c r="B55" s="19" t="s">
        <v>140</v>
      </c>
      <c r="C55" s="20" t="s">
        <v>172</v>
      </c>
      <c r="D55" s="21" t="s">
        <v>71</v>
      </c>
      <c r="E55" s="21" t="s">
        <v>173</v>
      </c>
      <c r="F55" s="22">
        <v>0.0</v>
      </c>
      <c r="G55" s="23">
        <v>1800.0</v>
      </c>
      <c r="H55" s="24">
        <v>1.01021859E8</v>
      </c>
      <c r="I55" s="24" t="str">
        <f>IFERROR(__xludf.DUMMYFUNCTION("REGEXEXTRACT(E55, ""ک\s(\d{16})"")"),"6219861085979838")</f>
        <v>6219861085979838</v>
      </c>
      <c r="J55" s="25" t="s">
        <v>37</v>
      </c>
      <c r="K55" s="20" t="s">
        <v>174</v>
      </c>
      <c r="L55" s="26" t="s">
        <v>39</v>
      </c>
      <c r="M55" s="26" t="s">
        <v>40</v>
      </c>
      <c r="N55" s="27" t="s">
        <v>40</v>
      </c>
      <c r="O55" s="27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ht="25.5" customHeight="1">
      <c r="A56" s="19">
        <v>48.0</v>
      </c>
      <c r="B56" s="19" t="s">
        <v>140</v>
      </c>
      <c r="C56" s="20" t="s">
        <v>175</v>
      </c>
      <c r="D56" s="21" t="s">
        <v>35</v>
      </c>
      <c r="E56" s="21" t="s">
        <v>176</v>
      </c>
      <c r="F56" s="22">
        <v>0.0</v>
      </c>
      <c r="G56" s="23">
        <v>7.247E7</v>
      </c>
      <c r="H56" s="24">
        <v>2.8551859E7</v>
      </c>
      <c r="I56" s="24" t="str">
        <f>IFERROR(__xludf.DUMMYFUNCTION("REGEXEXTRACT(E56, ""ک\s(\d{16})"")"),"6274121208660688")</f>
        <v>6274121208660688</v>
      </c>
      <c r="J56" s="25" t="s">
        <v>37</v>
      </c>
      <c r="K56" s="20" t="s">
        <v>177</v>
      </c>
      <c r="L56" s="26" t="s">
        <v>39</v>
      </c>
      <c r="M56" s="26" t="s">
        <v>40</v>
      </c>
      <c r="N56" s="27" t="s">
        <v>40</v>
      </c>
      <c r="O56" s="27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ht="25.5" customHeight="1">
      <c r="A57" s="19">
        <v>49.0</v>
      </c>
      <c r="B57" s="19" t="s">
        <v>140</v>
      </c>
      <c r="C57" s="20" t="s">
        <v>175</v>
      </c>
      <c r="D57" s="21" t="s">
        <v>35</v>
      </c>
      <c r="E57" s="21" t="s">
        <v>178</v>
      </c>
      <c r="F57" s="22">
        <v>0.0</v>
      </c>
      <c r="G57" s="23">
        <v>31400.0</v>
      </c>
      <c r="H57" s="24">
        <v>2.8520459E7</v>
      </c>
      <c r="I57" s="24" t="str">
        <f>IFERROR(__xludf.DUMMYFUNCTION("REGEXEXTRACT(E57, ""ک\s(\d{16})"")"),"6219861085979838")</f>
        <v>6219861085979838</v>
      </c>
      <c r="J57" s="25" t="s">
        <v>37</v>
      </c>
      <c r="K57" s="20" t="s">
        <v>177</v>
      </c>
      <c r="L57" s="26" t="s">
        <v>39</v>
      </c>
      <c r="M57" s="26" t="s">
        <v>40</v>
      </c>
      <c r="N57" s="27" t="s">
        <v>40</v>
      </c>
      <c r="O57" s="27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25.5" customHeight="1">
      <c r="A58" s="19">
        <v>50.0</v>
      </c>
      <c r="B58" s="19" t="s">
        <v>140</v>
      </c>
      <c r="C58" s="20" t="s">
        <v>179</v>
      </c>
      <c r="D58" s="21" t="s">
        <v>35</v>
      </c>
      <c r="E58" s="21" t="s">
        <v>180</v>
      </c>
      <c r="F58" s="22">
        <v>0.0</v>
      </c>
      <c r="G58" s="23">
        <v>1.35E7</v>
      </c>
      <c r="H58" s="24">
        <v>1.5020459E7</v>
      </c>
      <c r="I58" s="24" t="str">
        <f>IFERROR(__xludf.DUMMYFUNCTION("REGEXEXTRACT(E58, ""ک\s(\d{16})"")"),"6037997272771941")</f>
        <v>6037997272771941</v>
      </c>
      <c r="J58" s="25" t="s">
        <v>37</v>
      </c>
      <c r="K58" s="20" t="s">
        <v>181</v>
      </c>
      <c r="L58" s="26" t="s">
        <v>39</v>
      </c>
      <c r="M58" s="26" t="s">
        <v>40</v>
      </c>
      <c r="N58" s="27" t="s">
        <v>40</v>
      </c>
      <c r="O58" s="27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ht="25.5" customHeight="1">
      <c r="A59" s="19">
        <v>51.0</v>
      </c>
      <c r="B59" s="19" t="s">
        <v>140</v>
      </c>
      <c r="C59" s="20" t="s">
        <v>179</v>
      </c>
      <c r="D59" s="21" t="s">
        <v>35</v>
      </c>
      <c r="E59" s="21" t="s">
        <v>182</v>
      </c>
      <c r="F59" s="22">
        <v>0.0</v>
      </c>
      <c r="G59" s="23">
        <v>12200.0</v>
      </c>
      <c r="H59" s="24">
        <v>1.5008259E7</v>
      </c>
      <c r="I59" s="24" t="str">
        <f>IFERROR(__xludf.DUMMYFUNCTION("REGEXEXTRACT(E59, ""ک\s(\d{16})"")"),"6219861085979838")</f>
        <v>6219861085979838</v>
      </c>
      <c r="J59" s="25" t="s">
        <v>37</v>
      </c>
      <c r="K59" s="20" t="s">
        <v>181</v>
      </c>
      <c r="L59" s="26" t="s">
        <v>39</v>
      </c>
      <c r="M59" s="26" t="s">
        <v>40</v>
      </c>
      <c r="N59" s="27" t="s">
        <v>40</v>
      </c>
      <c r="O59" s="27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ht="25.5" customHeight="1">
      <c r="A60" s="19">
        <v>52.0</v>
      </c>
      <c r="B60" s="19" t="s">
        <v>183</v>
      </c>
      <c r="C60" s="20" t="s">
        <v>184</v>
      </c>
      <c r="D60" s="21" t="s">
        <v>97</v>
      </c>
      <c r="E60" s="21" t="s">
        <v>185</v>
      </c>
      <c r="F60" s="22">
        <v>1.3E8</v>
      </c>
      <c r="G60" s="23">
        <v>0.0</v>
      </c>
      <c r="H60" s="24">
        <v>1.45008259E8</v>
      </c>
      <c r="I60" s="24" t="str">
        <f>IFERROR(__xludf.DUMMYFUNCTION("REGEXEXTRACT(E60, ""ک\s(\d{16})"")"),"#N/A")</f>
        <v>#N/A</v>
      </c>
      <c r="J60" s="25" t="s">
        <v>99</v>
      </c>
      <c r="K60" s="20" t="s">
        <v>186</v>
      </c>
      <c r="L60" s="26" t="s">
        <v>39</v>
      </c>
      <c r="M60" s="26" t="s">
        <v>40</v>
      </c>
      <c r="N60" s="27" t="s">
        <v>40</v>
      </c>
      <c r="O60" s="27" t="s">
        <v>187</v>
      </c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ht="25.5" customHeight="1">
      <c r="A61" s="19">
        <v>53.0</v>
      </c>
      <c r="B61" s="19" t="s">
        <v>183</v>
      </c>
      <c r="C61" s="20" t="s">
        <v>188</v>
      </c>
      <c r="D61" s="21" t="s">
        <v>97</v>
      </c>
      <c r="E61" s="21" t="s">
        <v>189</v>
      </c>
      <c r="F61" s="22">
        <v>4.2E7</v>
      </c>
      <c r="G61" s="23">
        <v>0.0</v>
      </c>
      <c r="H61" s="24">
        <v>1.87008259E8</v>
      </c>
      <c r="I61" s="24" t="str">
        <f>IFERROR(__xludf.DUMMYFUNCTION("REGEXEXTRACT(E61, ""ک\s(\d{16})"")"),"#N/A")</f>
        <v>#N/A</v>
      </c>
      <c r="J61" s="25" t="s">
        <v>99</v>
      </c>
      <c r="K61" s="20" t="s">
        <v>190</v>
      </c>
      <c r="L61" s="26" t="s">
        <v>39</v>
      </c>
      <c r="M61" s="26" t="s">
        <v>40</v>
      </c>
      <c r="N61" s="27" t="s">
        <v>40</v>
      </c>
      <c r="O61" s="27" t="s">
        <v>191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ht="25.5" customHeight="1">
      <c r="A62" s="19">
        <v>54.0</v>
      </c>
      <c r="B62" s="19" t="s">
        <v>183</v>
      </c>
      <c r="C62" s="20" t="s">
        <v>192</v>
      </c>
      <c r="D62" s="21" t="s">
        <v>78</v>
      </c>
      <c r="E62" s="21" t="s">
        <v>193</v>
      </c>
      <c r="F62" s="22">
        <v>0.0</v>
      </c>
      <c r="G62" s="23">
        <v>2.3E7</v>
      </c>
      <c r="H62" s="24">
        <v>1.64008259E8</v>
      </c>
      <c r="I62" s="24" t="str">
        <f>IFERROR(__xludf.DUMMYFUNCTION("REGEXEXTRACT(E62, ""ک\s(\d{16})"")"),"6219861085979838")</f>
        <v>6219861085979838</v>
      </c>
      <c r="J62" s="25" t="s">
        <v>37</v>
      </c>
      <c r="K62" s="20" t="s">
        <v>194</v>
      </c>
      <c r="L62" s="26" t="s">
        <v>39</v>
      </c>
      <c r="M62" s="26" t="s">
        <v>40</v>
      </c>
      <c r="N62" s="27" t="s">
        <v>40</v>
      </c>
      <c r="O62" s="27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ht="25.5" customHeight="1">
      <c r="A63" s="19">
        <v>55.0</v>
      </c>
      <c r="B63" s="19" t="s">
        <v>183</v>
      </c>
      <c r="C63" s="20" t="s">
        <v>195</v>
      </c>
      <c r="D63" s="21" t="s">
        <v>35</v>
      </c>
      <c r="E63" s="21" t="s">
        <v>196</v>
      </c>
      <c r="F63" s="22">
        <v>0.0</v>
      </c>
      <c r="G63" s="23">
        <v>3.0E7</v>
      </c>
      <c r="H63" s="24">
        <v>1.34008259E8</v>
      </c>
      <c r="I63" s="24" t="str">
        <f>IFERROR(__xludf.DUMMYFUNCTION("REGEXEXTRACT(E63, ""ک\s(\d{16})"")"),"6219861083639228")</f>
        <v>6219861083639228</v>
      </c>
      <c r="J63" s="25" t="s">
        <v>37</v>
      </c>
      <c r="K63" s="20" t="s">
        <v>197</v>
      </c>
      <c r="L63" s="26" t="s">
        <v>39</v>
      </c>
      <c r="M63" s="26" t="s">
        <v>40</v>
      </c>
      <c r="N63" s="27" t="s">
        <v>40</v>
      </c>
      <c r="O63" s="27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25.5" customHeight="1">
      <c r="A64" s="19">
        <v>56.0</v>
      </c>
      <c r="B64" s="19" t="s">
        <v>183</v>
      </c>
      <c r="C64" s="20" t="s">
        <v>198</v>
      </c>
      <c r="D64" s="21" t="s">
        <v>35</v>
      </c>
      <c r="E64" s="21" t="s">
        <v>199</v>
      </c>
      <c r="F64" s="22">
        <v>0.0</v>
      </c>
      <c r="G64" s="23">
        <v>3.93E7</v>
      </c>
      <c r="H64" s="24">
        <v>9.4708259E7</v>
      </c>
      <c r="I64" s="24" t="str">
        <f>IFERROR(__xludf.DUMMYFUNCTION("REGEXEXTRACT(E64, ""ک\s(\d{16})"")"),"6104337394688681")</f>
        <v>6104337394688681</v>
      </c>
      <c r="J64" s="25" t="s">
        <v>37</v>
      </c>
      <c r="K64" s="20" t="s">
        <v>200</v>
      </c>
      <c r="L64" s="26" t="s">
        <v>39</v>
      </c>
      <c r="M64" s="26" t="s">
        <v>40</v>
      </c>
      <c r="N64" s="27" t="s">
        <v>40</v>
      </c>
      <c r="O64" s="27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ht="25.5" customHeight="1">
      <c r="A65" s="19">
        <v>57.0</v>
      </c>
      <c r="B65" s="19" t="s">
        <v>183</v>
      </c>
      <c r="C65" s="20" t="s">
        <v>198</v>
      </c>
      <c r="D65" s="21" t="s">
        <v>35</v>
      </c>
      <c r="E65" s="21" t="s">
        <v>201</v>
      </c>
      <c r="F65" s="22">
        <v>0.0</v>
      </c>
      <c r="G65" s="23">
        <v>18600.0</v>
      </c>
      <c r="H65" s="24">
        <v>9.4689659E7</v>
      </c>
      <c r="I65" s="24" t="str">
        <f>IFERROR(__xludf.DUMMYFUNCTION("REGEXEXTRACT(E65, ""ک\s(\d{16})"")"),"6219861085979838")</f>
        <v>6219861085979838</v>
      </c>
      <c r="J65" s="25" t="s">
        <v>37</v>
      </c>
      <c r="K65" s="20" t="s">
        <v>200</v>
      </c>
      <c r="L65" s="26" t="s">
        <v>39</v>
      </c>
      <c r="M65" s="26" t="s">
        <v>40</v>
      </c>
      <c r="N65" s="27" t="s">
        <v>40</v>
      </c>
      <c r="O65" s="27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ht="25.5" customHeight="1">
      <c r="A66" s="19">
        <v>58.0</v>
      </c>
      <c r="B66" s="19" t="s">
        <v>183</v>
      </c>
      <c r="C66" s="20" t="s">
        <v>202</v>
      </c>
      <c r="D66" s="21" t="s">
        <v>44</v>
      </c>
      <c r="E66" s="21" t="s">
        <v>203</v>
      </c>
      <c r="F66" s="22">
        <v>0.0</v>
      </c>
      <c r="G66" s="23">
        <v>500000.0</v>
      </c>
      <c r="H66" s="24">
        <v>9.4189659E7</v>
      </c>
      <c r="I66" s="24" t="str">
        <f>IFERROR(__xludf.DUMMYFUNCTION("REGEXEXTRACT(E66, ""ک\s(\d{16})"")"),"6219861085979838")</f>
        <v>6219861085979838</v>
      </c>
      <c r="J66" s="25" t="s">
        <v>37</v>
      </c>
      <c r="K66" s="20" t="s">
        <v>204</v>
      </c>
      <c r="L66" s="26" t="s">
        <v>39</v>
      </c>
      <c r="M66" s="26" t="s">
        <v>40</v>
      </c>
      <c r="N66" s="27" t="s">
        <v>40</v>
      </c>
      <c r="O66" s="27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ht="25.5" customHeight="1">
      <c r="A67" s="19">
        <v>59.0</v>
      </c>
      <c r="B67" s="19" t="s">
        <v>183</v>
      </c>
      <c r="C67" s="20" t="s">
        <v>205</v>
      </c>
      <c r="D67" s="21" t="s">
        <v>44</v>
      </c>
      <c r="E67" s="21" t="s">
        <v>206</v>
      </c>
      <c r="F67" s="22">
        <v>0.0</v>
      </c>
      <c r="G67" s="23">
        <v>7800000.0</v>
      </c>
      <c r="H67" s="24">
        <v>8.6389659E7</v>
      </c>
      <c r="I67" s="24" t="str">
        <f>IFERROR(__xludf.DUMMYFUNCTION("REGEXEXTRACT(E67, ""ک\s(\d{16})"")"),"6219861085979838")</f>
        <v>6219861085979838</v>
      </c>
      <c r="J67" s="25" t="s">
        <v>37</v>
      </c>
      <c r="K67" s="20" t="s">
        <v>207</v>
      </c>
      <c r="L67" s="26" t="s">
        <v>39</v>
      </c>
      <c r="M67" s="26" t="s">
        <v>40</v>
      </c>
      <c r="N67" s="27" t="s">
        <v>40</v>
      </c>
      <c r="O67" s="27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ht="25.5" customHeight="1">
      <c r="A68" s="19">
        <v>60.0</v>
      </c>
      <c r="B68" s="19" t="s">
        <v>183</v>
      </c>
      <c r="C68" s="20" t="s">
        <v>208</v>
      </c>
      <c r="D68" s="21" t="s">
        <v>35</v>
      </c>
      <c r="E68" s="21" t="s">
        <v>209</v>
      </c>
      <c r="F68" s="22">
        <v>1200000.0</v>
      </c>
      <c r="G68" s="23">
        <v>0.0</v>
      </c>
      <c r="H68" s="24">
        <v>8.7589659E7</v>
      </c>
      <c r="I68" s="24" t="str">
        <f>IFERROR(__xludf.DUMMYFUNCTION("REGEXEXTRACT(E68, ""ک\s(\d{16})"")"),"5859831193602801")</f>
        <v>5859831193602801</v>
      </c>
      <c r="J68" s="25" t="s">
        <v>37</v>
      </c>
      <c r="K68" s="20" t="s">
        <v>210</v>
      </c>
      <c r="L68" s="26" t="s">
        <v>39</v>
      </c>
      <c r="M68" s="26" t="s">
        <v>40</v>
      </c>
      <c r="N68" s="27" t="s">
        <v>40</v>
      </c>
      <c r="O68" s="27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ht="25.5" customHeight="1">
      <c r="A69" s="19">
        <v>61.0</v>
      </c>
      <c r="B69" s="19" t="s">
        <v>183</v>
      </c>
      <c r="C69" s="20" t="s">
        <v>211</v>
      </c>
      <c r="D69" s="21" t="s">
        <v>71</v>
      </c>
      <c r="E69" s="21" t="s">
        <v>212</v>
      </c>
      <c r="F69" s="22">
        <v>0.0</v>
      </c>
      <c r="G69" s="23">
        <v>1800.0</v>
      </c>
      <c r="H69" s="24">
        <v>8.7587859E7</v>
      </c>
      <c r="I69" s="24" t="str">
        <f>IFERROR(__xludf.DUMMYFUNCTION("REGEXEXTRACT(E69, ""ک\s(\d{16})"")"),"6219861085979838")</f>
        <v>6219861085979838</v>
      </c>
      <c r="J69" s="25" t="s">
        <v>37</v>
      </c>
      <c r="K69" s="20" t="s">
        <v>213</v>
      </c>
      <c r="L69" s="26" t="s">
        <v>39</v>
      </c>
      <c r="M69" s="26" t="s">
        <v>40</v>
      </c>
      <c r="N69" s="27" t="s">
        <v>40</v>
      </c>
      <c r="O69" s="27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ht="25.5" customHeight="1">
      <c r="A70" s="19">
        <v>62.0</v>
      </c>
      <c r="B70" s="19" t="s">
        <v>183</v>
      </c>
      <c r="C70" s="20" t="s">
        <v>214</v>
      </c>
      <c r="D70" s="21" t="s">
        <v>35</v>
      </c>
      <c r="E70" s="21" t="s">
        <v>215</v>
      </c>
      <c r="F70" s="22">
        <v>0.0</v>
      </c>
      <c r="G70" s="23">
        <v>2.07718E7</v>
      </c>
      <c r="H70" s="24">
        <v>6.6816059E7</v>
      </c>
      <c r="I70" s="24" t="str">
        <f>IFERROR(__xludf.DUMMYFUNCTION("REGEXEXTRACT(E70, ""ک\s(\d{16})"")"),"6104338738476148")</f>
        <v>6104338738476148</v>
      </c>
      <c r="J70" s="25" t="s">
        <v>37</v>
      </c>
      <c r="K70" s="20" t="s">
        <v>216</v>
      </c>
      <c r="L70" s="26" t="s">
        <v>39</v>
      </c>
      <c r="M70" s="26" t="s">
        <v>40</v>
      </c>
      <c r="N70" s="27" t="s">
        <v>40</v>
      </c>
      <c r="O70" s="27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ht="25.5" customHeight="1">
      <c r="A71" s="19">
        <v>63.0</v>
      </c>
      <c r="B71" s="19" t="s">
        <v>183</v>
      </c>
      <c r="C71" s="20" t="s">
        <v>214</v>
      </c>
      <c r="D71" s="21" t="s">
        <v>35</v>
      </c>
      <c r="E71" s="21" t="s">
        <v>217</v>
      </c>
      <c r="F71" s="22">
        <v>0.0</v>
      </c>
      <c r="G71" s="23">
        <v>15400.0</v>
      </c>
      <c r="H71" s="24">
        <v>6.6800659E7</v>
      </c>
      <c r="I71" s="24" t="str">
        <f>IFERROR(__xludf.DUMMYFUNCTION("REGEXEXTRACT(E71, ""ک\s(\d{16})"")"),"6219861085979838")</f>
        <v>6219861085979838</v>
      </c>
      <c r="J71" s="25" t="s">
        <v>37</v>
      </c>
      <c r="K71" s="20" t="s">
        <v>216</v>
      </c>
      <c r="L71" s="26" t="s">
        <v>39</v>
      </c>
      <c r="M71" s="26" t="s">
        <v>40</v>
      </c>
      <c r="N71" s="27" t="s">
        <v>40</v>
      </c>
      <c r="O71" s="27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ht="25.5" customHeight="1">
      <c r="A72" s="19">
        <v>64.0</v>
      </c>
      <c r="B72" s="19" t="s">
        <v>183</v>
      </c>
      <c r="C72" s="20" t="s">
        <v>218</v>
      </c>
      <c r="D72" s="21" t="s">
        <v>35</v>
      </c>
      <c r="E72" s="21" t="s">
        <v>219</v>
      </c>
      <c r="F72" s="22">
        <v>0.0</v>
      </c>
      <c r="G72" s="23">
        <v>2.5E7</v>
      </c>
      <c r="H72" s="24">
        <v>4.1800659E7</v>
      </c>
      <c r="I72" s="24" t="str">
        <f>IFERROR(__xludf.DUMMYFUNCTION("REGEXEXTRACT(E72, ""ک\s(\d{16})"")"),"6277601326432075")</f>
        <v>6277601326432075</v>
      </c>
      <c r="J72" s="25" t="s">
        <v>37</v>
      </c>
      <c r="K72" s="20" t="s">
        <v>220</v>
      </c>
      <c r="L72" s="26" t="s">
        <v>39</v>
      </c>
      <c r="M72" s="26" t="s">
        <v>40</v>
      </c>
      <c r="N72" s="27" t="s">
        <v>40</v>
      </c>
      <c r="O72" s="27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ht="25.5" customHeight="1">
      <c r="A73" s="19">
        <v>65.0</v>
      </c>
      <c r="B73" s="19" t="s">
        <v>183</v>
      </c>
      <c r="C73" s="20" t="s">
        <v>218</v>
      </c>
      <c r="D73" s="21" t="s">
        <v>35</v>
      </c>
      <c r="E73" s="21" t="s">
        <v>221</v>
      </c>
      <c r="F73" s="22">
        <v>0.0</v>
      </c>
      <c r="G73" s="23">
        <v>15400.0</v>
      </c>
      <c r="H73" s="24">
        <v>4.1785259E7</v>
      </c>
      <c r="I73" s="24" t="str">
        <f>IFERROR(__xludf.DUMMYFUNCTION("REGEXEXTRACT(E73, ""ک\s(\d{16})"")"),"6219861085979838")</f>
        <v>6219861085979838</v>
      </c>
      <c r="J73" s="25" t="s">
        <v>37</v>
      </c>
      <c r="K73" s="20" t="s">
        <v>220</v>
      </c>
      <c r="L73" s="26" t="s">
        <v>39</v>
      </c>
      <c r="M73" s="26" t="s">
        <v>40</v>
      </c>
      <c r="N73" s="27" t="s">
        <v>40</v>
      </c>
      <c r="O73" s="27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ht="25.5" customHeight="1">
      <c r="A74" s="19">
        <v>66.0</v>
      </c>
      <c r="B74" s="19" t="s">
        <v>222</v>
      </c>
      <c r="C74" s="20" t="s">
        <v>223</v>
      </c>
      <c r="D74" s="21" t="s">
        <v>224</v>
      </c>
      <c r="E74" s="21" t="s">
        <v>225</v>
      </c>
      <c r="F74" s="22">
        <v>1016.0</v>
      </c>
      <c r="G74" s="23">
        <v>0.0</v>
      </c>
      <c r="H74" s="24">
        <v>4.1786275E7</v>
      </c>
      <c r="I74" s="24" t="str">
        <f>IFERROR(__xludf.DUMMYFUNCTION("REGEXEXTRACT(E74, ""ک\s(\d{16})"")"),"#N/A")</f>
        <v>#N/A</v>
      </c>
      <c r="J74" s="25" t="s">
        <v>99</v>
      </c>
      <c r="K74" s="20" t="s">
        <v>226</v>
      </c>
      <c r="L74" s="26" t="s">
        <v>39</v>
      </c>
      <c r="M74" s="26" t="s">
        <v>40</v>
      </c>
      <c r="N74" s="27" t="s">
        <v>40</v>
      </c>
      <c r="O74" s="27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ht="25.5" customHeight="1">
      <c r="A75" s="19">
        <v>67.0</v>
      </c>
      <c r="B75" s="19" t="s">
        <v>222</v>
      </c>
      <c r="C75" s="20" t="s">
        <v>227</v>
      </c>
      <c r="D75" s="21" t="s">
        <v>97</v>
      </c>
      <c r="E75" s="21" t="s">
        <v>228</v>
      </c>
      <c r="F75" s="22">
        <v>1.27E8</v>
      </c>
      <c r="G75" s="23">
        <v>0.0</v>
      </c>
      <c r="H75" s="24">
        <v>1.68786275E8</v>
      </c>
      <c r="I75" s="24" t="str">
        <f>IFERROR(__xludf.DUMMYFUNCTION("REGEXEXTRACT(E75, ""ک\s(\d{16})"")"),"#N/A")</f>
        <v>#N/A</v>
      </c>
      <c r="J75" s="25" t="s">
        <v>99</v>
      </c>
      <c r="K75" s="20" t="s">
        <v>229</v>
      </c>
      <c r="L75" s="26" t="s">
        <v>39</v>
      </c>
      <c r="M75" s="26" t="s">
        <v>40</v>
      </c>
      <c r="N75" s="27" t="s">
        <v>40</v>
      </c>
      <c r="O75" s="27" t="s">
        <v>230</v>
      </c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ht="25.5" customHeight="1">
      <c r="A76" s="19">
        <v>68.0</v>
      </c>
      <c r="B76" s="19" t="s">
        <v>231</v>
      </c>
      <c r="C76" s="20" t="s">
        <v>232</v>
      </c>
      <c r="D76" s="21" t="s">
        <v>35</v>
      </c>
      <c r="E76" s="21" t="s">
        <v>233</v>
      </c>
      <c r="F76" s="22">
        <v>800000.0</v>
      </c>
      <c r="G76" s="23">
        <v>0.0</v>
      </c>
      <c r="H76" s="24">
        <v>1.69586275E8</v>
      </c>
      <c r="I76" s="24" t="str">
        <f>IFERROR(__xludf.DUMMYFUNCTION("REGEXEXTRACT(E76, ""ک\s(\d{16})"")"),"6037998219892063")</f>
        <v>6037998219892063</v>
      </c>
      <c r="J76" s="25" t="s">
        <v>37</v>
      </c>
      <c r="K76" s="20" t="s">
        <v>234</v>
      </c>
      <c r="L76" s="26" t="s">
        <v>39</v>
      </c>
      <c r="M76" s="26" t="s">
        <v>40</v>
      </c>
      <c r="N76" s="27" t="s">
        <v>40</v>
      </c>
      <c r="O76" s="27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ht="25.5" customHeight="1">
      <c r="A77" s="19">
        <v>69.0</v>
      </c>
      <c r="B77" s="19" t="s">
        <v>231</v>
      </c>
      <c r="C77" s="20" t="s">
        <v>235</v>
      </c>
      <c r="D77" s="21" t="s">
        <v>44</v>
      </c>
      <c r="E77" s="21" t="s">
        <v>236</v>
      </c>
      <c r="F77" s="22">
        <v>0.0</v>
      </c>
      <c r="G77" s="23">
        <v>1.56E7</v>
      </c>
      <c r="H77" s="24">
        <v>1.53986275E8</v>
      </c>
      <c r="I77" s="24" t="str">
        <f>IFERROR(__xludf.DUMMYFUNCTION("REGEXEXTRACT(E77, ""ک\s(\d{16})"")"),"6219861085979838")</f>
        <v>6219861085979838</v>
      </c>
      <c r="J77" s="25" t="s">
        <v>37</v>
      </c>
      <c r="K77" s="20" t="s">
        <v>237</v>
      </c>
      <c r="L77" s="26" t="s">
        <v>39</v>
      </c>
      <c r="M77" s="26" t="s">
        <v>40</v>
      </c>
      <c r="N77" s="27" t="s">
        <v>40</v>
      </c>
      <c r="O77" s="27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ht="25.5" customHeight="1">
      <c r="A78" s="19">
        <v>70.0</v>
      </c>
      <c r="B78" s="19" t="s">
        <v>231</v>
      </c>
      <c r="C78" s="20" t="s">
        <v>238</v>
      </c>
      <c r="D78" s="21" t="s">
        <v>35</v>
      </c>
      <c r="E78" s="21" t="s">
        <v>239</v>
      </c>
      <c r="F78" s="22">
        <v>1100000.0</v>
      </c>
      <c r="G78" s="23">
        <v>0.0</v>
      </c>
      <c r="H78" s="24">
        <v>1.55086275E8</v>
      </c>
      <c r="I78" s="24" t="str">
        <f>IFERROR(__xludf.DUMMYFUNCTION("REGEXEXTRACT(E78, ""ک\s(\d{16})"")"),"6063731229099057")</f>
        <v>6063731229099057</v>
      </c>
      <c r="J78" s="25" t="s">
        <v>37</v>
      </c>
      <c r="K78" s="20" t="s">
        <v>240</v>
      </c>
      <c r="L78" s="26" t="s">
        <v>39</v>
      </c>
      <c r="M78" s="26" t="s">
        <v>40</v>
      </c>
      <c r="N78" s="27" t="s">
        <v>40</v>
      </c>
      <c r="O78" s="27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ht="25.5" customHeight="1">
      <c r="A79" s="19">
        <v>71.0</v>
      </c>
      <c r="B79" s="19" t="s">
        <v>231</v>
      </c>
      <c r="C79" s="20" t="s">
        <v>241</v>
      </c>
      <c r="D79" s="21" t="s">
        <v>44</v>
      </c>
      <c r="E79" s="21" t="s">
        <v>242</v>
      </c>
      <c r="F79" s="22">
        <v>0.0</v>
      </c>
      <c r="G79" s="23">
        <v>6700000.0</v>
      </c>
      <c r="H79" s="24">
        <v>1.48386275E8</v>
      </c>
      <c r="I79" s="24" t="str">
        <f>IFERROR(__xludf.DUMMYFUNCTION("REGEXEXTRACT(E79, ""ک\s(\d{16})"")"),"6219861085979838")</f>
        <v>6219861085979838</v>
      </c>
      <c r="J79" s="25" t="s">
        <v>37</v>
      </c>
      <c r="K79" s="20" t="s">
        <v>243</v>
      </c>
      <c r="L79" s="26" t="s">
        <v>39</v>
      </c>
      <c r="M79" s="26" t="s">
        <v>40</v>
      </c>
      <c r="N79" s="27" t="s">
        <v>40</v>
      </c>
      <c r="O79" s="27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ht="25.5" customHeight="1">
      <c r="A80" s="19">
        <v>72.0</v>
      </c>
      <c r="B80" s="19" t="s">
        <v>231</v>
      </c>
      <c r="C80" s="20" t="s">
        <v>244</v>
      </c>
      <c r="D80" s="21" t="s">
        <v>35</v>
      </c>
      <c r="E80" s="21" t="s">
        <v>245</v>
      </c>
      <c r="F80" s="22">
        <v>1200000.0</v>
      </c>
      <c r="G80" s="23">
        <v>0.0</v>
      </c>
      <c r="H80" s="24">
        <v>1.49586275E8</v>
      </c>
      <c r="I80" s="24" t="str">
        <f>IFERROR(__xludf.DUMMYFUNCTION("REGEXEXTRACT(E80, ""ک\s(\d{16})"")"),"6037991942363080")</f>
        <v>6037991942363080</v>
      </c>
      <c r="J80" s="25" t="s">
        <v>37</v>
      </c>
      <c r="K80" s="20" t="s">
        <v>246</v>
      </c>
      <c r="L80" s="26" t="s">
        <v>39</v>
      </c>
      <c r="M80" s="26" t="s">
        <v>40</v>
      </c>
      <c r="N80" s="27" t="s">
        <v>40</v>
      </c>
      <c r="O80" s="27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ht="25.5" customHeight="1">
      <c r="A81" s="19">
        <v>73.0</v>
      </c>
      <c r="B81" s="19" t="s">
        <v>231</v>
      </c>
      <c r="C81" s="20" t="s">
        <v>247</v>
      </c>
      <c r="D81" s="21" t="s">
        <v>35</v>
      </c>
      <c r="E81" s="21" t="s">
        <v>248</v>
      </c>
      <c r="F81" s="22">
        <v>0.0</v>
      </c>
      <c r="G81" s="23">
        <v>6.17E7</v>
      </c>
      <c r="H81" s="24">
        <v>8.7886275E7</v>
      </c>
      <c r="I81" s="24" t="str">
        <f>IFERROR(__xludf.DUMMYFUNCTION("REGEXEXTRACT(E81, ""ک\s(\d{16})"")"),"6274121208660688")</f>
        <v>6274121208660688</v>
      </c>
      <c r="J81" s="25" t="s">
        <v>37</v>
      </c>
      <c r="K81" s="20" t="s">
        <v>249</v>
      </c>
      <c r="L81" s="26" t="s">
        <v>39</v>
      </c>
      <c r="M81" s="26" t="s">
        <v>40</v>
      </c>
      <c r="N81" s="27" t="s">
        <v>40</v>
      </c>
      <c r="O81" s="27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ht="25.5" customHeight="1">
      <c r="A82" s="19">
        <v>74.0</v>
      </c>
      <c r="B82" s="19" t="s">
        <v>231</v>
      </c>
      <c r="C82" s="20" t="s">
        <v>247</v>
      </c>
      <c r="D82" s="21" t="s">
        <v>35</v>
      </c>
      <c r="E82" s="21" t="s">
        <v>250</v>
      </c>
      <c r="F82" s="22">
        <v>0.0</v>
      </c>
      <c r="G82" s="23">
        <v>28200.0</v>
      </c>
      <c r="H82" s="24">
        <v>8.7858075E7</v>
      </c>
      <c r="I82" s="24" t="str">
        <f>IFERROR(__xludf.DUMMYFUNCTION("REGEXEXTRACT(E82, ""ک\s(\d{16})"")"),"6219861085979838")</f>
        <v>6219861085979838</v>
      </c>
      <c r="J82" s="25" t="s">
        <v>37</v>
      </c>
      <c r="K82" s="20" t="s">
        <v>249</v>
      </c>
      <c r="L82" s="26" t="s">
        <v>39</v>
      </c>
      <c r="M82" s="26" t="s">
        <v>40</v>
      </c>
      <c r="N82" s="27" t="s">
        <v>40</v>
      </c>
      <c r="O82" s="27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ht="25.5" customHeight="1">
      <c r="A83" s="19">
        <v>75.0</v>
      </c>
      <c r="B83" s="19" t="s">
        <v>231</v>
      </c>
      <c r="C83" s="20" t="s">
        <v>251</v>
      </c>
      <c r="D83" s="21" t="s">
        <v>35</v>
      </c>
      <c r="E83" s="21" t="s">
        <v>252</v>
      </c>
      <c r="F83" s="22">
        <v>0.0</v>
      </c>
      <c r="G83" s="23">
        <v>2.08384E7</v>
      </c>
      <c r="H83" s="24">
        <v>6.7019675E7</v>
      </c>
      <c r="I83" s="24" t="str">
        <f>IFERROR(__xludf.DUMMYFUNCTION("REGEXEXTRACT(E83, ""ک\s(\d{16})"")"),"6104338738476148")</f>
        <v>6104338738476148</v>
      </c>
      <c r="J83" s="25" t="s">
        <v>37</v>
      </c>
      <c r="K83" s="20" t="s">
        <v>253</v>
      </c>
      <c r="L83" s="26" t="s">
        <v>39</v>
      </c>
      <c r="M83" s="26" t="s">
        <v>40</v>
      </c>
      <c r="N83" s="27" t="s">
        <v>40</v>
      </c>
      <c r="O83" s="27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ht="25.5" customHeight="1">
      <c r="A84" s="19">
        <v>76.0</v>
      </c>
      <c r="B84" s="19" t="s">
        <v>231</v>
      </c>
      <c r="C84" s="20" t="s">
        <v>251</v>
      </c>
      <c r="D84" s="21" t="s">
        <v>35</v>
      </c>
      <c r="E84" s="21" t="s">
        <v>254</v>
      </c>
      <c r="F84" s="22">
        <v>0.0</v>
      </c>
      <c r="G84" s="23">
        <v>15400.0</v>
      </c>
      <c r="H84" s="24">
        <v>6.7004275E7</v>
      </c>
      <c r="I84" s="24" t="str">
        <f>IFERROR(__xludf.DUMMYFUNCTION("REGEXEXTRACT(E84, ""ک\s(\d{16})"")"),"6219861085979838")</f>
        <v>6219861085979838</v>
      </c>
      <c r="J84" s="25" t="s">
        <v>37</v>
      </c>
      <c r="K84" s="20" t="s">
        <v>253</v>
      </c>
      <c r="L84" s="26" t="s">
        <v>39</v>
      </c>
      <c r="M84" s="26" t="s">
        <v>40</v>
      </c>
      <c r="N84" s="27" t="s">
        <v>40</v>
      </c>
      <c r="O84" s="27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ht="25.5" customHeight="1">
      <c r="A85" s="19">
        <v>77.0</v>
      </c>
      <c r="B85" s="19" t="s">
        <v>231</v>
      </c>
      <c r="C85" s="20" t="s">
        <v>255</v>
      </c>
      <c r="D85" s="21" t="s">
        <v>71</v>
      </c>
      <c r="E85" s="21" t="s">
        <v>256</v>
      </c>
      <c r="F85" s="22">
        <v>0.0</v>
      </c>
      <c r="G85" s="23">
        <v>1800.0</v>
      </c>
      <c r="H85" s="24">
        <v>6.7002475E7</v>
      </c>
      <c r="I85" s="24" t="str">
        <f>IFERROR(__xludf.DUMMYFUNCTION("REGEXEXTRACT(E85, ""ک\s(\d{16})"")"),"6219861085979838")</f>
        <v>6219861085979838</v>
      </c>
      <c r="J85" s="25" t="s">
        <v>37</v>
      </c>
      <c r="K85" s="20" t="s">
        <v>257</v>
      </c>
      <c r="L85" s="26" t="s">
        <v>39</v>
      </c>
      <c r="M85" s="26" t="s">
        <v>40</v>
      </c>
      <c r="N85" s="27" t="s">
        <v>40</v>
      </c>
      <c r="O85" s="27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ht="25.5" customHeight="1">
      <c r="A86" s="19">
        <v>78.0</v>
      </c>
      <c r="B86" s="19" t="s">
        <v>231</v>
      </c>
      <c r="C86" s="20" t="s">
        <v>258</v>
      </c>
      <c r="D86" s="21" t="s">
        <v>35</v>
      </c>
      <c r="E86" s="21" t="s">
        <v>259</v>
      </c>
      <c r="F86" s="22">
        <v>1700000.0</v>
      </c>
      <c r="G86" s="23">
        <v>0.0</v>
      </c>
      <c r="H86" s="24">
        <v>6.8702475E7</v>
      </c>
      <c r="I86" s="24" t="str">
        <f>IFERROR(__xludf.DUMMYFUNCTION("REGEXEXTRACT(E86, ""ک\s(\d{16})"")"),"6037691590153474")</f>
        <v>6037691590153474</v>
      </c>
      <c r="J86" s="25" t="s">
        <v>37</v>
      </c>
      <c r="K86" s="20" t="s">
        <v>260</v>
      </c>
      <c r="L86" s="26" t="s">
        <v>39</v>
      </c>
      <c r="M86" s="26" t="s">
        <v>40</v>
      </c>
      <c r="N86" s="27" t="s">
        <v>40</v>
      </c>
      <c r="O86" s="27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ht="25.5" customHeight="1">
      <c r="A87" s="19">
        <v>79.0</v>
      </c>
      <c r="B87" s="19" t="s">
        <v>231</v>
      </c>
      <c r="C87" s="20" t="s">
        <v>261</v>
      </c>
      <c r="D87" s="21" t="s">
        <v>35</v>
      </c>
      <c r="E87" s="21" t="s">
        <v>262</v>
      </c>
      <c r="F87" s="22">
        <v>400000.0</v>
      </c>
      <c r="G87" s="23">
        <v>0.0</v>
      </c>
      <c r="H87" s="24">
        <v>6.9102475E7</v>
      </c>
      <c r="I87" s="24" t="str">
        <f>IFERROR(__xludf.DUMMYFUNCTION("REGEXEXTRACT(E87, ""ک\s(\d{16})"")"),"6037691590153474")</f>
        <v>6037691590153474</v>
      </c>
      <c r="J87" s="25" t="s">
        <v>37</v>
      </c>
      <c r="K87" s="20" t="s">
        <v>263</v>
      </c>
      <c r="L87" s="26" t="s">
        <v>39</v>
      </c>
      <c r="M87" s="26" t="s">
        <v>40</v>
      </c>
      <c r="N87" s="27" t="s">
        <v>40</v>
      </c>
      <c r="O87" s="27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ht="25.5" customHeight="1">
      <c r="A88" s="19">
        <v>80.0</v>
      </c>
      <c r="B88" s="19" t="s">
        <v>231</v>
      </c>
      <c r="C88" s="20" t="s">
        <v>264</v>
      </c>
      <c r="D88" s="21" t="s">
        <v>35</v>
      </c>
      <c r="E88" s="21" t="s">
        <v>265</v>
      </c>
      <c r="F88" s="22">
        <v>550000.0</v>
      </c>
      <c r="G88" s="23">
        <v>0.0</v>
      </c>
      <c r="H88" s="24">
        <v>6.9652475E7</v>
      </c>
      <c r="I88" s="24" t="str">
        <f>IFERROR(__xludf.DUMMYFUNCTION("REGEXEXTRACT(E88, ""ک\s(\d{16})"")"),"6037998237030795")</f>
        <v>6037998237030795</v>
      </c>
      <c r="J88" s="25" t="s">
        <v>37</v>
      </c>
      <c r="K88" s="20" t="s">
        <v>266</v>
      </c>
      <c r="L88" s="26" t="s">
        <v>39</v>
      </c>
      <c r="M88" s="26" t="s">
        <v>40</v>
      </c>
      <c r="N88" s="27" t="s">
        <v>40</v>
      </c>
      <c r="O88" s="27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ht="25.5" customHeight="1">
      <c r="A89" s="19">
        <v>81.0</v>
      </c>
      <c r="B89" s="19" t="s">
        <v>231</v>
      </c>
      <c r="C89" s="20" t="s">
        <v>267</v>
      </c>
      <c r="D89" s="21" t="s">
        <v>35</v>
      </c>
      <c r="E89" s="21" t="s">
        <v>268</v>
      </c>
      <c r="F89" s="22">
        <v>250000.0</v>
      </c>
      <c r="G89" s="23">
        <v>0.0</v>
      </c>
      <c r="H89" s="24">
        <v>6.9902475E7</v>
      </c>
      <c r="I89" s="24" t="str">
        <f>IFERROR(__xludf.DUMMYFUNCTION("REGEXEXTRACT(E89, ""ک\s(\d{16})"")"),"5859831190634039")</f>
        <v>5859831190634039</v>
      </c>
      <c r="J89" s="25" t="s">
        <v>37</v>
      </c>
      <c r="K89" s="20" t="s">
        <v>269</v>
      </c>
      <c r="L89" s="26" t="s">
        <v>39</v>
      </c>
      <c r="M89" s="26" t="s">
        <v>40</v>
      </c>
      <c r="N89" s="27" t="s">
        <v>40</v>
      </c>
      <c r="O89" s="27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ht="25.5" customHeight="1">
      <c r="A90" s="19">
        <v>82.0</v>
      </c>
      <c r="B90" s="19" t="s">
        <v>270</v>
      </c>
      <c r="C90" s="20" t="s">
        <v>271</v>
      </c>
      <c r="D90" s="21" t="s">
        <v>97</v>
      </c>
      <c r="E90" s="21" t="s">
        <v>272</v>
      </c>
      <c r="F90" s="22">
        <v>8.0E7</v>
      </c>
      <c r="G90" s="23">
        <v>0.0</v>
      </c>
      <c r="H90" s="24">
        <v>1.49902475E8</v>
      </c>
      <c r="I90" s="24" t="str">
        <f>IFERROR(__xludf.DUMMYFUNCTION("REGEXEXTRACT(E90, ""ک\s(\d{16})"")"),"#N/A")</f>
        <v>#N/A</v>
      </c>
      <c r="J90" s="25" t="s">
        <v>99</v>
      </c>
      <c r="K90" s="20" t="s">
        <v>273</v>
      </c>
      <c r="L90" s="26" t="s">
        <v>39</v>
      </c>
      <c r="M90" s="26" t="s">
        <v>40</v>
      </c>
      <c r="N90" s="27" t="s">
        <v>40</v>
      </c>
      <c r="O90" s="27" t="s">
        <v>274</v>
      </c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ht="25.5" customHeight="1">
      <c r="A91" s="19">
        <v>83.0</v>
      </c>
      <c r="B91" s="19" t="s">
        <v>270</v>
      </c>
      <c r="C91" s="20" t="s">
        <v>275</v>
      </c>
      <c r="D91" s="21" t="s">
        <v>97</v>
      </c>
      <c r="E91" s="21" t="s">
        <v>276</v>
      </c>
      <c r="F91" s="22">
        <v>7.4E7</v>
      </c>
      <c r="G91" s="23">
        <v>0.0</v>
      </c>
      <c r="H91" s="24">
        <v>2.23902475E8</v>
      </c>
      <c r="I91" s="24" t="str">
        <f>IFERROR(__xludf.DUMMYFUNCTION("REGEXEXTRACT(E91, ""ک\s(\d{16})"")"),"#N/A")</f>
        <v>#N/A</v>
      </c>
      <c r="J91" s="25" t="s">
        <v>99</v>
      </c>
      <c r="K91" s="20" t="s">
        <v>277</v>
      </c>
      <c r="L91" s="26" t="s">
        <v>39</v>
      </c>
      <c r="M91" s="26" t="s">
        <v>40</v>
      </c>
      <c r="N91" s="27" t="s">
        <v>40</v>
      </c>
      <c r="O91" s="27" t="s">
        <v>278</v>
      </c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ht="25.5" customHeight="1">
      <c r="A92" s="19">
        <v>84.0</v>
      </c>
      <c r="B92" s="19" t="s">
        <v>270</v>
      </c>
      <c r="C92" s="20" t="s">
        <v>279</v>
      </c>
      <c r="D92" s="21" t="s">
        <v>35</v>
      </c>
      <c r="E92" s="21" t="s">
        <v>280</v>
      </c>
      <c r="F92" s="22">
        <v>850000.0</v>
      </c>
      <c r="G92" s="23">
        <v>0.0</v>
      </c>
      <c r="H92" s="24">
        <v>2.24752475E8</v>
      </c>
      <c r="I92" s="24" t="str">
        <f>IFERROR(__xludf.DUMMYFUNCTION("REGEXEXTRACT(E92, ""ک\s(\d{16})"")"),"6037997435518122")</f>
        <v>6037997435518122</v>
      </c>
      <c r="J92" s="25" t="s">
        <v>37</v>
      </c>
      <c r="K92" s="20" t="s">
        <v>281</v>
      </c>
      <c r="L92" s="26" t="s">
        <v>39</v>
      </c>
      <c r="M92" s="26" t="s">
        <v>40</v>
      </c>
      <c r="N92" s="27" t="s">
        <v>40</v>
      </c>
      <c r="O92" s="2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ht="25.5" customHeight="1">
      <c r="A93" s="19">
        <v>85.0</v>
      </c>
      <c r="B93" s="19" t="s">
        <v>270</v>
      </c>
      <c r="C93" s="20" t="s">
        <v>282</v>
      </c>
      <c r="D93" s="21" t="s">
        <v>35</v>
      </c>
      <c r="E93" s="21" t="s">
        <v>283</v>
      </c>
      <c r="F93" s="22">
        <v>1100000.0</v>
      </c>
      <c r="G93" s="23">
        <v>0.0</v>
      </c>
      <c r="H93" s="24">
        <v>2.25852475E8</v>
      </c>
      <c r="I93" s="24" t="str">
        <f>IFERROR(__xludf.DUMMYFUNCTION("REGEXEXTRACT(E93, ""ک\s(\d{16})"")"),"5022291559010713")</f>
        <v>5022291559010713</v>
      </c>
      <c r="J93" s="25" t="s">
        <v>37</v>
      </c>
      <c r="K93" s="20" t="s">
        <v>284</v>
      </c>
      <c r="L93" s="26" t="s">
        <v>39</v>
      </c>
      <c r="M93" s="26" t="s">
        <v>40</v>
      </c>
      <c r="N93" s="27" t="s">
        <v>40</v>
      </c>
      <c r="O93" s="27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ht="25.5" customHeight="1">
      <c r="A94" s="19">
        <v>86.0</v>
      </c>
      <c r="B94" s="19" t="s">
        <v>270</v>
      </c>
      <c r="C94" s="20" t="s">
        <v>285</v>
      </c>
      <c r="D94" s="21" t="s">
        <v>97</v>
      </c>
      <c r="E94" s="21" t="s">
        <v>286</v>
      </c>
      <c r="F94" s="22">
        <v>0.0</v>
      </c>
      <c r="G94" s="23">
        <v>1.05E8</v>
      </c>
      <c r="H94" s="24">
        <v>1.20852475E8</v>
      </c>
      <c r="I94" s="24" t="str">
        <f>IFERROR(__xludf.DUMMYFUNCTION("REGEXEXTRACT(E94, ""ک\s(\d{16})"")"),"#N/A")</f>
        <v>#N/A</v>
      </c>
      <c r="J94" s="25" t="s">
        <v>99</v>
      </c>
      <c r="K94" s="20" t="s">
        <v>287</v>
      </c>
      <c r="L94" s="26" t="s">
        <v>39</v>
      </c>
      <c r="M94" s="26" t="s">
        <v>40</v>
      </c>
      <c r="N94" s="27" t="s">
        <v>40</v>
      </c>
      <c r="O94" s="27" t="s">
        <v>288</v>
      </c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ht="25.5" customHeight="1">
      <c r="A95" s="19">
        <v>87.0</v>
      </c>
      <c r="B95" s="19" t="s">
        <v>270</v>
      </c>
      <c r="C95" s="20" t="s">
        <v>289</v>
      </c>
      <c r="D95" s="21" t="s">
        <v>44</v>
      </c>
      <c r="E95" s="21" t="s">
        <v>290</v>
      </c>
      <c r="F95" s="22">
        <v>0.0</v>
      </c>
      <c r="G95" s="23">
        <v>1.56E7</v>
      </c>
      <c r="H95" s="24">
        <v>1.05252475E8</v>
      </c>
      <c r="I95" s="24" t="str">
        <f>IFERROR(__xludf.DUMMYFUNCTION("REGEXEXTRACT(E95, ""ک\s(\d{16})"")"),"6219861085979838")</f>
        <v>6219861085979838</v>
      </c>
      <c r="J95" s="25" t="s">
        <v>37</v>
      </c>
      <c r="K95" s="20" t="s">
        <v>291</v>
      </c>
      <c r="L95" s="26" t="s">
        <v>39</v>
      </c>
      <c r="M95" s="26" t="s">
        <v>40</v>
      </c>
      <c r="N95" s="27" t="s">
        <v>40</v>
      </c>
      <c r="O95" s="27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ht="25.5" customHeight="1">
      <c r="A96" s="19">
        <v>88.0</v>
      </c>
      <c r="B96" s="19" t="s">
        <v>270</v>
      </c>
      <c r="C96" s="20" t="s">
        <v>292</v>
      </c>
      <c r="D96" s="21" t="s">
        <v>35</v>
      </c>
      <c r="E96" s="21" t="s">
        <v>293</v>
      </c>
      <c r="F96" s="22">
        <v>550000.0</v>
      </c>
      <c r="G96" s="23">
        <v>0.0</v>
      </c>
      <c r="H96" s="24">
        <v>1.05802475E8</v>
      </c>
      <c r="I96" s="24" t="str">
        <f>IFERROR(__xludf.DUMMYFUNCTION("REGEXEXTRACT(E96, ""ک\s(\d{16})"")"),"5022291587757657")</f>
        <v>5022291587757657</v>
      </c>
      <c r="J96" s="25" t="s">
        <v>37</v>
      </c>
      <c r="K96" s="20" t="s">
        <v>294</v>
      </c>
      <c r="L96" s="26" t="s">
        <v>39</v>
      </c>
      <c r="M96" s="26" t="s">
        <v>40</v>
      </c>
      <c r="N96" s="27" t="s">
        <v>40</v>
      </c>
      <c r="O96" s="27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ht="25.5" customHeight="1">
      <c r="A97" s="19">
        <v>89.0</v>
      </c>
      <c r="B97" s="19" t="s">
        <v>270</v>
      </c>
      <c r="C97" s="20" t="s">
        <v>295</v>
      </c>
      <c r="D97" s="21" t="s">
        <v>71</v>
      </c>
      <c r="E97" s="21" t="s">
        <v>296</v>
      </c>
      <c r="F97" s="22">
        <v>0.0</v>
      </c>
      <c r="G97" s="23">
        <v>1800.0</v>
      </c>
      <c r="H97" s="24">
        <v>1.05800675E8</v>
      </c>
      <c r="I97" s="24" t="str">
        <f>IFERROR(__xludf.DUMMYFUNCTION("REGEXEXTRACT(E97, ""ک\s(\d{16})"")"),"6219861085979838")</f>
        <v>6219861085979838</v>
      </c>
      <c r="J97" s="25" t="s">
        <v>37</v>
      </c>
      <c r="K97" s="20" t="s">
        <v>297</v>
      </c>
      <c r="L97" s="26" t="s">
        <v>39</v>
      </c>
      <c r="M97" s="26" t="s">
        <v>40</v>
      </c>
      <c r="N97" s="27" t="s">
        <v>40</v>
      </c>
      <c r="O97" s="27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ht="25.5" customHeight="1">
      <c r="A98" s="19">
        <v>90.0</v>
      </c>
      <c r="B98" s="19" t="s">
        <v>270</v>
      </c>
      <c r="C98" s="20" t="s">
        <v>298</v>
      </c>
      <c r="D98" s="21" t="s">
        <v>35</v>
      </c>
      <c r="E98" s="21" t="s">
        <v>299</v>
      </c>
      <c r="F98" s="22">
        <v>0.0</v>
      </c>
      <c r="G98" s="23">
        <v>5.333E7</v>
      </c>
      <c r="H98" s="24">
        <v>5.2470675E7</v>
      </c>
      <c r="I98" s="24" t="str">
        <f>IFERROR(__xludf.DUMMYFUNCTION("REGEXEXTRACT(E98, ""ک\s(\d{16})"")"),"6274121208660688")</f>
        <v>6274121208660688</v>
      </c>
      <c r="J98" s="25" t="s">
        <v>37</v>
      </c>
      <c r="K98" s="20" t="s">
        <v>300</v>
      </c>
      <c r="L98" s="26" t="s">
        <v>39</v>
      </c>
      <c r="M98" s="26" t="s">
        <v>40</v>
      </c>
      <c r="N98" s="27" t="s">
        <v>40</v>
      </c>
      <c r="O98" s="27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ht="25.5" customHeight="1">
      <c r="A99" s="19">
        <v>91.0</v>
      </c>
      <c r="B99" s="19" t="s">
        <v>270</v>
      </c>
      <c r="C99" s="20" t="s">
        <v>298</v>
      </c>
      <c r="D99" s="21" t="s">
        <v>35</v>
      </c>
      <c r="E99" s="21" t="s">
        <v>301</v>
      </c>
      <c r="F99" s="22">
        <v>0.0</v>
      </c>
      <c r="G99" s="23">
        <v>25000.0</v>
      </c>
      <c r="H99" s="24">
        <v>5.2445675E7</v>
      </c>
      <c r="I99" s="24" t="str">
        <f>IFERROR(__xludf.DUMMYFUNCTION("REGEXEXTRACT(E99, ""ک\s(\d{16})"")"),"6219861085979838")</f>
        <v>6219861085979838</v>
      </c>
      <c r="J99" s="25" t="s">
        <v>37</v>
      </c>
      <c r="K99" s="20" t="s">
        <v>300</v>
      </c>
      <c r="L99" s="26" t="s">
        <v>39</v>
      </c>
      <c r="M99" s="26" t="s">
        <v>40</v>
      </c>
      <c r="N99" s="27" t="s">
        <v>40</v>
      </c>
      <c r="O99" s="27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ht="25.5" customHeight="1">
      <c r="A100" s="19">
        <v>92.0</v>
      </c>
      <c r="B100" s="19" t="s">
        <v>270</v>
      </c>
      <c r="C100" s="20" t="s">
        <v>302</v>
      </c>
      <c r="D100" s="21" t="s">
        <v>35</v>
      </c>
      <c r="E100" s="21" t="s">
        <v>303</v>
      </c>
      <c r="F100" s="22">
        <v>0.0</v>
      </c>
      <c r="G100" s="23">
        <v>2.02353E7</v>
      </c>
      <c r="H100" s="24">
        <v>3.2210375E7</v>
      </c>
      <c r="I100" s="24" t="str">
        <f>IFERROR(__xludf.DUMMYFUNCTION("REGEXEXTRACT(E100, ""ک\s(\d{16})"")"),"6104338738476148")</f>
        <v>6104338738476148</v>
      </c>
      <c r="J100" s="25" t="s">
        <v>37</v>
      </c>
      <c r="K100" s="20" t="s">
        <v>304</v>
      </c>
      <c r="L100" s="26" t="s">
        <v>39</v>
      </c>
      <c r="M100" s="26" t="s">
        <v>40</v>
      </c>
      <c r="N100" s="27" t="s">
        <v>40</v>
      </c>
      <c r="O100" s="27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ht="25.5" customHeight="1">
      <c r="A101" s="19">
        <v>93.0</v>
      </c>
      <c r="B101" s="19" t="s">
        <v>270</v>
      </c>
      <c r="C101" s="20" t="s">
        <v>302</v>
      </c>
      <c r="D101" s="21" t="s">
        <v>35</v>
      </c>
      <c r="E101" s="21" t="s">
        <v>305</v>
      </c>
      <c r="F101" s="22">
        <v>0.0</v>
      </c>
      <c r="G101" s="23">
        <v>15400.0</v>
      </c>
      <c r="H101" s="24">
        <v>3.2194975E7</v>
      </c>
      <c r="I101" s="24" t="str">
        <f>IFERROR(__xludf.DUMMYFUNCTION("REGEXEXTRACT(E101, ""ک\s(\d{16})"")"),"6219861085979838")</f>
        <v>6219861085979838</v>
      </c>
      <c r="J101" s="25" t="s">
        <v>37</v>
      </c>
      <c r="K101" s="20" t="s">
        <v>304</v>
      </c>
      <c r="L101" s="26" t="s">
        <v>39</v>
      </c>
      <c r="M101" s="26" t="s">
        <v>40</v>
      </c>
      <c r="N101" s="27" t="s">
        <v>40</v>
      </c>
      <c r="O101" s="27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ht="25.5" customHeight="1">
      <c r="A102" s="19">
        <v>94.0</v>
      </c>
      <c r="B102" s="19" t="s">
        <v>270</v>
      </c>
      <c r="C102" s="20" t="s">
        <v>306</v>
      </c>
      <c r="D102" s="21" t="s">
        <v>35</v>
      </c>
      <c r="E102" s="21" t="s">
        <v>307</v>
      </c>
      <c r="F102" s="22">
        <v>0.0</v>
      </c>
      <c r="G102" s="23">
        <v>2.289E7</v>
      </c>
      <c r="H102" s="24">
        <v>9304975.0</v>
      </c>
      <c r="I102" s="24" t="str">
        <f>IFERROR(__xludf.DUMMYFUNCTION("REGEXEXTRACT(E102, ""ک\s(\d{16})"")"),"5894631178646402")</f>
        <v>5894631178646402</v>
      </c>
      <c r="J102" s="25" t="s">
        <v>37</v>
      </c>
      <c r="K102" s="20" t="s">
        <v>308</v>
      </c>
      <c r="L102" s="26" t="s">
        <v>39</v>
      </c>
      <c r="M102" s="26" t="s">
        <v>40</v>
      </c>
      <c r="N102" s="27" t="s">
        <v>40</v>
      </c>
      <c r="O102" s="27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ht="25.5" customHeight="1">
      <c r="A103" s="19">
        <v>95.0</v>
      </c>
      <c r="B103" s="19" t="s">
        <v>270</v>
      </c>
      <c r="C103" s="20" t="s">
        <v>306</v>
      </c>
      <c r="D103" s="21" t="s">
        <v>35</v>
      </c>
      <c r="E103" s="21" t="s">
        <v>309</v>
      </c>
      <c r="F103" s="22">
        <v>0.0</v>
      </c>
      <c r="G103" s="23">
        <v>15400.0</v>
      </c>
      <c r="H103" s="24">
        <v>9289575.0</v>
      </c>
      <c r="I103" s="24" t="str">
        <f>IFERROR(__xludf.DUMMYFUNCTION("REGEXEXTRACT(E103, ""ک\s(\d{16})"")"),"6219861085979838")</f>
        <v>6219861085979838</v>
      </c>
      <c r="J103" s="25" t="s">
        <v>37</v>
      </c>
      <c r="K103" s="20" t="s">
        <v>308</v>
      </c>
      <c r="L103" s="26" t="s">
        <v>39</v>
      </c>
      <c r="M103" s="26" t="s">
        <v>40</v>
      </c>
      <c r="N103" s="27" t="s">
        <v>40</v>
      </c>
      <c r="O103" s="27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ht="25.5" customHeight="1">
      <c r="A104" s="19">
        <v>96.0</v>
      </c>
      <c r="B104" s="19" t="s">
        <v>310</v>
      </c>
      <c r="C104" s="20" t="s">
        <v>311</v>
      </c>
      <c r="D104" s="21" t="s">
        <v>97</v>
      </c>
      <c r="E104" s="21" t="s">
        <v>312</v>
      </c>
      <c r="F104" s="22">
        <v>1.42E8</v>
      </c>
      <c r="G104" s="23">
        <v>0.0</v>
      </c>
      <c r="H104" s="24">
        <v>1.51289575E8</v>
      </c>
      <c r="I104" s="24" t="str">
        <f>IFERROR(__xludf.DUMMYFUNCTION("REGEXEXTRACT(E104, ""ک\s(\d{16})"")"),"#N/A")</f>
        <v>#N/A</v>
      </c>
      <c r="J104" s="25" t="s">
        <v>99</v>
      </c>
      <c r="K104" s="20" t="s">
        <v>313</v>
      </c>
      <c r="L104" s="26" t="s">
        <v>39</v>
      </c>
      <c r="M104" s="26" t="s">
        <v>40</v>
      </c>
      <c r="N104" s="27" t="s">
        <v>40</v>
      </c>
      <c r="O104" s="27" t="s">
        <v>314</v>
      </c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ht="25.5" customHeight="1">
      <c r="A105" s="19">
        <v>97.0</v>
      </c>
      <c r="B105" s="19" t="s">
        <v>315</v>
      </c>
      <c r="C105" s="20" t="s">
        <v>316</v>
      </c>
      <c r="D105" s="21" t="s">
        <v>44</v>
      </c>
      <c r="E105" s="21" t="s">
        <v>317</v>
      </c>
      <c r="F105" s="22">
        <v>0.0</v>
      </c>
      <c r="G105" s="23">
        <v>45000.0</v>
      </c>
      <c r="H105" s="24">
        <v>1.51244575E8</v>
      </c>
      <c r="I105" s="24" t="str">
        <f>IFERROR(__xludf.DUMMYFUNCTION("REGEXEXTRACT(E105, ""ک\s(\d{16})"")"),"6219861085979838")</f>
        <v>6219861085979838</v>
      </c>
      <c r="J105" s="25" t="s">
        <v>37</v>
      </c>
      <c r="K105" s="20" t="s">
        <v>318</v>
      </c>
      <c r="L105" s="26" t="s">
        <v>39</v>
      </c>
      <c r="M105" s="26" t="s">
        <v>40</v>
      </c>
      <c r="N105" s="27" t="s">
        <v>40</v>
      </c>
      <c r="O105" s="27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ht="25.5" customHeight="1">
      <c r="A106" s="19">
        <v>98.0</v>
      </c>
      <c r="B106" s="19" t="s">
        <v>315</v>
      </c>
      <c r="C106" s="20" t="s">
        <v>319</v>
      </c>
      <c r="D106" s="21" t="s">
        <v>44</v>
      </c>
      <c r="E106" s="21" t="s">
        <v>320</v>
      </c>
      <c r="F106" s="22">
        <v>0.0</v>
      </c>
      <c r="G106" s="23">
        <v>15000.0</v>
      </c>
      <c r="H106" s="24">
        <v>1.51229575E8</v>
      </c>
      <c r="I106" s="24" t="str">
        <f>IFERROR(__xludf.DUMMYFUNCTION("REGEXEXTRACT(E106, ""ک\s(\d{16})"")"),"6219861085979838")</f>
        <v>6219861085979838</v>
      </c>
      <c r="J106" s="25" t="s">
        <v>37</v>
      </c>
      <c r="K106" s="20" t="s">
        <v>321</v>
      </c>
      <c r="L106" s="26" t="s">
        <v>39</v>
      </c>
      <c r="M106" s="26" t="s">
        <v>40</v>
      </c>
      <c r="N106" s="27" t="s">
        <v>40</v>
      </c>
      <c r="O106" s="27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ht="25.5" customHeight="1">
      <c r="A107" s="19">
        <v>99.0</v>
      </c>
      <c r="B107" s="19" t="s">
        <v>315</v>
      </c>
      <c r="C107" s="20" t="s">
        <v>322</v>
      </c>
      <c r="D107" s="21" t="s">
        <v>35</v>
      </c>
      <c r="E107" s="21" t="s">
        <v>323</v>
      </c>
      <c r="F107" s="22">
        <v>500000.0</v>
      </c>
      <c r="G107" s="23">
        <v>0.0</v>
      </c>
      <c r="H107" s="24">
        <v>1.51729575E8</v>
      </c>
      <c r="I107" s="24" t="str">
        <f>IFERROR(__xludf.DUMMYFUNCTION("REGEXEXTRACT(E107, ""ک\s(\d{16})"")"),"6219861805826798")</f>
        <v>6219861805826798</v>
      </c>
      <c r="J107" s="25" t="s">
        <v>37</v>
      </c>
      <c r="K107" s="20" t="s">
        <v>324</v>
      </c>
      <c r="L107" s="26" t="s">
        <v>39</v>
      </c>
      <c r="M107" s="26" t="s">
        <v>40</v>
      </c>
      <c r="N107" s="27" t="s">
        <v>40</v>
      </c>
      <c r="O107" s="27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ht="25.5" customHeight="1">
      <c r="A108" s="19">
        <v>100.0</v>
      </c>
      <c r="B108" s="19" t="s">
        <v>315</v>
      </c>
      <c r="C108" s="20" t="s">
        <v>325</v>
      </c>
      <c r="D108" s="21" t="s">
        <v>35</v>
      </c>
      <c r="E108" s="21" t="s">
        <v>326</v>
      </c>
      <c r="F108" s="22">
        <v>0.0</v>
      </c>
      <c r="G108" s="23">
        <v>1.56E7</v>
      </c>
      <c r="H108" s="24">
        <v>1.36129575E8</v>
      </c>
      <c r="I108" s="24" t="str">
        <f>IFERROR(__xludf.DUMMYFUNCTION("REGEXEXTRACT(E108, ""ک\s(\d{16})"")"),"6037697600840968")</f>
        <v>6037697600840968</v>
      </c>
      <c r="J108" s="25" t="s">
        <v>37</v>
      </c>
      <c r="K108" s="20" t="s">
        <v>327</v>
      </c>
      <c r="L108" s="26" t="s">
        <v>39</v>
      </c>
      <c r="M108" s="26" t="s">
        <v>40</v>
      </c>
      <c r="N108" s="27" t="s">
        <v>40</v>
      </c>
      <c r="O108" s="27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ht="25.5" customHeight="1">
      <c r="A109" s="19">
        <v>101.0</v>
      </c>
      <c r="B109" s="19" t="s">
        <v>315</v>
      </c>
      <c r="C109" s="20" t="s">
        <v>325</v>
      </c>
      <c r="D109" s="21" t="s">
        <v>35</v>
      </c>
      <c r="E109" s="21" t="s">
        <v>328</v>
      </c>
      <c r="F109" s="22">
        <v>0.0</v>
      </c>
      <c r="G109" s="23">
        <v>12200.0</v>
      </c>
      <c r="H109" s="24">
        <v>1.36117375E8</v>
      </c>
      <c r="I109" s="24" t="str">
        <f>IFERROR(__xludf.DUMMYFUNCTION("REGEXEXTRACT(E109, ""ک\s(\d{16})"")"),"6219861085979838")</f>
        <v>6219861085979838</v>
      </c>
      <c r="J109" s="25" t="s">
        <v>37</v>
      </c>
      <c r="K109" s="20" t="s">
        <v>327</v>
      </c>
      <c r="L109" s="26" t="s">
        <v>39</v>
      </c>
      <c r="M109" s="26" t="s">
        <v>40</v>
      </c>
      <c r="N109" s="27" t="s">
        <v>40</v>
      </c>
      <c r="O109" s="27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ht="25.5" customHeight="1">
      <c r="A110" s="19">
        <v>102.0</v>
      </c>
      <c r="B110" s="19" t="s">
        <v>315</v>
      </c>
      <c r="C110" s="20" t="s">
        <v>329</v>
      </c>
      <c r="D110" s="21" t="s">
        <v>330</v>
      </c>
      <c r="E110" s="21" t="s">
        <v>331</v>
      </c>
      <c r="F110" s="22">
        <v>0.0</v>
      </c>
      <c r="G110" s="23">
        <v>1.2E8</v>
      </c>
      <c r="H110" s="24">
        <v>1.6117375E7</v>
      </c>
      <c r="I110" s="24" t="str">
        <f>IFERROR(__xludf.DUMMYFUNCTION("REGEXEXTRACT(E110, ""ک\s(\d{16})"")"),"#N/A")</f>
        <v>#N/A</v>
      </c>
      <c r="J110" s="25" t="s">
        <v>332</v>
      </c>
      <c r="K110" s="20" t="s">
        <v>333</v>
      </c>
      <c r="L110" s="26" t="s">
        <v>39</v>
      </c>
      <c r="M110" s="26" t="s">
        <v>40</v>
      </c>
      <c r="N110" s="27" t="s">
        <v>40</v>
      </c>
      <c r="O110" s="27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ht="25.5" customHeight="1">
      <c r="A111" s="19">
        <v>103.0</v>
      </c>
      <c r="B111" s="19" t="s">
        <v>315</v>
      </c>
      <c r="C111" s="20" t="s">
        <v>329</v>
      </c>
      <c r="D111" s="21" t="s">
        <v>334</v>
      </c>
      <c r="E111" s="21" t="s">
        <v>335</v>
      </c>
      <c r="F111" s="22">
        <v>0.0</v>
      </c>
      <c r="G111" s="23">
        <v>24000.0</v>
      </c>
      <c r="H111" s="24">
        <v>1.6093375E7</v>
      </c>
      <c r="I111" s="24" t="str">
        <f>IFERROR(__xludf.DUMMYFUNCTION("REGEXEXTRACT(E111, ""ک\s(\d{16})"")"),"#N/A")</f>
        <v>#N/A</v>
      </c>
      <c r="J111" s="25" t="s">
        <v>332</v>
      </c>
      <c r="K111" s="20" t="s">
        <v>336</v>
      </c>
      <c r="L111" s="26" t="s">
        <v>39</v>
      </c>
      <c r="M111" s="26" t="s">
        <v>40</v>
      </c>
      <c r="N111" s="27" t="s">
        <v>40</v>
      </c>
      <c r="O111" s="27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ht="25.5" customHeight="1">
      <c r="A112" s="19">
        <v>104.0</v>
      </c>
      <c r="B112" s="19" t="s">
        <v>315</v>
      </c>
      <c r="C112" s="20" t="s">
        <v>337</v>
      </c>
      <c r="D112" s="21" t="s">
        <v>35</v>
      </c>
      <c r="E112" s="21" t="s">
        <v>338</v>
      </c>
      <c r="F112" s="22">
        <v>750000.0</v>
      </c>
      <c r="G112" s="23">
        <v>0.0</v>
      </c>
      <c r="H112" s="24">
        <v>1.6843375E7</v>
      </c>
      <c r="I112" s="24" t="str">
        <f>IFERROR(__xludf.DUMMYFUNCTION("REGEXEXTRACT(E112, ""ک\s(\d{16})"")"),"6037997333052109")</f>
        <v>6037997333052109</v>
      </c>
      <c r="J112" s="25" t="s">
        <v>37</v>
      </c>
      <c r="K112" s="20" t="s">
        <v>339</v>
      </c>
      <c r="L112" s="26" t="s">
        <v>39</v>
      </c>
      <c r="M112" s="26" t="s">
        <v>40</v>
      </c>
      <c r="N112" s="27" t="s">
        <v>40</v>
      </c>
      <c r="O112" s="27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ht="25.5" customHeight="1">
      <c r="A113" s="19">
        <v>105.0</v>
      </c>
      <c r="B113" s="19" t="s">
        <v>315</v>
      </c>
      <c r="C113" s="20" t="s">
        <v>340</v>
      </c>
      <c r="D113" s="21" t="s">
        <v>71</v>
      </c>
      <c r="E113" s="21" t="s">
        <v>341</v>
      </c>
      <c r="F113" s="22">
        <v>0.0</v>
      </c>
      <c r="G113" s="23">
        <v>1800.0</v>
      </c>
      <c r="H113" s="24">
        <v>1.6841575E7</v>
      </c>
      <c r="I113" s="24" t="str">
        <f>IFERROR(__xludf.DUMMYFUNCTION("REGEXEXTRACT(E113, ""ک\s(\d{16})"")"),"6219861085979838")</f>
        <v>6219861085979838</v>
      </c>
      <c r="J113" s="25" t="s">
        <v>37</v>
      </c>
      <c r="K113" s="20" t="s">
        <v>342</v>
      </c>
      <c r="L113" s="26" t="s">
        <v>39</v>
      </c>
      <c r="M113" s="26" t="s">
        <v>40</v>
      </c>
      <c r="N113" s="27" t="s">
        <v>40</v>
      </c>
      <c r="O113" s="27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ht="25.5" customHeight="1">
      <c r="A114" s="19">
        <v>106.0</v>
      </c>
      <c r="B114" s="19" t="s">
        <v>315</v>
      </c>
      <c r="C114" s="20" t="s">
        <v>343</v>
      </c>
      <c r="D114" s="21" t="s">
        <v>35</v>
      </c>
      <c r="E114" s="21" t="s">
        <v>344</v>
      </c>
      <c r="F114" s="22">
        <v>1800000.0</v>
      </c>
      <c r="G114" s="23">
        <v>0.0</v>
      </c>
      <c r="H114" s="24">
        <v>1.8641575E7</v>
      </c>
      <c r="I114" s="24" t="str">
        <f>IFERROR(__xludf.DUMMYFUNCTION("REGEXEXTRACT(E114, ""ک\s(\d{16})"")"),"5859831063366115")</f>
        <v>5859831063366115</v>
      </c>
      <c r="J114" s="25" t="s">
        <v>37</v>
      </c>
      <c r="K114" s="20" t="s">
        <v>345</v>
      </c>
      <c r="L114" s="26" t="s">
        <v>39</v>
      </c>
      <c r="M114" s="26" t="s">
        <v>40</v>
      </c>
      <c r="N114" s="27" t="s">
        <v>40</v>
      </c>
      <c r="O114" s="27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ht="25.5" customHeight="1">
      <c r="A115" s="19">
        <v>107.0</v>
      </c>
      <c r="B115" s="19" t="s">
        <v>315</v>
      </c>
      <c r="C115" s="20" t="s">
        <v>346</v>
      </c>
      <c r="D115" s="21" t="s">
        <v>44</v>
      </c>
      <c r="E115" s="21" t="s">
        <v>347</v>
      </c>
      <c r="F115" s="22">
        <v>0.0</v>
      </c>
      <c r="G115" s="23">
        <v>8953000.0</v>
      </c>
      <c r="H115" s="24">
        <v>9688575.0</v>
      </c>
      <c r="I115" s="24" t="str">
        <f>IFERROR(__xludf.DUMMYFUNCTION("REGEXEXTRACT(E115, ""ک\s(\d{16})"")"),"6219861085979838")</f>
        <v>6219861085979838</v>
      </c>
      <c r="J115" s="25" t="s">
        <v>37</v>
      </c>
      <c r="K115" s="20" t="s">
        <v>348</v>
      </c>
      <c r="L115" s="26" t="s">
        <v>39</v>
      </c>
      <c r="M115" s="26" t="s">
        <v>40</v>
      </c>
      <c r="N115" s="27" t="s">
        <v>40</v>
      </c>
      <c r="O115" s="27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ht="25.5" customHeight="1">
      <c r="A116" s="19">
        <v>108.0</v>
      </c>
      <c r="B116" s="19" t="s">
        <v>315</v>
      </c>
      <c r="C116" s="20" t="s">
        <v>349</v>
      </c>
      <c r="D116" s="21" t="s">
        <v>35</v>
      </c>
      <c r="E116" s="21" t="s">
        <v>350</v>
      </c>
      <c r="F116" s="22">
        <v>1400000.0</v>
      </c>
      <c r="G116" s="23">
        <v>0.0</v>
      </c>
      <c r="H116" s="24">
        <v>1.1088575E7</v>
      </c>
      <c r="I116" s="24" t="str">
        <f>IFERROR(__xludf.DUMMYFUNCTION("REGEXEXTRACT(E116, ""ک\s(\d{16})"")"),"6037998244815204")</f>
        <v>6037998244815204</v>
      </c>
      <c r="J116" s="25" t="s">
        <v>37</v>
      </c>
      <c r="K116" s="20" t="s">
        <v>351</v>
      </c>
      <c r="L116" s="26" t="s">
        <v>39</v>
      </c>
      <c r="M116" s="26" t="s">
        <v>40</v>
      </c>
      <c r="N116" s="27" t="s">
        <v>40</v>
      </c>
      <c r="O116" s="27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ht="25.5" customHeight="1">
      <c r="A117" s="19">
        <v>109.0</v>
      </c>
      <c r="B117" s="19" t="s">
        <v>352</v>
      </c>
      <c r="C117" s="20" t="s">
        <v>353</v>
      </c>
      <c r="D117" s="21" t="s">
        <v>97</v>
      </c>
      <c r="E117" s="21" t="s">
        <v>354</v>
      </c>
      <c r="F117" s="22">
        <v>6.3E7</v>
      </c>
      <c r="G117" s="23">
        <v>0.0</v>
      </c>
      <c r="H117" s="24">
        <v>7.4088575E7</v>
      </c>
      <c r="I117" s="24" t="str">
        <f>IFERROR(__xludf.DUMMYFUNCTION("REGEXEXTRACT(E117, ""ک\s(\d{16})"")"),"#N/A")</f>
        <v>#N/A</v>
      </c>
      <c r="J117" s="25" t="s">
        <v>99</v>
      </c>
      <c r="K117" s="20" t="s">
        <v>355</v>
      </c>
      <c r="L117" s="26" t="s">
        <v>39</v>
      </c>
      <c r="M117" s="26" t="s">
        <v>40</v>
      </c>
      <c r="N117" s="27" t="s">
        <v>40</v>
      </c>
      <c r="O117" s="27" t="s">
        <v>356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ht="25.5" customHeight="1">
      <c r="A118" s="19">
        <v>110.0</v>
      </c>
      <c r="B118" s="19" t="s">
        <v>352</v>
      </c>
      <c r="C118" s="20" t="s">
        <v>357</v>
      </c>
      <c r="D118" s="21" t="s">
        <v>97</v>
      </c>
      <c r="E118" s="21" t="s">
        <v>358</v>
      </c>
      <c r="F118" s="22">
        <v>7.4E7</v>
      </c>
      <c r="G118" s="23">
        <v>0.0</v>
      </c>
      <c r="H118" s="24">
        <v>1.48088575E8</v>
      </c>
      <c r="I118" s="24" t="str">
        <f>IFERROR(__xludf.DUMMYFUNCTION("REGEXEXTRACT(E118, ""ک\s(\d{16})"")"),"#N/A")</f>
        <v>#N/A</v>
      </c>
      <c r="J118" s="25" t="s">
        <v>99</v>
      </c>
      <c r="K118" s="20" t="s">
        <v>359</v>
      </c>
      <c r="L118" s="26" t="s">
        <v>39</v>
      </c>
      <c r="M118" s="26" t="s">
        <v>40</v>
      </c>
      <c r="N118" s="27" t="s">
        <v>40</v>
      </c>
      <c r="O118" s="27" t="s">
        <v>360</v>
      </c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ht="25.5" customHeight="1">
      <c r="A119" s="19">
        <v>111.0</v>
      </c>
      <c r="B119" s="19" t="s">
        <v>352</v>
      </c>
      <c r="C119" s="20" t="s">
        <v>361</v>
      </c>
      <c r="D119" s="21" t="s">
        <v>35</v>
      </c>
      <c r="E119" s="21" t="s">
        <v>362</v>
      </c>
      <c r="F119" s="22">
        <v>0.0</v>
      </c>
      <c r="G119" s="23">
        <v>1.0E7</v>
      </c>
      <c r="H119" s="24">
        <v>1.38088575E8</v>
      </c>
      <c r="I119" s="24" t="str">
        <f>IFERROR(__xludf.DUMMYFUNCTION("REGEXEXTRACT(E119, ""ک\s(\d{16})"")"),"5859831103338371")</f>
        <v>5859831103338371</v>
      </c>
      <c r="J119" s="25" t="s">
        <v>37</v>
      </c>
      <c r="K119" s="20" t="s">
        <v>363</v>
      </c>
      <c r="L119" s="26" t="s">
        <v>39</v>
      </c>
      <c r="M119" s="26" t="s">
        <v>40</v>
      </c>
      <c r="N119" s="27" t="s">
        <v>40</v>
      </c>
      <c r="O119" s="27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ht="25.5" customHeight="1">
      <c r="A120" s="19">
        <v>112.0</v>
      </c>
      <c r="B120" s="19" t="s">
        <v>352</v>
      </c>
      <c r="C120" s="20" t="s">
        <v>361</v>
      </c>
      <c r="D120" s="21" t="s">
        <v>35</v>
      </c>
      <c r="E120" s="21" t="s">
        <v>364</v>
      </c>
      <c r="F120" s="22">
        <v>0.0</v>
      </c>
      <c r="G120" s="23">
        <v>9000.0</v>
      </c>
      <c r="H120" s="24">
        <v>1.38079575E8</v>
      </c>
      <c r="I120" s="24" t="str">
        <f>IFERROR(__xludf.DUMMYFUNCTION("REGEXEXTRACT(E120, ""ک\s(\d{16})"")"),"6219861085979838")</f>
        <v>6219861085979838</v>
      </c>
      <c r="J120" s="25" t="s">
        <v>37</v>
      </c>
      <c r="K120" s="20" t="s">
        <v>363</v>
      </c>
      <c r="L120" s="26" t="s">
        <v>39</v>
      </c>
      <c r="M120" s="26" t="s">
        <v>40</v>
      </c>
      <c r="N120" s="27" t="s">
        <v>40</v>
      </c>
      <c r="O120" s="27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ht="25.5" customHeight="1">
      <c r="A121" s="19">
        <v>113.0</v>
      </c>
      <c r="B121" s="19" t="s">
        <v>352</v>
      </c>
      <c r="C121" s="20" t="s">
        <v>365</v>
      </c>
      <c r="D121" s="21" t="s">
        <v>44</v>
      </c>
      <c r="E121" s="21" t="s">
        <v>366</v>
      </c>
      <c r="F121" s="22">
        <v>0.0</v>
      </c>
      <c r="G121" s="23">
        <v>5400000.0</v>
      </c>
      <c r="H121" s="24">
        <v>1.32679575E8</v>
      </c>
      <c r="I121" s="24" t="str">
        <f>IFERROR(__xludf.DUMMYFUNCTION("REGEXEXTRACT(E121, ""ک\s(\d{16})"")"),"6219861085979838")</f>
        <v>6219861085979838</v>
      </c>
      <c r="J121" s="25" t="s">
        <v>37</v>
      </c>
      <c r="K121" s="20" t="s">
        <v>367</v>
      </c>
      <c r="L121" s="26" t="s">
        <v>39</v>
      </c>
      <c r="M121" s="26" t="s">
        <v>40</v>
      </c>
      <c r="N121" s="27" t="s">
        <v>40</v>
      </c>
      <c r="O121" s="27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ht="25.5" customHeight="1">
      <c r="A122" s="19">
        <v>114.0</v>
      </c>
      <c r="B122" s="19" t="s">
        <v>352</v>
      </c>
      <c r="C122" s="20" t="s">
        <v>368</v>
      </c>
      <c r="D122" s="21" t="s">
        <v>44</v>
      </c>
      <c r="E122" s="21" t="s">
        <v>369</v>
      </c>
      <c r="F122" s="22">
        <v>0.0</v>
      </c>
      <c r="G122" s="23">
        <v>1.45E7</v>
      </c>
      <c r="H122" s="24">
        <v>1.18179575E8</v>
      </c>
      <c r="I122" s="24" t="str">
        <f>IFERROR(__xludf.DUMMYFUNCTION("REGEXEXTRACT(E122, ""ک\s(\d{16})"")"),"6219861085979838")</f>
        <v>6219861085979838</v>
      </c>
      <c r="J122" s="25" t="s">
        <v>37</v>
      </c>
      <c r="K122" s="20" t="s">
        <v>370</v>
      </c>
      <c r="L122" s="26" t="s">
        <v>39</v>
      </c>
      <c r="M122" s="26" t="s">
        <v>40</v>
      </c>
      <c r="N122" s="27" t="s">
        <v>40</v>
      </c>
      <c r="O122" s="27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ht="25.5" customHeight="1">
      <c r="A123" s="19">
        <v>115.0</v>
      </c>
      <c r="B123" s="19" t="s">
        <v>352</v>
      </c>
      <c r="C123" s="20" t="s">
        <v>371</v>
      </c>
      <c r="D123" s="21" t="s">
        <v>44</v>
      </c>
      <c r="E123" s="21" t="s">
        <v>372</v>
      </c>
      <c r="F123" s="22">
        <v>0.0</v>
      </c>
      <c r="G123" s="23">
        <v>2.06E7</v>
      </c>
      <c r="H123" s="24">
        <v>9.7579575E7</v>
      </c>
      <c r="I123" s="24" t="str">
        <f>IFERROR(__xludf.DUMMYFUNCTION("REGEXEXTRACT(E123, ""ک\s(\d{16})"")"),"6219861085979838")</f>
        <v>6219861085979838</v>
      </c>
      <c r="J123" s="25" t="s">
        <v>37</v>
      </c>
      <c r="K123" s="20" t="s">
        <v>373</v>
      </c>
      <c r="L123" s="26" t="s">
        <v>39</v>
      </c>
      <c r="M123" s="26" t="s">
        <v>40</v>
      </c>
      <c r="N123" s="27" t="s">
        <v>40</v>
      </c>
      <c r="O123" s="27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ht="25.5" customHeight="1">
      <c r="A124" s="19">
        <v>116.0</v>
      </c>
      <c r="B124" s="19" t="s">
        <v>352</v>
      </c>
      <c r="C124" s="20" t="s">
        <v>374</v>
      </c>
      <c r="D124" s="21" t="s">
        <v>71</v>
      </c>
      <c r="E124" s="21" t="s">
        <v>375</v>
      </c>
      <c r="F124" s="22">
        <v>0.0</v>
      </c>
      <c r="G124" s="23">
        <v>1800.0</v>
      </c>
      <c r="H124" s="24">
        <v>9.7577775E7</v>
      </c>
      <c r="I124" s="24" t="str">
        <f>IFERROR(__xludf.DUMMYFUNCTION("REGEXEXTRACT(E124, ""ک\s(\d{16})"")"),"6219861085979838")</f>
        <v>6219861085979838</v>
      </c>
      <c r="J124" s="25" t="s">
        <v>37</v>
      </c>
      <c r="K124" s="20" t="s">
        <v>376</v>
      </c>
      <c r="L124" s="26" t="s">
        <v>39</v>
      </c>
      <c r="M124" s="26" t="s">
        <v>40</v>
      </c>
      <c r="N124" s="27" t="s">
        <v>40</v>
      </c>
      <c r="O124" s="27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ht="25.5" customHeight="1">
      <c r="A125" s="19">
        <v>117.0</v>
      </c>
      <c r="B125" s="19" t="s">
        <v>352</v>
      </c>
      <c r="C125" s="20" t="s">
        <v>377</v>
      </c>
      <c r="D125" s="21" t="s">
        <v>35</v>
      </c>
      <c r="E125" s="21" t="s">
        <v>378</v>
      </c>
      <c r="F125" s="22">
        <v>0.0</v>
      </c>
      <c r="G125" s="23">
        <v>3.407E7</v>
      </c>
      <c r="H125" s="24">
        <v>6.3507775E7</v>
      </c>
      <c r="I125" s="24" t="str">
        <f>IFERROR(__xludf.DUMMYFUNCTION("REGEXEXTRACT(E125, ""ک\s(\d{16})"")"),"6274121208660688")</f>
        <v>6274121208660688</v>
      </c>
      <c r="J125" s="25" t="s">
        <v>37</v>
      </c>
      <c r="K125" s="20" t="s">
        <v>379</v>
      </c>
      <c r="L125" s="26" t="s">
        <v>39</v>
      </c>
      <c r="M125" s="26" t="s">
        <v>40</v>
      </c>
      <c r="N125" s="27" t="s">
        <v>40</v>
      </c>
      <c r="O125" s="27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ht="25.5" customHeight="1">
      <c r="A126" s="19">
        <v>118.0</v>
      </c>
      <c r="B126" s="19" t="s">
        <v>352</v>
      </c>
      <c r="C126" s="20" t="s">
        <v>377</v>
      </c>
      <c r="D126" s="21" t="s">
        <v>35</v>
      </c>
      <c r="E126" s="21" t="s">
        <v>380</v>
      </c>
      <c r="F126" s="22">
        <v>0.0</v>
      </c>
      <c r="G126" s="23">
        <v>18600.0</v>
      </c>
      <c r="H126" s="24">
        <v>6.3489175E7</v>
      </c>
      <c r="I126" s="24" t="str">
        <f>IFERROR(__xludf.DUMMYFUNCTION("REGEXEXTRACT(E126, ""ک\s(\d{16})"")"),"6219861085979838")</f>
        <v>6219861085979838</v>
      </c>
      <c r="J126" s="25" t="s">
        <v>37</v>
      </c>
      <c r="K126" s="20" t="s">
        <v>379</v>
      </c>
      <c r="L126" s="26" t="s">
        <v>39</v>
      </c>
      <c r="M126" s="26" t="s">
        <v>40</v>
      </c>
      <c r="N126" s="27" t="s">
        <v>40</v>
      </c>
      <c r="O126" s="27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ht="25.5" customHeight="1">
      <c r="A127" s="19">
        <v>119.0</v>
      </c>
      <c r="B127" s="19" t="s">
        <v>352</v>
      </c>
      <c r="C127" s="20" t="s">
        <v>381</v>
      </c>
      <c r="D127" s="21" t="s">
        <v>35</v>
      </c>
      <c r="E127" s="21" t="s">
        <v>382</v>
      </c>
      <c r="F127" s="22">
        <v>0.0</v>
      </c>
      <c r="G127" s="23">
        <v>1.98246E7</v>
      </c>
      <c r="H127" s="24">
        <v>4.3664575E7</v>
      </c>
      <c r="I127" s="24" t="str">
        <f>IFERROR(__xludf.DUMMYFUNCTION("REGEXEXTRACT(E127, ""ک\s(\d{16})"")"),"6104338738476148")</f>
        <v>6104338738476148</v>
      </c>
      <c r="J127" s="25" t="s">
        <v>37</v>
      </c>
      <c r="K127" s="20" t="s">
        <v>383</v>
      </c>
      <c r="L127" s="26" t="s">
        <v>39</v>
      </c>
      <c r="M127" s="26" t="s">
        <v>40</v>
      </c>
      <c r="N127" s="27" t="s">
        <v>40</v>
      </c>
      <c r="O127" s="27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ht="25.5" customHeight="1">
      <c r="A128" s="19">
        <v>120.0</v>
      </c>
      <c r="B128" s="19" t="s">
        <v>352</v>
      </c>
      <c r="C128" s="20" t="s">
        <v>381</v>
      </c>
      <c r="D128" s="21" t="s">
        <v>35</v>
      </c>
      <c r="E128" s="21" t="s">
        <v>384</v>
      </c>
      <c r="F128" s="22">
        <v>0.0</v>
      </c>
      <c r="G128" s="23">
        <v>12200.0</v>
      </c>
      <c r="H128" s="24">
        <v>4.3652375E7</v>
      </c>
      <c r="I128" s="24" t="str">
        <f>IFERROR(__xludf.DUMMYFUNCTION("REGEXEXTRACT(E128, ""ک\s(\d{16})"")"),"6219861085979838")</f>
        <v>6219861085979838</v>
      </c>
      <c r="J128" s="25" t="s">
        <v>37</v>
      </c>
      <c r="K128" s="20" t="s">
        <v>383</v>
      </c>
      <c r="L128" s="26" t="s">
        <v>39</v>
      </c>
      <c r="M128" s="26" t="s">
        <v>40</v>
      </c>
      <c r="N128" s="27" t="s">
        <v>40</v>
      </c>
      <c r="O128" s="27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ht="25.5" customHeight="1">
      <c r="A129" s="19">
        <v>121.0</v>
      </c>
      <c r="B129" s="19" t="s">
        <v>352</v>
      </c>
      <c r="C129" s="20" t="s">
        <v>385</v>
      </c>
      <c r="D129" s="21" t="s">
        <v>97</v>
      </c>
      <c r="E129" s="21" t="s">
        <v>386</v>
      </c>
      <c r="F129" s="22">
        <v>1.3E8</v>
      </c>
      <c r="G129" s="23">
        <v>0.0</v>
      </c>
      <c r="H129" s="24">
        <v>1.73652375E8</v>
      </c>
      <c r="I129" s="24" t="str">
        <f>IFERROR(__xludf.DUMMYFUNCTION("REGEXEXTRACT(E129, ""ک\s(\d{16})"")"),"#N/A")</f>
        <v>#N/A</v>
      </c>
      <c r="J129" s="25" t="s">
        <v>99</v>
      </c>
      <c r="K129" s="20" t="s">
        <v>387</v>
      </c>
      <c r="L129" s="26" t="s">
        <v>39</v>
      </c>
      <c r="M129" s="26" t="s">
        <v>40</v>
      </c>
      <c r="N129" s="27" t="s">
        <v>40</v>
      </c>
      <c r="O129" s="27" t="s">
        <v>388</v>
      </c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ht="25.5" customHeight="1">
      <c r="A130" s="19">
        <v>122.0</v>
      </c>
      <c r="B130" s="19" t="s">
        <v>352</v>
      </c>
      <c r="C130" s="20" t="s">
        <v>389</v>
      </c>
      <c r="D130" s="21" t="s">
        <v>330</v>
      </c>
      <c r="E130" s="21" t="s">
        <v>390</v>
      </c>
      <c r="F130" s="22">
        <v>0.0</v>
      </c>
      <c r="G130" s="23">
        <v>1.3E8</v>
      </c>
      <c r="H130" s="24">
        <v>4.3652375E7</v>
      </c>
      <c r="I130" s="24" t="str">
        <f>IFERROR(__xludf.DUMMYFUNCTION("REGEXEXTRACT(E130, ""ک\s(\d{16})"")"),"#N/A")</f>
        <v>#N/A</v>
      </c>
      <c r="J130" s="25" t="s">
        <v>332</v>
      </c>
      <c r="K130" s="20" t="s">
        <v>391</v>
      </c>
      <c r="L130" s="26" t="s">
        <v>39</v>
      </c>
      <c r="M130" s="26" t="s">
        <v>40</v>
      </c>
      <c r="N130" s="27" t="s">
        <v>40</v>
      </c>
      <c r="O130" s="27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ht="25.5" customHeight="1">
      <c r="A131" s="19">
        <v>123.0</v>
      </c>
      <c r="B131" s="19" t="s">
        <v>352</v>
      </c>
      <c r="C131" s="20" t="s">
        <v>389</v>
      </c>
      <c r="D131" s="21" t="s">
        <v>334</v>
      </c>
      <c r="E131" s="21" t="s">
        <v>335</v>
      </c>
      <c r="F131" s="22">
        <v>0.0</v>
      </c>
      <c r="G131" s="23">
        <v>26000.0</v>
      </c>
      <c r="H131" s="24">
        <v>4.3626375E7</v>
      </c>
      <c r="I131" s="24" t="str">
        <f>IFERROR(__xludf.DUMMYFUNCTION("REGEXEXTRACT(E131, ""ک\s(\d{16})"")"),"#N/A")</f>
        <v>#N/A</v>
      </c>
      <c r="J131" s="25" t="s">
        <v>332</v>
      </c>
      <c r="K131" s="20" t="s">
        <v>392</v>
      </c>
      <c r="L131" s="26" t="s">
        <v>39</v>
      </c>
      <c r="M131" s="26" t="s">
        <v>40</v>
      </c>
      <c r="N131" s="27" t="s">
        <v>40</v>
      </c>
      <c r="O131" s="27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ht="25.5" customHeight="1">
      <c r="A132" s="19">
        <v>124.0</v>
      </c>
      <c r="B132" s="19" t="s">
        <v>352</v>
      </c>
      <c r="C132" s="20" t="s">
        <v>393</v>
      </c>
      <c r="D132" s="21" t="s">
        <v>35</v>
      </c>
      <c r="E132" s="21" t="s">
        <v>394</v>
      </c>
      <c r="F132" s="22">
        <v>250000.0</v>
      </c>
      <c r="G132" s="23">
        <v>0.0</v>
      </c>
      <c r="H132" s="24">
        <v>4.3876375E7</v>
      </c>
      <c r="I132" s="24" t="str">
        <f>IFERROR(__xludf.DUMMYFUNCTION("REGEXEXTRACT(E132, ""ک\s(\d{16})"")"),"5859831807160501")</f>
        <v>5859831807160501</v>
      </c>
      <c r="J132" s="25" t="s">
        <v>37</v>
      </c>
      <c r="K132" s="20" t="s">
        <v>395</v>
      </c>
      <c r="L132" s="26" t="s">
        <v>39</v>
      </c>
      <c r="M132" s="26" t="s">
        <v>40</v>
      </c>
      <c r="N132" s="27" t="s">
        <v>40</v>
      </c>
      <c r="O132" s="27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ht="25.5" customHeight="1">
      <c r="A133" s="19">
        <v>125.0</v>
      </c>
      <c r="B133" s="19" t="s">
        <v>352</v>
      </c>
      <c r="C133" s="20" t="s">
        <v>396</v>
      </c>
      <c r="D133" s="21" t="s">
        <v>71</v>
      </c>
      <c r="E133" s="21" t="s">
        <v>397</v>
      </c>
      <c r="F133" s="22">
        <v>0.0</v>
      </c>
      <c r="G133" s="23">
        <v>1800.0</v>
      </c>
      <c r="H133" s="24">
        <v>4.3874575E7</v>
      </c>
      <c r="I133" s="24" t="str">
        <f>IFERROR(__xludf.DUMMYFUNCTION("REGEXEXTRACT(E133, ""ک\s(\d{16})"")"),"6219861085979838")</f>
        <v>6219861085979838</v>
      </c>
      <c r="J133" s="25" t="s">
        <v>37</v>
      </c>
      <c r="K133" s="20" t="s">
        <v>398</v>
      </c>
      <c r="L133" s="26" t="s">
        <v>39</v>
      </c>
      <c r="M133" s="26" t="s">
        <v>40</v>
      </c>
      <c r="N133" s="27" t="s">
        <v>40</v>
      </c>
      <c r="O133" s="27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ht="25.5" customHeight="1">
      <c r="A134" s="19">
        <v>126.0</v>
      </c>
      <c r="B134" s="19" t="s">
        <v>352</v>
      </c>
      <c r="C134" s="20" t="s">
        <v>399</v>
      </c>
      <c r="D134" s="21" t="s">
        <v>35</v>
      </c>
      <c r="E134" s="21" t="s">
        <v>400</v>
      </c>
      <c r="F134" s="22">
        <v>0.0</v>
      </c>
      <c r="G134" s="23">
        <v>2.308E7</v>
      </c>
      <c r="H134" s="24">
        <v>2.0794575E7</v>
      </c>
      <c r="I134" s="24" t="str">
        <f>IFERROR(__xludf.DUMMYFUNCTION("REGEXEXTRACT(E134, ""ک\s(\d{16})"")"),"5894631178646402")</f>
        <v>5894631178646402</v>
      </c>
      <c r="J134" s="25" t="s">
        <v>37</v>
      </c>
      <c r="K134" s="20" t="s">
        <v>401</v>
      </c>
      <c r="L134" s="26" t="s">
        <v>39</v>
      </c>
      <c r="M134" s="26" t="s">
        <v>40</v>
      </c>
      <c r="N134" s="27" t="s">
        <v>40</v>
      </c>
      <c r="O134" s="27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ht="25.5" customHeight="1">
      <c r="A135" s="19">
        <v>127.0</v>
      </c>
      <c r="B135" s="19" t="s">
        <v>352</v>
      </c>
      <c r="C135" s="20" t="s">
        <v>399</v>
      </c>
      <c r="D135" s="21" t="s">
        <v>35</v>
      </c>
      <c r="E135" s="21" t="s">
        <v>402</v>
      </c>
      <c r="F135" s="22">
        <v>0.0</v>
      </c>
      <c r="G135" s="23">
        <v>15400.0</v>
      </c>
      <c r="H135" s="24">
        <v>2.0779175E7</v>
      </c>
      <c r="I135" s="24" t="str">
        <f>IFERROR(__xludf.DUMMYFUNCTION("REGEXEXTRACT(E135, ""ک\s(\d{16})"")"),"6219861085979838")</f>
        <v>6219861085979838</v>
      </c>
      <c r="J135" s="25" t="s">
        <v>37</v>
      </c>
      <c r="K135" s="20" t="s">
        <v>401</v>
      </c>
      <c r="L135" s="26" t="s">
        <v>39</v>
      </c>
      <c r="M135" s="26" t="s">
        <v>40</v>
      </c>
      <c r="N135" s="27" t="s">
        <v>40</v>
      </c>
      <c r="O135" s="27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ht="25.5" customHeight="1">
      <c r="A136" s="19">
        <v>128.0</v>
      </c>
      <c r="B136" s="19" t="s">
        <v>403</v>
      </c>
      <c r="C136" s="20" t="s">
        <v>404</v>
      </c>
      <c r="D136" s="21" t="s">
        <v>97</v>
      </c>
      <c r="E136" s="21" t="s">
        <v>405</v>
      </c>
      <c r="F136" s="22">
        <v>2.5E7</v>
      </c>
      <c r="G136" s="23">
        <v>0.0</v>
      </c>
      <c r="H136" s="24">
        <v>4.5779175E7</v>
      </c>
      <c r="I136" s="24" t="str">
        <f>IFERROR(__xludf.DUMMYFUNCTION("REGEXEXTRACT(E136, ""ک\s(\d{16})"")"),"#N/A")</f>
        <v>#N/A</v>
      </c>
      <c r="J136" s="25" t="s">
        <v>99</v>
      </c>
      <c r="K136" s="20" t="s">
        <v>406</v>
      </c>
      <c r="L136" s="26" t="s">
        <v>39</v>
      </c>
      <c r="M136" s="26" t="s">
        <v>40</v>
      </c>
      <c r="N136" s="27" t="s">
        <v>40</v>
      </c>
      <c r="O136" s="27" t="s">
        <v>407</v>
      </c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ht="25.5" customHeight="1">
      <c r="A137" s="19">
        <v>129.0</v>
      </c>
      <c r="B137" s="19" t="s">
        <v>403</v>
      </c>
      <c r="C137" s="20" t="s">
        <v>408</v>
      </c>
      <c r="D137" s="21" t="s">
        <v>97</v>
      </c>
      <c r="E137" s="21" t="s">
        <v>409</v>
      </c>
      <c r="F137" s="22">
        <v>9.2E7</v>
      </c>
      <c r="G137" s="23">
        <v>0.0</v>
      </c>
      <c r="H137" s="24">
        <v>1.37779175E8</v>
      </c>
      <c r="I137" s="24" t="str">
        <f>IFERROR(__xludf.DUMMYFUNCTION("REGEXEXTRACT(E137, ""ک\s(\d{16})"")"),"#N/A")</f>
        <v>#N/A</v>
      </c>
      <c r="J137" s="25" t="s">
        <v>99</v>
      </c>
      <c r="K137" s="20" t="s">
        <v>410</v>
      </c>
      <c r="L137" s="26" t="s">
        <v>39</v>
      </c>
      <c r="M137" s="26" t="s">
        <v>40</v>
      </c>
      <c r="N137" s="27" t="s">
        <v>40</v>
      </c>
      <c r="O137" s="27" t="s">
        <v>411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ht="25.5" customHeight="1">
      <c r="A138" s="19">
        <v>130.0</v>
      </c>
      <c r="B138" s="19" t="s">
        <v>403</v>
      </c>
      <c r="C138" s="20" t="s">
        <v>412</v>
      </c>
      <c r="D138" s="21" t="s">
        <v>44</v>
      </c>
      <c r="E138" s="21" t="s">
        <v>413</v>
      </c>
      <c r="F138" s="22">
        <v>0.0</v>
      </c>
      <c r="G138" s="23">
        <v>1.56E7</v>
      </c>
      <c r="H138" s="24">
        <v>1.22179175E8</v>
      </c>
      <c r="I138" s="24" t="str">
        <f>IFERROR(__xludf.DUMMYFUNCTION("REGEXEXTRACT(E138, ""ک\s(\d{16})"")"),"6219861085979838")</f>
        <v>6219861085979838</v>
      </c>
      <c r="J138" s="25" t="s">
        <v>37</v>
      </c>
      <c r="K138" s="20" t="s">
        <v>414</v>
      </c>
      <c r="L138" s="26" t="s">
        <v>39</v>
      </c>
      <c r="M138" s="26" t="s">
        <v>40</v>
      </c>
      <c r="N138" s="27" t="s">
        <v>40</v>
      </c>
      <c r="O138" s="27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ht="25.5" customHeight="1">
      <c r="A139" s="19">
        <v>131.0</v>
      </c>
      <c r="B139" s="19" t="s">
        <v>403</v>
      </c>
      <c r="C139" s="20" t="s">
        <v>415</v>
      </c>
      <c r="D139" s="21" t="s">
        <v>35</v>
      </c>
      <c r="E139" s="21" t="s">
        <v>416</v>
      </c>
      <c r="F139" s="22">
        <v>0.0</v>
      </c>
      <c r="G139" s="23">
        <v>5.0E7</v>
      </c>
      <c r="H139" s="24">
        <v>7.2179175E7</v>
      </c>
      <c r="I139" s="24" t="str">
        <f>IFERROR(__xludf.DUMMYFUNCTION("REGEXEXTRACT(E139, ""ک\s(\d{16})"")"),"6037697709482571")</f>
        <v>6037697709482571</v>
      </c>
      <c r="J139" s="25" t="s">
        <v>37</v>
      </c>
      <c r="K139" s="20" t="s">
        <v>417</v>
      </c>
      <c r="L139" s="26" t="s">
        <v>39</v>
      </c>
      <c r="M139" s="26" t="s">
        <v>40</v>
      </c>
      <c r="N139" s="27" t="s">
        <v>40</v>
      </c>
      <c r="O139" s="27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ht="25.5" customHeight="1">
      <c r="A140" s="19">
        <v>132.0</v>
      </c>
      <c r="B140" s="19" t="s">
        <v>403</v>
      </c>
      <c r="C140" s="20" t="s">
        <v>415</v>
      </c>
      <c r="D140" s="21" t="s">
        <v>35</v>
      </c>
      <c r="E140" s="21" t="s">
        <v>418</v>
      </c>
      <c r="F140" s="22">
        <v>0.0</v>
      </c>
      <c r="G140" s="23">
        <v>21800.0</v>
      </c>
      <c r="H140" s="24">
        <v>7.2157375E7</v>
      </c>
      <c r="I140" s="24" t="str">
        <f>IFERROR(__xludf.DUMMYFUNCTION("REGEXEXTRACT(E140, ""ک\s(\d{16})"")"),"6219861085979838")</f>
        <v>6219861085979838</v>
      </c>
      <c r="J140" s="25" t="s">
        <v>37</v>
      </c>
      <c r="K140" s="20" t="s">
        <v>417</v>
      </c>
      <c r="L140" s="26" t="s">
        <v>39</v>
      </c>
      <c r="M140" s="26" t="s">
        <v>40</v>
      </c>
      <c r="N140" s="27" t="s">
        <v>40</v>
      </c>
      <c r="O140" s="27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ht="25.5" customHeight="1">
      <c r="A141" s="19">
        <v>133.0</v>
      </c>
      <c r="B141" s="19" t="s">
        <v>403</v>
      </c>
      <c r="C141" s="20" t="s">
        <v>419</v>
      </c>
      <c r="D141" s="21" t="s">
        <v>35</v>
      </c>
      <c r="E141" s="21" t="s">
        <v>420</v>
      </c>
      <c r="F141" s="22">
        <v>250000.0</v>
      </c>
      <c r="G141" s="23">
        <v>0.0</v>
      </c>
      <c r="H141" s="24">
        <v>7.2407375E7</v>
      </c>
      <c r="I141" s="24" t="str">
        <f>IFERROR(__xludf.DUMMYFUNCTION("REGEXEXTRACT(E141, ""ک\s(\d{16})"")"),"5022291559163587")</f>
        <v>5022291559163587</v>
      </c>
      <c r="J141" s="25" t="s">
        <v>37</v>
      </c>
      <c r="K141" s="20" t="s">
        <v>421</v>
      </c>
      <c r="L141" s="26" t="s">
        <v>39</v>
      </c>
      <c r="M141" s="26" t="s">
        <v>40</v>
      </c>
      <c r="N141" s="27" t="s">
        <v>40</v>
      </c>
      <c r="O141" s="27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ht="25.5" customHeight="1">
      <c r="A142" s="19">
        <v>134.0</v>
      </c>
      <c r="B142" s="19" t="s">
        <v>403</v>
      </c>
      <c r="C142" s="20" t="s">
        <v>422</v>
      </c>
      <c r="D142" s="21" t="s">
        <v>35</v>
      </c>
      <c r="E142" s="21" t="s">
        <v>423</v>
      </c>
      <c r="F142" s="22">
        <v>0.0</v>
      </c>
      <c r="G142" s="23">
        <v>8000000.0</v>
      </c>
      <c r="H142" s="24">
        <v>6.4407375E7</v>
      </c>
      <c r="I142" s="24" t="str">
        <f>IFERROR(__xludf.DUMMYFUNCTION("REGEXEXTRACT(E142, ""ک\s(\d{16})"")"),"5029081028402846")</f>
        <v>5029081028402846</v>
      </c>
      <c r="J142" s="25" t="s">
        <v>37</v>
      </c>
      <c r="K142" s="20" t="s">
        <v>424</v>
      </c>
      <c r="L142" s="26" t="s">
        <v>39</v>
      </c>
      <c r="M142" s="26" t="s">
        <v>40</v>
      </c>
      <c r="N142" s="27" t="s">
        <v>40</v>
      </c>
      <c r="O142" s="27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ht="25.5" customHeight="1">
      <c r="A143" s="19">
        <v>135.0</v>
      </c>
      <c r="B143" s="19" t="s">
        <v>403</v>
      </c>
      <c r="C143" s="20" t="s">
        <v>422</v>
      </c>
      <c r="D143" s="21" t="s">
        <v>35</v>
      </c>
      <c r="E143" s="21" t="s">
        <v>425</v>
      </c>
      <c r="F143" s="22">
        <v>0.0</v>
      </c>
      <c r="G143" s="23">
        <v>9000.0</v>
      </c>
      <c r="H143" s="24">
        <v>6.4398375E7</v>
      </c>
      <c r="I143" s="24" t="str">
        <f>IFERROR(__xludf.DUMMYFUNCTION("REGEXEXTRACT(E143, ""ک\s(\d{16})"")"),"6219861085979838")</f>
        <v>6219861085979838</v>
      </c>
      <c r="J143" s="25" t="s">
        <v>37</v>
      </c>
      <c r="K143" s="20" t="s">
        <v>424</v>
      </c>
      <c r="L143" s="26" t="s">
        <v>39</v>
      </c>
      <c r="M143" s="26" t="s">
        <v>40</v>
      </c>
      <c r="N143" s="27" t="s">
        <v>40</v>
      </c>
      <c r="O143" s="27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ht="25.5" customHeight="1">
      <c r="A144" s="19">
        <v>136.0</v>
      </c>
      <c r="B144" s="19" t="s">
        <v>403</v>
      </c>
      <c r="C144" s="20" t="s">
        <v>426</v>
      </c>
      <c r="D144" s="21" t="s">
        <v>35</v>
      </c>
      <c r="E144" s="21" t="s">
        <v>427</v>
      </c>
      <c r="F144" s="22">
        <v>0.0</v>
      </c>
      <c r="G144" s="23">
        <v>3.0E7</v>
      </c>
      <c r="H144" s="24">
        <v>3.4398375E7</v>
      </c>
      <c r="I144" s="24" t="str">
        <f>IFERROR(__xludf.DUMMYFUNCTION("REGEXEXTRACT(E144, ""ک\s(\d{16})"")"),"6219861083639228")</f>
        <v>6219861083639228</v>
      </c>
      <c r="J144" s="25" t="s">
        <v>37</v>
      </c>
      <c r="K144" s="20" t="s">
        <v>428</v>
      </c>
      <c r="L144" s="26" t="s">
        <v>39</v>
      </c>
      <c r="M144" s="26" t="s">
        <v>40</v>
      </c>
      <c r="N144" s="27" t="s">
        <v>40</v>
      </c>
      <c r="O144" s="27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ht="25.5" customHeight="1">
      <c r="A145" s="19">
        <v>137.0</v>
      </c>
      <c r="B145" s="19" t="s">
        <v>403</v>
      </c>
      <c r="C145" s="20" t="s">
        <v>429</v>
      </c>
      <c r="D145" s="21" t="s">
        <v>35</v>
      </c>
      <c r="E145" s="21" t="s">
        <v>430</v>
      </c>
      <c r="F145" s="22">
        <v>450000.0</v>
      </c>
      <c r="G145" s="23">
        <v>0.0</v>
      </c>
      <c r="H145" s="24">
        <v>3.4848375E7</v>
      </c>
      <c r="I145" s="24" t="str">
        <f>IFERROR(__xludf.DUMMYFUNCTION("REGEXEXTRACT(E145, ""ک\s(\d{16})"")"),"5859831044692845")</f>
        <v>5859831044692845</v>
      </c>
      <c r="J145" s="25" t="s">
        <v>37</v>
      </c>
      <c r="K145" s="20" t="s">
        <v>431</v>
      </c>
      <c r="L145" s="26" t="s">
        <v>39</v>
      </c>
      <c r="M145" s="26" t="s">
        <v>40</v>
      </c>
      <c r="N145" s="27" t="s">
        <v>40</v>
      </c>
      <c r="O145" s="27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ht="25.5" customHeight="1">
      <c r="A146" s="19">
        <v>138.0</v>
      </c>
      <c r="B146" s="19" t="s">
        <v>403</v>
      </c>
      <c r="C146" s="20" t="s">
        <v>432</v>
      </c>
      <c r="D146" s="21" t="s">
        <v>71</v>
      </c>
      <c r="E146" s="21" t="s">
        <v>433</v>
      </c>
      <c r="F146" s="22">
        <v>0.0</v>
      </c>
      <c r="G146" s="23">
        <v>1800.0</v>
      </c>
      <c r="H146" s="24">
        <v>3.4846575E7</v>
      </c>
      <c r="I146" s="24" t="str">
        <f>IFERROR(__xludf.DUMMYFUNCTION("REGEXEXTRACT(E146, ""ک\s(\d{16})"")"),"6219861085979838")</f>
        <v>6219861085979838</v>
      </c>
      <c r="J146" s="25" t="s">
        <v>37</v>
      </c>
      <c r="K146" s="20" t="s">
        <v>434</v>
      </c>
      <c r="L146" s="26" t="s">
        <v>39</v>
      </c>
      <c r="M146" s="26" t="s">
        <v>40</v>
      </c>
      <c r="N146" s="27" t="s">
        <v>40</v>
      </c>
      <c r="O146" s="27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ht="25.5" customHeight="1">
      <c r="A147" s="19">
        <v>139.0</v>
      </c>
      <c r="B147" s="19" t="s">
        <v>403</v>
      </c>
      <c r="C147" s="20" t="s">
        <v>435</v>
      </c>
      <c r="D147" s="21" t="s">
        <v>35</v>
      </c>
      <c r="E147" s="21" t="s">
        <v>436</v>
      </c>
      <c r="F147" s="22">
        <v>0.0</v>
      </c>
      <c r="G147" s="23">
        <v>3.376E7</v>
      </c>
      <c r="H147" s="24">
        <v>1086575.0</v>
      </c>
      <c r="I147" s="24" t="str">
        <f>IFERROR(__xludf.DUMMYFUNCTION("REGEXEXTRACT(E147, ""ک\s(\d{16})"")"),"6274121208660688")</f>
        <v>6274121208660688</v>
      </c>
      <c r="J147" s="25" t="s">
        <v>37</v>
      </c>
      <c r="K147" s="20" t="s">
        <v>437</v>
      </c>
      <c r="L147" s="26" t="s">
        <v>39</v>
      </c>
      <c r="M147" s="26" t="s">
        <v>40</v>
      </c>
      <c r="N147" s="27" t="s">
        <v>40</v>
      </c>
      <c r="O147" s="27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ht="25.5" customHeight="1">
      <c r="A148" s="19">
        <v>140.0</v>
      </c>
      <c r="B148" s="19" t="s">
        <v>403</v>
      </c>
      <c r="C148" s="20" t="s">
        <v>435</v>
      </c>
      <c r="D148" s="21" t="s">
        <v>35</v>
      </c>
      <c r="E148" s="21" t="s">
        <v>438</v>
      </c>
      <c r="F148" s="22">
        <v>0.0</v>
      </c>
      <c r="G148" s="23">
        <v>18600.0</v>
      </c>
      <c r="H148" s="24">
        <v>1067975.0</v>
      </c>
      <c r="I148" s="24" t="str">
        <f>IFERROR(__xludf.DUMMYFUNCTION("REGEXEXTRACT(E148, ""ک\s(\d{16})"")"),"6219861085979838")</f>
        <v>6219861085979838</v>
      </c>
      <c r="J148" s="25" t="s">
        <v>37</v>
      </c>
      <c r="K148" s="20" t="s">
        <v>437</v>
      </c>
      <c r="L148" s="26" t="s">
        <v>39</v>
      </c>
      <c r="M148" s="26" t="s">
        <v>40</v>
      </c>
      <c r="N148" s="27" t="s">
        <v>40</v>
      </c>
      <c r="O148" s="27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ht="25.5" customHeight="1">
      <c r="A149" s="19">
        <v>141.0</v>
      </c>
      <c r="B149" s="19" t="s">
        <v>403</v>
      </c>
      <c r="C149" s="20" t="s">
        <v>439</v>
      </c>
      <c r="D149" s="21" t="s">
        <v>71</v>
      </c>
      <c r="E149" s="21" t="s">
        <v>440</v>
      </c>
      <c r="F149" s="22">
        <v>0.0</v>
      </c>
      <c r="G149" s="23">
        <v>1800.0</v>
      </c>
      <c r="H149" s="24">
        <v>1066175.0</v>
      </c>
      <c r="I149" s="24" t="str">
        <f>IFERROR(__xludf.DUMMYFUNCTION("REGEXEXTRACT(E149, ""ک\s(\d{16})"")"),"6219861085979838")</f>
        <v>6219861085979838</v>
      </c>
      <c r="J149" s="25" t="s">
        <v>37</v>
      </c>
      <c r="K149" s="20" t="s">
        <v>441</v>
      </c>
      <c r="L149" s="26" t="s">
        <v>39</v>
      </c>
      <c r="M149" s="26" t="s">
        <v>40</v>
      </c>
      <c r="N149" s="27" t="s">
        <v>40</v>
      </c>
      <c r="O149" s="27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ht="25.5" customHeight="1">
      <c r="A150" s="19">
        <v>142.0</v>
      </c>
      <c r="B150" s="19" t="s">
        <v>442</v>
      </c>
      <c r="C150" s="20" t="s">
        <v>443</v>
      </c>
      <c r="D150" s="21" t="s">
        <v>97</v>
      </c>
      <c r="E150" s="21" t="s">
        <v>444</v>
      </c>
      <c r="F150" s="22">
        <v>1.24E8</v>
      </c>
      <c r="G150" s="23">
        <v>0.0</v>
      </c>
      <c r="H150" s="24">
        <v>1.25066175E8</v>
      </c>
      <c r="I150" s="24" t="str">
        <f>IFERROR(__xludf.DUMMYFUNCTION("REGEXEXTRACT(E150, ""ک\s(\d{16})"")"),"#N/A")</f>
        <v>#N/A</v>
      </c>
      <c r="J150" s="25" t="s">
        <v>99</v>
      </c>
      <c r="K150" s="20" t="s">
        <v>445</v>
      </c>
      <c r="L150" s="26" t="s">
        <v>39</v>
      </c>
      <c r="M150" s="26" t="s">
        <v>40</v>
      </c>
      <c r="N150" s="27" t="s">
        <v>40</v>
      </c>
      <c r="O150" s="27" t="s">
        <v>446</v>
      </c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ht="25.5" customHeight="1">
      <c r="A151" s="19">
        <v>143.0</v>
      </c>
      <c r="B151" s="19" t="s">
        <v>442</v>
      </c>
      <c r="C151" s="20" t="s">
        <v>447</v>
      </c>
      <c r="D151" s="21" t="s">
        <v>35</v>
      </c>
      <c r="E151" s="21" t="s">
        <v>448</v>
      </c>
      <c r="F151" s="22">
        <v>0.0</v>
      </c>
      <c r="G151" s="23">
        <v>5.0E7</v>
      </c>
      <c r="H151" s="24">
        <v>7.5066175E7</v>
      </c>
      <c r="I151" s="24" t="str">
        <f>IFERROR(__xludf.DUMMYFUNCTION("REGEXEXTRACT(E151, ""ک\s(\d{16})"")"),"6104338981389121")</f>
        <v>6104338981389121</v>
      </c>
      <c r="J151" s="25" t="s">
        <v>37</v>
      </c>
      <c r="K151" s="20" t="s">
        <v>449</v>
      </c>
      <c r="L151" s="26" t="s">
        <v>39</v>
      </c>
      <c r="M151" s="26" t="s">
        <v>40</v>
      </c>
      <c r="N151" s="27" t="s">
        <v>40</v>
      </c>
      <c r="O151" s="27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ht="25.5" customHeight="1">
      <c r="A152" s="19">
        <v>144.0</v>
      </c>
      <c r="B152" s="19" t="s">
        <v>442</v>
      </c>
      <c r="C152" s="20" t="s">
        <v>447</v>
      </c>
      <c r="D152" s="21" t="s">
        <v>35</v>
      </c>
      <c r="E152" s="21" t="s">
        <v>450</v>
      </c>
      <c r="F152" s="22">
        <v>0.0</v>
      </c>
      <c r="G152" s="23">
        <v>21800.0</v>
      </c>
      <c r="H152" s="24">
        <v>7.5044375E7</v>
      </c>
      <c r="I152" s="24" t="str">
        <f>IFERROR(__xludf.DUMMYFUNCTION("REGEXEXTRACT(E152, ""ک\s(\d{16})"")"),"6219861085979838")</f>
        <v>6219861085979838</v>
      </c>
      <c r="J152" s="25" t="s">
        <v>37</v>
      </c>
      <c r="K152" s="20" t="s">
        <v>449</v>
      </c>
      <c r="L152" s="26" t="s">
        <v>39</v>
      </c>
      <c r="M152" s="26" t="s">
        <v>40</v>
      </c>
      <c r="N152" s="27" t="s">
        <v>40</v>
      </c>
      <c r="O152" s="27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ht="25.5" customHeight="1">
      <c r="A153" s="19">
        <v>145.0</v>
      </c>
      <c r="B153" s="19" t="s">
        <v>442</v>
      </c>
      <c r="C153" s="20" t="s">
        <v>451</v>
      </c>
      <c r="D153" s="21" t="s">
        <v>97</v>
      </c>
      <c r="E153" s="21" t="s">
        <v>452</v>
      </c>
      <c r="F153" s="22">
        <v>0.0</v>
      </c>
      <c r="G153" s="23">
        <v>6.0E7</v>
      </c>
      <c r="H153" s="24">
        <v>1.5044375E7</v>
      </c>
      <c r="I153" s="24" t="str">
        <f>IFERROR(__xludf.DUMMYFUNCTION("REGEXEXTRACT(E153, ""ک\s(\d{16})"")"),"#N/A")</f>
        <v>#N/A</v>
      </c>
      <c r="J153" s="25" t="s">
        <v>99</v>
      </c>
      <c r="K153" s="20" t="s">
        <v>453</v>
      </c>
      <c r="L153" s="26" t="s">
        <v>39</v>
      </c>
      <c r="M153" s="26" t="s">
        <v>40</v>
      </c>
      <c r="N153" s="27" t="s">
        <v>40</v>
      </c>
      <c r="O153" s="27" t="s">
        <v>454</v>
      </c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ht="25.5" customHeight="1">
      <c r="A154" s="19">
        <v>146.0</v>
      </c>
      <c r="B154" s="19" t="s">
        <v>455</v>
      </c>
      <c r="C154" s="20" t="s">
        <v>456</v>
      </c>
      <c r="D154" s="21" t="s">
        <v>457</v>
      </c>
      <c r="E154" s="21" t="s">
        <v>458</v>
      </c>
      <c r="F154" s="22">
        <v>0.0</v>
      </c>
      <c r="G154" s="23">
        <v>18000.0</v>
      </c>
      <c r="H154" s="24">
        <v>1.5026375E7</v>
      </c>
      <c r="I154" s="24" t="str">
        <f>IFERROR(__xludf.DUMMYFUNCTION("REGEXEXTRACT(E154, ""ک\s(\d{16})"")"),"#N/A")</f>
        <v>#N/A</v>
      </c>
      <c r="J154" s="25" t="s">
        <v>99</v>
      </c>
      <c r="K154" s="20" t="s">
        <v>459</v>
      </c>
      <c r="L154" s="26" t="s">
        <v>39</v>
      </c>
      <c r="M154" s="26" t="s">
        <v>40</v>
      </c>
      <c r="N154" s="27" t="s">
        <v>40</v>
      </c>
      <c r="O154" s="27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ht="25.5" customHeight="1">
      <c r="A155" s="19">
        <v>147.0</v>
      </c>
      <c r="B155" s="19" t="s">
        <v>455</v>
      </c>
      <c r="C155" s="20" t="s">
        <v>460</v>
      </c>
      <c r="D155" s="21" t="s">
        <v>35</v>
      </c>
      <c r="E155" s="21" t="s">
        <v>461</v>
      </c>
      <c r="F155" s="22">
        <v>600000.0</v>
      </c>
      <c r="G155" s="23">
        <v>0.0</v>
      </c>
      <c r="H155" s="24">
        <v>1.5626375E7</v>
      </c>
      <c r="I155" s="24" t="str">
        <f>IFERROR(__xludf.DUMMYFUNCTION("REGEXEXTRACT(E155, ""ک\s(\d{16})"")"),"5057851033134344")</f>
        <v>5057851033134344</v>
      </c>
      <c r="J155" s="25" t="s">
        <v>37</v>
      </c>
      <c r="K155" s="20" t="s">
        <v>462</v>
      </c>
      <c r="L155" s="26" t="s">
        <v>39</v>
      </c>
      <c r="M155" s="26" t="s">
        <v>40</v>
      </c>
      <c r="N155" s="27" t="s">
        <v>40</v>
      </c>
      <c r="O155" s="27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ht="25.5" customHeight="1">
      <c r="A156" s="19">
        <v>148.0</v>
      </c>
      <c r="B156" s="19" t="s">
        <v>455</v>
      </c>
      <c r="C156" s="20" t="s">
        <v>463</v>
      </c>
      <c r="D156" s="21" t="s">
        <v>71</v>
      </c>
      <c r="E156" s="21" t="s">
        <v>464</v>
      </c>
      <c r="F156" s="22">
        <v>0.0</v>
      </c>
      <c r="G156" s="23">
        <v>1800.0</v>
      </c>
      <c r="H156" s="24">
        <v>1.5624575E7</v>
      </c>
      <c r="I156" s="24" t="str">
        <f>IFERROR(__xludf.DUMMYFUNCTION("REGEXEXTRACT(E156, ""ک\s(\d{16})"")"),"6219861085979838")</f>
        <v>6219861085979838</v>
      </c>
      <c r="J156" s="25" t="s">
        <v>37</v>
      </c>
      <c r="K156" s="20" t="s">
        <v>465</v>
      </c>
      <c r="L156" s="26" t="s">
        <v>39</v>
      </c>
      <c r="M156" s="26" t="s">
        <v>40</v>
      </c>
      <c r="N156" s="27" t="s">
        <v>40</v>
      </c>
      <c r="O156" s="27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ht="25.5" customHeight="1">
      <c r="A157" s="19">
        <v>149.0</v>
      </c>
      <c r="B157" s="19" t="s">
        <v>455</v>
      </c>
      <c r="C157" s="20" t="s">
        <v>466</v>
      </c>
      <c r="D157" s="21" t="s">
        <v>35</v>
      </c>
      <c r="E157" s="21" t="s">
        <v>467</v>
      </c>
      <c r="F157" s="22">
        <v>0.0</v>
      </c>
      <c r="G157" s="23">
        <v>1.56E7</v>
      </c>
      <c r="H157" s="24">
        <v>24575.0</v>
      </c>
      <c r="I157" s="24" t="str">
        <f>IFERROR(__xludf.DUMMYFUNCTION("REGEXEXTRACT(E157, ""ک\s(\d{16})"")"),"6037697600840968")</f>
        <v>6037697600840968</v>
      </c>
      <c r="J157" s="25" t="s">
        <v>37</v>
      </c>
      <c r="K157" s="20" t="s">
        <v>468</v>
      </c>
      <c r="L157" s="26" t="s">
        <v>39</v>
      </c>
      <c r="M157" s="26" t="s">
        <v>40</v>
      </c>
      <c r="N157" s="27" t="s">
        <v>40</v>
      </c>
      <c r="O157" s="27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ht="25.5" customHeight="1">
      <c r="A158" s="19">
        <v>150.0</v>
      </c>
      <c r="B158" s="19" t="s">
        <v>455</v>
      </c>
      <c r="C158" s="20" t="s">
        <v>466</v>
      </c>
      <c r="D158" s="21" t="s">
        <v>35</v>
      </c>
      <c r="E158" s="21" t="s">
        <v>469</v>
      </c>
      <c r="F158" s="22">
        <v>0.0</v>
      </c>
      <c r="G158" s="23">
        <v>12200.0</v>
      </c>
      <c r="H158" s="24">
        <v>12375.0</v>
      </c>
      <c r="I158" s="24" t="str">
        <f>IFERROR(__xludf.DUMMYFUNCTION("REGEXEXTRACT(E158, ""ک\s(\d{16})"")"),"6219861085979838")</f>
        <v>6219861085979838</v>
      </c>
      <c r="J158" s="25" t="s">
        <v>37</v>
      </c>
      <c r="K158" s="20" t="s">
        <v>468</v>
      </c>
      <c r="L158" s="26" t="s">
        <v>39</v>
      </c>
      <c r="M158" s="26" t="s">
        <v>40</v>
      </c>
      <c r="N158" s="27" t="s">
        <v>40</v>
      </c>
      <c r="O158" s="27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ht="25.5" customHeight="1">
      <c r="A159" s="19">
        <v>151.0</v>
      </c>
      <c r="B159" s="19" t="s">
        <v>455</v>
      </c>
      <c r="C159" s="20" t="s">
        <v>470</v>
      </c>
      <c r="D159" s="21" t="s">
        <v>35</v>
      </c>
      <c r="E159" s="21" t="s">
        <v>471</v>
      </c>
      <c r="F159" s="22">
        <v>450000.0</v>
      </c>
      <c r="G159" s="23">
        <v>0.0</v>
      </c>
      <c r="H159" s="24">
        <v>462375.0</v>
      </c>
      <c r="I159" s="24" t="str">
        <f>IFERROR(__xludf.DUMMYFUNCTION("REGEXEXTRACT(E159, ""ک\s(\d{16})"")"),"6037998207116723")</f>
        <v>6037998207116723</v>
      </c>
      <c r="J159" s="25" t="s">
        <v>37</v>
      </c>
      <c r="K159" s="20" t="s">
        <v>472</v>
      </c>
      <c r="L159" s="26" t="s">
        <v>39</v>
      </c>
      <c r="M159" s="26" t="s">
        <v>40</v>
      </c>
      <c r="N159" s="27" t="s">
        <v>40</v>
      </c>
      <c r="O159" s="27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ht="25.5" customHeight="1">
      <c r="A160" s="19">
        <v>152.0</v>
      </c>
      <c r="B160" s="19" t="s">
        <v>473</v>
      </c>
      <c r="C160" s="20" t="s">
        <v>474</v>
      </c>
      <c r="D160" s="21" t="s">
        <v>97</v>
      </c>
      <c r="E160" s="21" t="s">
        <v>475</v>
      </c>
      <c r="F160" s="22">
        <v>1.5E8</v>
      </c>
      <c r="G160" s="23">
        <v>0.0</v>
      </c>
      <c r="H160" s="24">
        <v>1.50462375E8</v>
      </c>
      <c r="I160" s="24" t="str">
        <f>IFERROR(__xludf.DUMMYFUNCTION("REGEXEXTRACT(E160, ""ک\s(\d{16})"")"),"#N/A")</f>
        <v>#N/A</v>
      </c>
      <c r="J160" s="25" t="s">
        <v>99</v>
      </c>
      <c r="K160" s="20" t="s">
        <v>476</v>
      </c>
      <c r="L160" s="26" t="s">
        <v>39</v>
      </c>
      <c r="M160" s="26" t="s">
        <v>40</v>
      </c>
      <c r="N160" s="27" t="s">
        <v>40</v>
      </c>
      <c r="O160" s="27" t="s">
        <v>477</v>
      </c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ht="25.5" customHeight="1">
      <c r="A161" s="19">
        <v>153.0</v>
      </c>
      <c r="B161" s="19" t="s">
        <v>473</v>
      </c>
      <c r="C161" s="20" t="s">
        <v>478</v>
      </c>
      <c r="D161" s="21" t="s">
        <v>35</v>
      </c>
      <c r="E161" s="21" t="s">
        <v>479</v>
      </c>
      <c r="F161" s="22">
        <v>0.0</v>
      </c>
      <c r="G161" s="23">
        <v>3.65E7</v>
      </c>
      <c r="H161" s="24">
        <v>1.13962375E8</v>
      </c>
      <c r="I161" s="24" t="str">
        <f>IFERROR(__xludf.DUMMYFUNCTION("REGEXEXTRACT(E161, ""ک\s(\d{16})"")"),"6274121208660688")</f>
        <v>6274121208660688</v>
      </c>
      <c r="J161" s="25" t="s">
        <v>37</v>
      </c>
      <c r="K161" s="20" t="s">
        <v>480</v>
      </c>
      <c r="L161" s="26" t="s">
        <v>39</v>
      </c>
      <c r="M161" s="26" t="s">
        <v>40</v>
      </c>
      <c r="N161" s="27" t="s">
        <v>40</v>
      </c>
      <c r="O161" s="27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ht="25.5" customHeight="1">
      <c r="A162" s="19">
        <v>154.0</v>
      </c>
      <c r="B162" s="19" t="s">
        <v>473</v>
      </c>
      <c r="C162" s="20" t="s">
        <v>478</v>
      </c>
      <c r="D162" s="21" t="s">
        <v>35</v>
      </c>
      <c r="E162" s="21" t="s">
        <v>481</v>
      </c>
      <c r="F162" s="22">
        <v>0.0</v>
      </c>
      <c r="G162" s="23">
        <v>18600.0</v>
      </c>
      <c r="H162" s="24">
        <v>1.13943775E8</v>
      </c>
      <c r="I162" s="24" t="str">
        <f>IFERROR(__xludf.DUMMYFUNCTION("REGEXEXTRACT(E162, ""ک\s(\d{16})"")"),"6219861085979838")</f>
        <v>6219861085979838</v>
      </c>
      <c r="J162" s="25" t="s">
        <v>37</v>
      </c>
      <c r="K162" s="20" t="s">
        <v>480</v>
      </c>
      <c r="L162" s="26" t="s">
        <v>39</v>
      </c>
      <c r="M162" s="26" t="s">
        <v>40</v>
      </c>
      <c r="N162" s="27" t="s">
        <v>40</v>
      </c>
      <c r="O162" s="27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ht="25.5" customHeight="1">
      <c r="A163" s="19">
        <v>155.0</v>
      </c>
      <c r="B163" s="19" t="s">
        <v>473</v>
      </c>
      <c r="C163" s="20" t="s">
        <v>482</v>
      </c>
      <c r="D163" s="21" t="s">
        <v>35</v>
      </c>
      <c r="E163" s="21" t="s">
        <v>483</v>
      </c>
      <c r="F163" s="22">
        <v>0.0</v>
      </c>
      <c r="G163" s="23">
        <v>4.01598E7</v>
      </c>
      <c r="H163" s="24">
        <v>7.3783975E7</v>
      </c>
      <c r="I163" s="24" t="str">
        <f>IFERROR(__xludf.DUMMYFUNCTION("REGEXEXTRACT(E163, ""ک\s(\d{16})"")"),"6104338738476148")</f>
        <v>6104338738476148</v>
      </c>
      <c r="J163" s="25" t="s">
        <v>37</v>
      </c>
      <c r="K163" s="20" t="s">
        <v>484</v>
      </c>
      <c r="L163" s="26" t="s">
        <v>39</v>
      </c>
      <c r="M163" s="26" t="s">
        <v>40</v>
      </c>
      <c r="N163" s="27" t="s">
        <v>40</v>
      </c>
      <c r="O163" s="27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ht="25.5" customHeight="1">
      <c r="A164" s="19">
        <v>156.0</v>
      </c>
      <c r="B164" s="19" t="s">
        <v>473</v>
      </c>
      <c r="C164" s="20" t="s">
        <v>482</v>
      </c>
      <c r="D164" s="21" t="s">
        <v>35</v>
      </c>
      <c r="E164" s="21" t="s">
        <v>485</v>
      </c>
      <c r="F164" s="22">
        <v>0.0</v>
      </c>
      <c r="G164" s="23">
        <v>21800.0</v>
      </c>
      <c r="H164" s="24">
        <v>7.3762175E7</v>
      </c>
      <c r="I164" s="24" t="str">
        <f>IFERROR(__xludf.DUMMYFUNCTION("REGEXEXTRACT(E164, ""ک\s(\d{16})"")"),"6219861085979838")</f>
        <v>6219861085979838</v>
      </c>
      <c r="J164" s="25" t="s">
        <v>37</v>
      </c>
      <c r="K164" s="20" t="s">
        <v>484</v>
      </c>
      <c r="L164" s="26" t="s">
        <v>39</v>
      </c>
      <c r="M164" s="26" t="s">
        <v>40</v>
      </c>
      <c r="N164" s="27" t="s">
        <v>40</v>
      </c>
      <c r="O164" s="27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ht="25.5" customHeight="1">
      <c r="A165" s="19">
        <v>157.0</v>
      </c>
      <c r="B165" s="19" t="s">
        <v>473</v>
      </c>
      <c r="C165" s="20" t="s">
        <v>486</v>
      </c>
      <c r="D165" s="21" t="s">
        <v>35</v>
      </c>
      <c r="E165" s="21" t="s">
        <v>487</v>
      </c>
      <c r="F165" s="22">
        <v>0.0</v>
      </c>
      <c r="G165" s="23">
        <v>1.445E7</v>
      </c>
      <c r="H165" s="24">
        <v>5.9312175E7</v>
      </c>
      <c r="I165" s="24" t="str">
        <f>IFERROR(__xludf.DUMMYFUNCTION("REGEXEXTRACT(E165, ""ک\s(\d{16})"")"),"5894631178646402")</f>
        <v>5894631178646402</v>
      </c>
      <c r="J165" s="25" t="s">
        <v>37</v>
      </c>
      <c r="K165" s="20" t="s">
        <v>488</v>
      </c>
      <c r="L165" s="26" t="s">
        <v>39</v>
      </c>
      <c r="M165" s="26" t="s">
        <v>40</v>
      </c>
      <c r="N165" s="27" t="s">
        <v>40</v>
      </c>
      <c r="O165" s="27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ht="25.5" customHeight="1">
      <c r="A166" s="19">
        <v>158.0</v>
      </c>
      <c r="B166" s="19" t="s">
        <v>473</v>
      </c>
      <c r="C166" s="20" t="s">
        <v>486</v>
      </c>
      <c r="D166" s="21" t="s">
        <v>35</v>
      </c>
      <c r="E166" s="21" t="s">
        <v>489</v>
      </c>
      <c r="F166" s="22">
        <v>0.0</v>
      </c>
      <c r="G166" s="23">
        <v>12200.0</v>
      </c>
      <c r="H166" s="24">
        <v>5.9299975E7</v>
      </c>
      <c r="I166" s="24" t="str">
        <f>IFERROR(__xludf.DUMMYFUNCTION("REGEXEXTRACT(E166, ""ک\s(\d{16})"")"),"6219861085979838")</f>
        <v>6219861085979838</v>
      </c>
      <c r="J166" s="25" t="s">
        <v>37</v>
      </c>
      <c r="K166" s="20" t="s">
        <v>488</v>
      </c>
      <c r="L166" s="26" t="s">
        <v>39</v>
      </c>
      <c r="M166" s="26" t="s">
        <v>40</v>
      </c>
      <c r="N166" s="27" t="s">
        <v>40</v>
      </c>
      <c r="O166" s="27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ht="25.5" customHeight="1">
      <c r="A167" s="19">
        <v>159.0</v>
      </c>
      <c r="B167" s="19" t="s">
        <v>473</v>
      </c>
      <c r="C167" s="20" t="s">
        <v>490</v>
      </c>
      <c r="D167" s="21" t="s">
        <v>35</v>
      </c>
      <c r="E167" s="21" t="s">
        <v>491</v>
      </c>
      <c r="F167" s="22">
        <v>800000.0</v>
      </c>
      <c r="G167" s="23">
        <v>0.0</v>
      </c>
      <c r="H167" s="24">
        <v>6.0099975E7</v>
      </c>
      <c r="I167" s="24" t="str">
        <f>IFERROR(__xludf.DUMMYFUNCTION("REGEXEXTRACT(E167, ""ک\s(\d{16})"")"),"6104338767073667")</f>
        <v>6104338767073667</v>
      </c>
      <c r="J167" s="25" t="s">
        <v>37</v>
      </c>
      <c r="K167" s="20" t="s">
        <v>492</v>
      </c>
      <c r="L167" s="26" t="s">
        <v>39</v>
      </c>
      <c r="M167" s="26" t="s">
        <v>40</v>
      </c>
      <c r="N167" s="27" t="s">
        <v>40</v>
      </c>
      <c r="O167" s="27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ht="25.5" customHeight="1">
      <c r="A168" s="19">
        <v>160.0</v>
      </c>
      <c r="B168" s="19" t="s">
        <v>473</v>
      </c>
      <c r="C168" s="20" t="s">
        <v>493</v>
      </c>
      <c r="D168" s="21" t="s">
        <v>109</v>
      </c>
      <c r="E168" s="21" t="s">
        <v>494</v>
      </c>
      <c r="F168" s="22">
        <v>1550000.0</v>
      </c>
      <c r="G168" s="23">
        <v>0.0</v>
      </c>
      <c r="H168" s="24">
        <v>6.1649975E7</v>
      </c>
      <c r="I168" s="24" t="str">
        <f>IFERROR(__xludf.DUMMYFUNCTION("REGEXEXTRACT(E168, ""ک\s(\d{16})"")"),"#N/A")</f>
        <v>#N/A</v>
      </c>
      <c r="J168" s="25" t="s">
        <v>111</v>
      </c>
      <c r="K168" s="20" t="s">
        <v>495</v>
      </c>
      <c r="L168" s="26" t="s">
        <v>39</v>
      </c>
      <c r="M168" s="26" t="s">
        <v>40</v>
      </c>
      <c r="N168" s="27" t="s">
        <v>40</v>
      </c>
      <c r="O168" s="27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ht="25.5" customHeight="1">
      <c r="A169" s="19">
        <v>161.0</v>
      </c>
      <c r="B169" s="19" t="s">
        <v>473</v>
      </c>
      <c r="C169" s="20" t="s">
        <v>496</v>
      </c>
      <c r="D169" s="21" t="s">
        <v>71</v>
      </c>
      <c r="E169" s="21" t="s">
        <v>497</v>
      </c>
      <c r="F169" s="22">
        <v>0.0</v>
      </c>
      <c r="G169" s="23">
        <v>1800.0</v>
      </c>
      <c r="H169" s="24">
        <v>6.1648175E7</v>
      </c>
      <c r="I169" s="24" t="str">
        <f>IFERROR(__xludf.DUMMYFUNCTION("REGEXEXTRACT(E169, ""ک\s(\d{16})"")"),"6219861085979838")</f>
        <v>6219861085979838</v>
      </c>
      <c r="J169" s="25" t="s">
        <v>37</v>
      </c>
      <c r="K169" s="20" t="s">
        <v>498</v>
      </c>
      <c r="L169" s="26" t="s">
        <v>39</v>
      </c>
      <c r="M169" s="26" t="s">
        <v>40</v>
      </c>
      <c r="N169" s="27" t="s">
        <v>40</v>
      </c>
      <c r="O169" s="27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ht="25.5" customHeight="1">
      <c r="A170" s="19">
        <v>162.0</v>
      </c>
      <c r="B170" s="19" t="s">
        <v>473</v>
      </c>
      <c r="C170" s="20" t="s">
        <v>499</v>
      </c>
      <c r="D170" s="21" t="s">
        <v>35</v>
      </c>
      <c r="E170" s="21" t="s">
        <v>500</v>
      </c>
      <c r="F170" s="22">
        <v>0.0</v>
      </c>
      <c r="G170" s="23">
        <v>2000000.0</v>
      </c>
      <c r="H170" s="24">
        <v>5.9648175E7</v>
      </c>
      <c r="I170" s="24" t="str">
        <f>IFERROR(__xludf.DUMMYFUNCTION("REGEXEXTRACT(E170, ""ک\s(\d{16})"")"),"6219861076095867")</f>
        <v>6219861076095867</v>
      </c>
      <c r="J170" s="25" t="s">
        <v>37</v>
      </c>
      <c r="K170" s="20" t="s">
        <v>501</v>
      </c>
      <c r="L170" s="26" t="s">
        <v>39</v>
      </c>
      <c r="M170" s="26" t="s">
        <v>40</v>
      </c>
      <c r="N170" s="27" t="s">
        <v>40</v>
      </c>
      <c r="O170" s="27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ht="25.5" customHeight="1">
      <c r="A171" s="19">
        <v>163.0</v>
      </c>
      <c r="B171" s="19" t="s">
        <v>473</v>
      </c>
      <c r="C171" s="20" t="s">
        <v>499</v>
      </c>
      <c r="D171" s="21" t="s">
        <v>35</v>
      </c>
      <c r="E171" s="21" t="s">
        <v>502</v>
      </c>
      <c r="F171" s="22">
        <v>0.0</v>
      </c>
      <c r="G171" s="23">
        <v>9000.0</v>
      </c>
      <c r="H171" s="24">
        <v>5.9639175E7</v>
      </c>
      <c r="I171" s="24" t="str">
        <f>IFERROR(__xludf.DUMMYFUNCTION("REGEXEXTRACT(E171, ""ک\s(\d{16})"")"),"6219861085979838")</f>
        <v>6219861085979838</v>
      </c>
      <c r="J171" s="25" t="s">
        <v>37</v>
      </c>
      <c r="K171" s="20" t="s">
        <v>501</v>
      </c>
      <c r="L171" s="26" t="s">
        <v>39</v>
      </c>
      <c r="M171" s="26" t="s">
        <v>40</v>
      </c>
      <c r="N171" s="27" t="s">
        <v>40</v>
      </c>
      <c r="O171" s="27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ht="25.5" customHeight="1">
      <c r="A172" s="19">
        <v>164.0</v>
      </c>
      <c r="B172" s="19" t="s">
        <v>503</v>
      </c>
      <c r="C172" s="20" t="s">
        <v>504</v>
      </c>
      <c r="D172" s="21" t="s">
        <v>97</v>
      </c>
      <c r="E172" s="21" t="s">
        <v>505</v>
      </c>
      <c r="F172" s="22">
        <v>1.35E8</v>
      </c>
      <c r="G172" s="23">
        <v>0.0</v>
      </c>
      <c r="H172" s="24">
        <v>1.94639175E8</v>
      </c>
      <c r="I172" s="24" t="str">
        <f>IFERROR(__xludf.DUMMYFUNCTION("REGEXEXTRACT(E172, ""ک\s(\d{16})"")"),"#N/A")</f>
        <v>#N/A</v>
      </c>
      <c r="J172" s="25" t="s">
        <v>99</v>
      </c>
      <c r="K172" s="20" t="s">
        <v>506</v>
      </c>
      <c r="L172" s="26" t="s">
        <v>39</v>
      </c>
      <c r="M172" s="26" t="s">
        <v>40</v>
      </c>
      <c r="N172" s="27" t="s">
        <v>40</v>
      </c>
      <c r="O172" s="27" t="s">
        <v>507</v>
      </c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ht="25.5" customHeight="1">
      <c r="A173" s="19">
        <v>165.0</v>
      </c>
      <c r="B173" s="19" t="s">
        <v>503</v>
      </c>
      <c r="C173" s="20" t="s">
        <v>508</v>
      </c>
      <c r="D173" s="21" t="s">
        <v>35</v>
      </c>
      <c r="E173" s="21" t="s">
        <v>509</v>
      </c>
      <c r="F173" s="22">
        <v>0.0</v>
      </c>
      <c r="G173" s="23">
        <v>1.56E7</v>
      </c>
      <c r="H173" s="24">
        <v>1.79039175E8</v>
      </c>
      <c r="I173" s="24" t="str">
        <f>IFERROR(__xludf.DUMMYFUNCTION("REGEXEXTRACT(E173, ""ک\s(\d{16})"")"),"6037697600840968")</f>
        <v>6037697600840968</v>
      </c>
      <c r="J173" s="25" t="s">
        <v>37</v>
      </c>
      <c r="K173" s="20" t="s">
        <v>510</v>
      </c>
      <c r="L173" s="26" t="s">
        <v>39</v>
      </c>
      <c r="M173" s="26" t="s">
        <v>40</v>
      </c>
      <c r="N173" s="27" t="s">
        <v>40</v>
      </c>
      <c r="O173" s="27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ht="25.5" customHeight="1">
      <c r="A174" s="19">
        <v>166.0</v>
      </c>
      <c r="B174" s="19" t="s">
        <v>503</v>
      </c>
      <c r="C174" s="20" t="s">
        <v>508</v>
      </c>
      <c r="D174" s="21" t="s">
        <v>35</v>
      </c>
      <c r="E174" s="21" t="s">
        <v>511</v>
      </c>
      <c r="F174" s="22">
        <v>0.0</v>
      </c>
      <c r="G174" s="23">
        <v>12200.0</v>
      </c>
      <c r="H174" s="24">
        <v>1.79026975E8</v>
      </c>
      <c r="I174" s="24" t="str">
        <f>IFERROR(__xludf.DUMMYFUNCTION("REGEXEXTRACT(E174, ""ک\s(\d{16})"")"),"6219861085979838")</f>
        <v>6219861085979838</v>
      </c>
      <c r="J174" s="25" t="s">
        <v>37</v>
      </c>
      <c r="K174" s="20" t="s">
        <v>510</v>
      </c>
      <c r="L174" s="26" t="s">
        <v>39</v>
      </c>
      <c r="M174" s="26" t="s">
        <v>40</v>
      </c>
      <c r="N174" s="27" t="s">
        <v>40</v>
      </c>
      <c r="O174" s="27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ht="25.5" customHeight="1">
      <c r="A175" s="19">
        <v>167.0</v>
      </c>
      <c r="B175" s="19" t="s">
        <v>503</v>
      </c>
      <c r="C175" s="20" t="s">
        <v>512</v>
      </c>
      <c r="D175" s="21" t="s">
        <v>35</v>
      </c>
      <c r="E175" s="21" t="s">
        <v>513</v>
      </c>
      <c r="F175" s="22">
        <v>0.0</v>
      </c>
      <c r="G175" s="23">
        <v>6.239E7</v>
      </c>
      <c r="H175" s="24">
        <v>1.16636975E8</v>
      </c>
      <c r="I175" s="24" t="str">
        <f>IFERROR(__xludf.DUMMYFUNCTION("REGEXEXTRACT(E175, ""ک\s(\d{16})"")"),"6274121208660688")</f>
        <v>6274121208660688</v>
      </c>
      <c r="J175" s="25" t="s">
        <v>37</v>
      </c>
      <c r="K175" s="20" t="s">
        <v>514</v>
      </c>
      <c r="L175" s="26" t="s">
        <v>39</v>
      </c>
      <c r="M175" s="26" t="s">
        <v>40</v>
      </c>
      <c r="N175" s="27" t="s">
        <v>40</v>
      </c>
      <c r="O175" s="27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ht="25.5" customHeight="1">
      <c r="A176" s="19">
        <v>168.0</v>
      </c>
      <c r="B176" s="19" t="s">
        <v>503</v>
      </c>
      <c r="C176" s="20" t="s">
        <v>512</v>
      </c>
      <c r="D176" s="21" t="s">
        <v>35</v>
      </c>
      <c r="E176" s="21" t="s">
        <v>515</v>
      </c>
      <c r="F176" s="22">
        <v>0.0</v>
      </c>
      <c r="G176" s="23">
        <v>28200.0</v>
      </c>
      <c r="H176" s="24">
        <v>1.16608775E8</v>
      </c>
      <c r="I176" s="24" t="str">
        <f>IFERROR(__xludf.DUMMYFUNCTION("REGEXEXTRACT(E176, ""ک\s(\d{16})"")"),"6219861085979838")</f>
        <v>6219861085979838</v>
      </c>
      <c r="J176" s="25" t="s">
        <v>37</v>
      </c>
      <c r="K176" s="20" t="s">
        <v>514</v>
      </c>
      <c r="L176" s="26" t="s">
        <v>39</v>
      </c>
      <c r="M176" s="26" t="s">
        <v>40</v>
      </c>
      <c r="N176" s="27" t="s">
        <v>40</v>
      </c>
      <c r="O176" s="27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ht="25.5" customHeight="1">
      <c r="A177" s="19">
        <v>169.0</v>
      </c>
      <c r="B177" s="19" t="s">
        <v>503</v>
      </c>
      <c r="C177" s="20" t="s">
        <v>516</v>
      </c>
      <c r="D177" s="21" t="s">
        <v>35</v>
      </c>
      <c r="E177" s="21" t="s">
        <v>517</v>
      </c>
      <c r="F177" s="22">
        <v>550000.0</v>
      </c>
      <c r="G177" s="23">
        <v>0.0</v>
      </c>
      <c r="H177" s="24">
        <v>1.17158775E8</v>
      </c>
      <c r="I177" s="24" t="str">
        <f>IFERROR(__xludf.DUMMYFUNCTION("REGEXEXTRACT(E177, ""ک\s(\d{16})"")"),"6037697648955661")</f>
        <v>6037697648955661</v>
      </c>
      <c r="J177" s="25" t="s">
        <v>37</v>
      </c>
      <c r="K177" s="20" t="s">
        <v>518</v>
      </c>
      <c r="L177" s="26" t="s">
        <v>39</v>
      </c>
      <c r="M177" s="26" t="s">
        <v>40</v>
      </c>
      <c r="N177" s="27" t="s">
        <v>40</v>
      </c>
      <c r="O177" s="27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ht="25.5" customHeight="1">
      <c r="A178" s="19">
        <v>170.0</v>
      </c>
      <c r="B178" s="19" t="s">
        <v>503</v>
      </c>
      <c r="C178" s="20" t="s">
        <v>519</v>
      </c>
      <c r="D178" s="21" t="s">
        <v>35</v>
      </c>
      <c r="E178" s="21" t="s">
        <v>520</v>
      </c>
      <c r="F178" s="22">
        <v>1050000.0</v>
      </c>
      <c r="G178" s="23">
        <v>0.0</v>
      </c>
      <c r="H178" s="24">
        <v>1.18208775E8</v>
      </c>
      <c r="I178" s="24" t="str">
        <f>IFERROR(__xludf.DUMMYFUNCTION("REGEXEXTRACT(E178, ""ک\s(\d{16})"")"),"6037998156963273")</f>
        <v>6037998156963273</v>
      </c>
      <c r="J178" s="25" t="s">
        <v>37</v>
      </c>
      <c r="K178" s="20" t="s">
        <v>521</v>
      </c>
      <c r="L178" s="26" t="s">
        <v>39</v>
      </c>
      <c r="M178" s="26" t="s">
        <v>40</v>
      </c>
      <c r="N178" s="27" t="s">
        <v>40</v>
      </c>
      <c r="O178" s="2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ht="25.5" customHeight="1">
      <c r="A179" s="19">
        <v>171.0</v>
      </c>
      <c r="B179" s="19" t="s">
        <v>503</v>
      </c>
      <c r="C179" s="20" t="s">
        <v>522</v>
      </c>
      <c r="D179" s="21" t="s">
        <v>35</v>
      </c>
      <c r="E179" s="21" t="s">
        <v>523</v>
      </c>
      <c r="F179" s="22">
        <v>100000.0</v>
      </c>
      <c r="G179" s="23">
        <v>0.0</v>
      </c>
      <c r="H179" s="24">
        <v>1.18308775E8</v>
      </c>
      <c r="I179" s="24" t="str">
        <f>IFERROR(__xludf.DUMMYFUNCTION("REGEXEXTRACT(E179, ""ک\s(\d{16})"")"),"6037998262889479")</f>
        <v>6037998262889479</v>
      </c>
      <c r="J179" s="25" t="s">
        <v>37</v>
      </c>
      <c r="K179" s="20" t="s">
        <v>524</v>
      </c>
      <c r="L179" s="26" t="s">
        <v>39</v>
      </c>
      <c r="M179" s="26" t="s">
        <v>40</v>
      </c>
      <c r="N179" s="27" t="s">
        <v>40</v>
      </c>
      <c r="O179" s="27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ht="25.5" customHeight="1">
      <c r="A180" s="19">
        <v>172.0</v>
      </c>
      <c r="B180" s="19" t="s">
        <v>525</v>
      </c>
      <c r="C180" s="20" t="s">
        <v>526</v>
      </c>
      <c r="D180" s="21" t="s">
        <v>97</v>
      </c>
      <c r="E180" s="21" t="s">
        <v>527</v>
      </c>
      <c r="F180" s="22">
        <v>1.57E8</v>
      </c>
      <c r="G180" s="23">
        <v>0.0</v>
      </c>
      <c r="H180" s="24">
        <v>2.75308775E8</v>
      </c>
      <c r="I180" s="24" t="str">
        <f>IFERROR(__xludf.DUMMYFUNCTION("REGEXEXTRACT(E180, ""ک\s(\d{16})"")"),"#N/A")</f>
        <v>#N/A</v>
      </c>
      <c r="J180" s="25" t="s">
        <v>99</v>
      </c>
      <c r="K180" s="20" t="s">
        <v>528</v>
      </c>
      <c r="L180" s="26" t="s">
        <v>39</v>
      </c>
      <c r="M180" s="26" t="s">
        <v>40</v>
      </c>
      <c r="N180" s="27" t="s">
        <v>40</v>
      </c>
      <c r="O180" s="27" t="s">
        <v>529</v>
      </c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ht="25.5" customHeight="1">
      <c r="A181" s="19">
        <v>173.0</v>
      </c>
      <c r="B181" s="19" t="s">
        <v>525</v>
      </c>
      <c r="C181" s="20" t="s">
        <v>530</v>
      </c>
      <c r="D181" s="21" t="s">
        <v>97</v>
      </c>
      <c r="E181" s="21" t="s">
        <v>531</v>
      </c>
      <c r="F181" s="22">
        <v>0.0</v>
      </c>
      <c r="G181" s="23">
        <v>1.3E8</v>
      </c>
      <c r="H181" s="24">
        <v>1.45308775E8</v>
      </c>
      <c r="I181" s="24" t="str">
        <f>IFERROR(__xludf.DUMMYFUNCTION("REGEXEXTRACT(E181, ""ک\s(\d{16})"")"),"#N/A")</f>
        <v>#N/A</v>
      </c>
      <c r="J181" s="25" t="s">
        <v>99</v>
      </c>
      <c r="K181" s="20" t="s">
        <v>532</v>
      </c>
      <c r="L181" s="26" t="s">
        <v>39</v>
      </c>
      <c r="M181" s="26" t="s">
        <v>40</v>
      </c>
      <c r="N181" s="27" t="s">
        <v>40</v>
      </c>
      <c r="O181" s="27" t="s">
        <v>533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ht="25.5" customHeight="1">
      <c r="A182" s="19">
        <v>174.0</v>
      </c>
      <c r="B182" s="19" t="s">
        <v>525</v>
      </c>
      <c r="C182" s="20" t="s">
        <v>534</v>
      </c>
      <c r="D182" s="21" t="s">
        <v>35</v>
      </c>
      <c r="E182" s="21" t="s">
        <v>535</v>
      </c>
      <c r="F182" s="22">
        <v>0.0</v>
      </c>
      <c r="G182" s="23">
        <v>1.56E7</v>
      </c>
      <c r="H182" s="24">
        <v>1.29708775E8</v>
      </c>
      <c r="I182" s="24" t="str">
        <f>IFERROR(__xludf.DUMMYFUNCTION("REGEXEXTRACT(E182, ""ک\s(\d{16})"")"),"6037697600840968")</f>
        <v>6037697600840968</v>
      </c>
      <c r="J182" s="25" t="s">
        <v>37</v>
      </c>
      <c r="K182" s="20" t="s">
        <v>536</v>
      </c>
      <c r="L182" s="26" t="s">
        <v>39</v>
      </c>
      <c r="M182" s="26" t="s">
        <v>40</v>
      </c>
      <c r="N182" s="27" t="s">
        <v>40</v>
      </c>
      <c r="O182" s="27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ht="25.5" customHeight="1">
      <c r="A183" s="19">
        <v>175.0</v>
      </c>
      <c r="B183" s="19" t="s">
        <v>525</v>
      </c>
      <c r="C183" s="20" t="s">
        <v>534</v>
      </c>
      <c r="D183" s="21" t="s">
        <v>35</v>
      </c>
      <c r="E183" s="21" t="s">
        <v>537</v>
      </c>
      <c r="F183" s="22">
        <v>0.0</v>
      </c>
      <c r="G183" s="23">
        <v>12200.0</v>
      </c>
      <c r="H183" s="24">
        <v>1.29696575E8</v>
      </c>
      <c r="I183" s="24" t="str">
        <f>IFERROR(__xludf.DUMMYFUNCTION("REGEXEXTRACT(E183, ""ک\s(\d{16})"")"),"6219861085979838")</f>
        <v>6219861085979838</v>
      </c>
      <c r="J183" s="25" t="s">
        <v>37</v>
      </c>
      <c r="K183" s="20" t="s">
        <v>536</v>
      </c>
      <c r="L183" s="26" t="s">
        <v>39</v>
      </c>
      <c r="M183" s="26" t="s">
        <v>40</v>
      </c>
      <c r="N183" s="27" t="s">
        <v>40</v>
      </c>
      <c r="O183" s="27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ht="25.5" customHeight="1">
      <c r="A184" s="19">
        <v>176.0</v>
      </c>
      <c r="B184" s="19" t="s">
        <v>525</v>
      </c>
      <c r="C184" s="20" t="s">
        <v>538</v>
      </c>
      <c r="D184" s="21" t="s">
        <v>35</v>
      </c>
      <c r="E184" s="21" t="s">
        <v>539</v>
      </c>
      <c r="F184" s="22">
        <v>0.0</v>
      </c>
      <c r="G184" s="23">
        <v>2.035E7</v>
      </c>
      <c r="H184" s="24">
        <v>1.09346575E8</v>
      </c>
      <c r="I184" s="24" t="str">
        <f>IFERROR(__xludf.DUMMYFUNCTION("REGEXEXTRACT(E184, ""ک\s(\d{16})"")"),"6104338738476148")</f>
        <v>6104338738476148</v>
      </c>
      <c r="J184" s="25" t="s">
        <v>37</v>
      </c>
      <c r="K184" s="20" t="s">
        <v>540</v>
      </c>
      <c r="L184" s="26" t="s">
        <v>39</v>
      </c>
      <c r="M184" s="26" t="s">
        <v>40</v>
      </c>
      <c r="N184" s="27" t="s">
        <v>40</v>
      </c>
      <c r="O184" s="27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ht="25.5" customHeight="1">
      <c r="A185" s="19">
        <v>177.0</v>
      </c>
      <c r="B185" s="19" t="s">
        <v>525</v>
      </c>
      <c r="C185" s="20" t="s">
        <v>538</v>
      </c>
      <c r="D185" s="21" t="s">
        <v>35</v>
      </c>
      <c r="E185" s="21" t="s">
        <v>541</v>
      </c>
      <c r="F185" s="22">
        <v>0.0</v>
      </c>
      <c r="G185" s="23">
        <v>15400.0</v>
      </c>
      <c r="H185" s="24">
        <v>1.09331175E8</v>
      </c>
      <c r="I185" s="24" t="str">
        <f>IFERROR(__xludf.DUMMYFUNCTION("REGEXEXTRACT(E185, ""ک\s(\d{16})"")"),"6219861085979838")</f>
        <v>6219861085979838</v>
      </c>
      <c r="J185" s="25" t="s">
        <v>37</v>
      </c>
      <c r="K185" s="20" t="s">
        <v>540</v>
      </c>
      <c r="L185" s="26" t="s">
        <v>39</v>
      </c>
      <c r="M185" s="26" t="s">
        <v>40</v>
      </c>
      <c r="N185" s="27" t="s">
        <v>40</v>
      </c>
      <c r="O185" s="27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ht="25.5" customHeight="1">
      <c r="A186" s="19">
        <v>178.0</v>
      </c>
      <c r="B186" s="19" t="s">
        <v>525</v>
      </c>
      <c r="C186" s="20" t="s">
        <v>542</v>
      </c>
      <c r="D186" s="21" t="s">
        <v>35</v>
      </c>
      <c r="E186" s="21" t="s">
        <v>543</v>
      </c>
      <c r="F186" s="22">
        <v>0.0</v>
      </c>
      <c r="G186" s="23">
        <v>3.22E7</v>
      </c>
      <c r="H186" s="24">
        <v>7.7131175E7</v>
      </c>
      <c r="I186" s="24" t="str">
        <f>IFERROR(__xludf.DUMMYFUNCTION("REGEXEXTRACT(E186, ""ک\s(\d{16})"")"),"6274121208660688")</f>
        <v>6274121208660688</v>
      </c>
      <c r="J186" s="25" t="s">
        <v>37</v>
      </c>
      <c r="K186" s="20" t="s">
        <v>544</v>
      </c>
      <c r="L186" s="26" t="s">
        <v>39</v>
      </c>
      <c r="M186" s="26" t="s">
        <v>40</v>
      </c>
      <c r="N186" s="27" t="s">
        <v>40</v>
      </c>
      <c r="O186" s="27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ht="25.5" customHeight="1">
      <c r="A187" s="19">
        <v>179.0</v>
      </c>
      <c r="B187" s="19" t="s">
        <v>525</v>
      </c>
      <c r="C187" s="20" t="s">
        <v>542</v>
      </c>
      <c r="D187" s="21" t="s">
        <v>35</v>
      </c>
      <c r="E187" s="21" t="s">
        <v>545</v>
      </c>
      <c r="F187" s="22">
        <v>0.0</v>
      </c>
      <c r="G187" s="23">
        <v>18600.0</v>
      </c>
      <c r="H187" s="24">
        <v>7.7112575E7</v>
      </c>
      <c r="I187" s="24" t="str">
        <f>IFERROR(__xludf.DUMMYFUNCTION("REGEXEXTRACT(E187, ""ک\s(\d{16})"")"),"6219861085979838")</f>
        <v>6219861085979838</v>
      </c>
      <c r="J187" s="25" t="s">
        <v>37</v>
      </c>
      <c r="K187" s="20" t="s">
        <v>544</v>
      </c>
      <c r="L187" s="26" t="s">
        <v>39</v>
      </c>
      <c r="M187" s="26" t="s">
        <v>40</v>
      </c>
      <c r="N187" s="27" t="s">
        <v>40</v>
      </c>
      <c r="O187" s="27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ht="25.5" customHeight="1">
      <c r="A188" s="19">
        <v>180.0</v>
      </c>
      <c r="B188" s="19" t="s">
        <v>525</v>
      </c>
      <c r="C188" s="20" t="s">
        <v>546</v>
      </c>
      <c r="D188" s="21" t="s">
        <v>35</v>
      </c>
      <c r="E188" s="21" t="s">
        <v>547</v>
      </c>
      <c r="F188" s="22">
        <v>0.0</v>
      </c>
      <c r="G188" s="23">
        <v>1.333E7</v>
      </c>
      <c r="H188" s="24">
        <v>6.3782575E7</v>
      </c>
      <c r="I188" s="24" t="str">
        <f>IFERROR(__xludf.DUMMYFUNCTION("REGEXEXTRACT(E188, ""ک\s(\d{16})"")"),"5894631178646402")</f>
        <v>5894631178646402</v>
      </c>
      <c r="J188" s="25" t="s">
        <v>37</v>
      </c>
      <c r="K188" s="20" t="s">
        <v>548</v>
      </c>
      <c r="L188" s="26" t="s">
        <v>39</v>
      </c>
      <c r="M188" s="26" t="s">
        <v>40</v>
      </c>
      <c r="N188" s="27" t="s">
        <v>40</v>
      </c>
      <c r="O188" s="27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ht="25.5" customHeight="1">
      <c r="A189" s="19">
        <v>181.0</v>
      </c>
      <c r="B189" s="19" t="s">
        <v>525</v>
      </c>
      <c r="C189" s="20" t="s">
        <v>546</v>
      </c>
      <c r="D189" s="21" t="s">
        <v>35</v>
      </c>
      <c r="E189" s="21" t="s">
        <v>549</v>
      </c>
      <c r="F189" s="22">
        <v>0.0</v>
      </c>
      <c r="G189" s="23">
        <v>12200.0</v>
      </c>
      <c r="H189" s="24">
        <v>6.3770375E7</v>
      </c>
      <c r="I189" s="24" t="str">
        <f>IFERROR(__xludf.DUMMYFUNCTION("REGEXEXTRACT(E189, ""ک\s(\d{16})"")"),"6219861085979838")</f>
        <v>6219861085979838</v>
      </c>
      <c r="J189" s="25" t="s">
        <v>37</v>
      </c>
      <c r="K189" s="20" t="s">
        <v>548</v>
      </c>
      <c r="L189" s="26" t="s">
        <v>39</v>
      </c>
      <c r="M189" s="26" t="s">
        <v>40</v>
      </c>
      <c r="N189" s="27" t="s">
        <v>40</v>
      </c>
      <c r="O189" s="27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ht="25.5" customHeight="1">
      <c r="A190" s="19">
        <v>182.0</v>
      </c>
      <c r="B190" s="19" t="s">
        <v>525</v>
      </c>
      <c r="C190" s="20" t="s">
        <v>550</v>
      </c>
      <c r="D190" s="21" t="s">
        <v>35</v>
      </c>
      <c r="E190" s="21" t="s">
        <v>551</v>
      </c>
      <c r="F190" s="22">
        <v>0.0</v>
      </c>
      <c r="G190" s="23">
        <v>7000000.0</v>
      </c>
      <c r="H190" s="24">
        <v>5.6770375E7</v>
      </c>
      <c r="I190" s="24" t="str">
        <f>IFERROR(__xludf.DUMMYFUNCTION("REGEXEXTRACT(E190, ""ک\s(\d{16})"")"),"5859831103338371")</f>
        <v>5859831103338371</v>
      </c>
      <c r="J190" s="25" t="s">
        <v>37</v>
      </c>
      <c r="K190" s="20" t="s">
        <v>552</v>
      </c>
      <c r="L190" s="26" t="s">
        <v>39</v>
      </c>
      <c r="M190" s="26" t="s">
        <v>40</v>
      </c>
      <c r="N190" s="27" t="s">
        <v>40</v>
      </c>
      <c r="O190" s="27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ht="25.5" customHeight="1">
      <c r="A191" s="19">
        <v>183.0</v>
      </c>
      <c r="B191" s="19" t="s">
        <v>525</v>
      </c>
      <c r="C191" s="20" t="s">
        <v>550</v>
      </c>
      <c r="D191" s="21" t="s">
        <v>35</v>
      </c>
      <c r="E191" s="21" t="s">
        <v>553</v>
      </c>
      <c r="F191" s="22">
        <v>0.0</v>
      </c>
      <c r="G191" s="23">
        <v>9000.0</v>
      </c>
      <c r="H191" s="24">
        <v>5.6761375E7</v>
      </c>
      <c r="I191" s="24" t="str">
        <f>IFERROR(__xludf.DUMMYFUNCTION("REGEXEXTRACT(E191, ""ک\s(\d{16})"")"),"6219861085979838")</f>
        <v>6219861085979838</v>
      </c>
      <c r="J191" s="25" t="s">
        <v>37</v>
      </c>
      <c r="K191" s="20" t="s">
        <v>552</v>
      </c>
      <c r="L191" s="26" t="s">
        <v>39</v>
      </c>
      <c r="M191" s="26" t="s">
        <v>40</v>
      </c>
      <c r="N191" s="27" t="s">
        <v>40</v>
      </c>
      <c r="O191" s="2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ht="25.5" customHeight="1">
      <c r="A192" s="19">
        <v>184.0</v>
      </c>
      <c r="B192" s="19" t="s">
        <v>525</v>
      </c>
      <c r="C192" s="20" t="s">
        <v>554</v>
      </c>
      <c r="D192" s="21" t="s">
        <v>35</v>
      </c>
      <c r="E192" s="21" t="s">
        <v>555</v>
      </c>
      <c r="F192" s="22">
        <v>650000.0</v>
      </c>
      <c r="G192" s="23">
        <v>0.0</v>
      </c>
      <c r="H192" s="24">
        <v>5.7411375E7</v>
      </c>
      <c r="I192" s="24" t="str">
        <f>IFERROR(__xludf.DUMMYFUNCTION("REGEXEXTRACT(E192, ""ک\s(\d{16})"")"),"5894631231781055")</f>
        <v>5894631231781055</v>
      </c>
      <c r="J192" s="25" t="s">
        <v>37</v>
      </c>
      <c r="K192" s="20" t="s">
        <v>556</v>
      </c>
      <c r="L192" s="26" t="s">
        <v>39</v>
      </c>
      <c r="M192" s="26" t="s">
        <v>40</v>
      </c>
      <c r="N192" s="27" t="s">
        <v>40</v>
      </c>
      <c r="O192" s="27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ht="25.5" customHeight="1">
      <c r="A193" s="19">
        <v>185.0</v>
      </c>
      <c r="B193" s="19" t="s">
        <v>525</v>
      </c>
      <c r="C193" s="20" t="s">
        <v>557</v>
      </c>
      <c r="D193" s="21" t="s">
        <v>330</v>
      </c>
      <c r="E193" s="21" t="s">
        <v>558</v>
      </c>
      <c r="F193" s="22">
        <v>0.0</v>
      </c>
      <c r="G193" s="23">
        <v>5.0E7</v>
      </c>
      <c r="H193" s="24">
        <v>7411375.0</v>
      </c>
      <c r="I193" s="24" t="str">
        <f>IFERROR(__xludf.DUMMYFUNCTION("REGEXEXTRACT(E193, ""ک\s(\d{16})"")"),"#N/A")</f>
        <v>#N/A</v>
      </c>
      <c r="J193" s="25" t="s">
        <v>332</v>
      </c>
      <c r="K193" s="20" t="s">
        <v>559</v>
      </c>
      <c r="L193" s="26" t="s">
        <v>39</v>
      </c>
      <c r="M193" s="26" t="s">
        <v>40</v>
      </c>
      <c r="N193" s="27" t="s">
        <v>40</v>
      </c>
      <c r="O193" s="27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ht="25.5" customHeight="1">
      <c r="A194" s="19">
        <v>186.0</v>
      </c>
      <c r="B194" s="19" t="s">
        <v>525</v>
      </c>
      <c r="C194" s="20" t="s">
        <v>557</v>
      </c>
      <c r="D194" s="21" t="s">
        <v>334</v>
      </c>
      <c r="E194" s="21" t="s">
        <v>335</v>
      </c>
      <c r="F194" s="22">
        <v>0.0</v>
      </c>
      <c r="G194" s="23">
        <v>10000.0</v>
      </c>
      <c r="H194" s="24">
        <v>7401375.0</v>
      </c>
      <c r="I194" s="24" t="str">
        <f>IFERROR(__xludf.DUMMYFUNCTION("REGEXEXTRACT(E194, ""ک\s(\d{16})"")"),"#N/A")</f>
        <v>#N/A</v>
      </c>
      <c r="J194" s="25" t="s">
        <v>332</v>
      </c>
      <c r="K194" s="20" t="s">
        <v>560</v>
      </c>
      <c r="L194" s="26" t="s">
        <v>39</v>
      </c>
      <c r="M194" s="26" t="s">
        <v>40</v>
      </c>
      <c r="N194" s="27" t="s">
        <v>40</v>
      </c>
      <c r="O194" s="27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ht="25.5" customHeight="1">
      <c r="A195" s="19">
        <v>187.0</v>
      </c>
      <c r="B195" s="19" t="s">
        <v>561</v>
      </c>
      <c r="C195" s="20" t="s">
        <v>562</v>
      </c>
      <c r="D195" s="21" t="s">
        <v>97</v>
      </c>
      <c r="E195" s="21" t="s">
        <v>563</v>
      </c>
      <c r="F195" s="22">
        <v>1.5E8</v>
      </c>
      <c r="G195" s="23">
        <v>0.0</v>
      </c>
      <c r="H195" s="24">
        <v>1.57401375E8</v>
      </c>
      <c r="I195" s="24" t="str">
        <f>IFERROR(__xludf.DUMMYFUNCTION("REGEXEXTRACT(E195, ""ک\s(\d{16})"")"),"#N/A")</f>
        <v>#N/A</v>
      </c>
      <c r="J195" s="25" t="s">
        <v>99</v>
      </c>
      <c r="K195" s="20" t="s">
        <v>564</v>
      </c>
      <c r="L195" s="26" t="s">
        <v>39</v>
      </c>
      <c r="M195" s="26" t="s">
        <v>40</v>
      </c>
      <c r="N195" s="27" t="s">
        <v>40</v>
      </c>
      <c r="O195" s="27" t="s">
        <v>565</v>
      </c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ht="25.5" customHeight="1">
      <c r="A196" s="19">
        <v>188.0</v>
      </c>
      <c r="B196" s="19" t="s">
        <v>561</v>
      </c>
      <c r="C196" s="20" t="s">
        <v>566</v>
      </c>
      <c r="D196" s="21" t="s">
        <v>35</v>
      </c>
      <c r="E196" s="21" t="s">
        <v>567</v>
      </c>
      <c r="F196" s="22">
        <v>0.0</v>
      </c>
      <c r="G196" s="23">
        <v>3.0E7</v>
      </c>
      <c r="H196" s="24">
        <v>1.27401375E8</v>
      </c>
      <c r="I196" s="24" t="str">
        <f>IFERROR(__xludf.DUMMYFUNCTION("REGEXEXTRACT(E196, ""ک\s(\d{16})"")"),"6274121208660688")</f>
        <v>6274121208660688</v>
      </c>
      <c r="J196" s="25" t="s">
        <v>37</v>
      </c>
      <c r="K196" s="20" t="s">
        <v>568</v>
      </c>
      <c r="L196" s="26" t="s">
        <v>39</v>
      </c>
      <c r="M196" s="26" t="s">
        <v>40</v>
      </c>
      <c r="N196" s="27" t="s">
        <v>40</v>
      </c>
      <c r="O196" s="2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ht="25.5" customHeight="1">
      <c r="A197" s="19">
        <v>189.0</v>
      </c>
      <c r="B197" s="19" t="s">
        <v>561</v>
      </c>
      <c r="C197" s="20" t="s">
        <v>566</v>
      </c>
      <c r="D197" s="21" t="s">
        <v>35</v>
      </c>
      <c r="E197" s="21" t="s">
        <v>569</v>
      </c>
      <c r="F197" s="22">
        <v>0.0</v>
      </c>
      <c r="G197" s="23">
        <v>15400.0</v>
      </c>
      <c r="H197" s="24">
        <v>1.27385975E8</v>
      </c>
      <c r="I197" s="24" t="str">
        <f>IFERROR(__xludf.DUMMYFUNCTION("REGEXEXTRACT(E197, ""ک\s(\d{16})"")"),"6219861085979838")</f>
        <v>6219861085979838</v>
      </c>
      <c r="J197" s="25" t="s">
        <v>37</v>
      </c>
      <c r="K197" s="20" t="s">
        <v>568</v>
      </c>
      <c r="L197" s="26" t="s">
        <v>39</v>
      </c>
      <c r="M197" s="26" t="s">
        <v>40</v>
      </c>
      <c r="N197" s="27" t="s">
        <v>40</v>
      </c>
      <c r="O197" s="2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ht="25.5" customHeight="1">
      <c r="A198" s="19">
        <v>190.0</v>
      </c>
      <c r="B198" s="19" t="s">
        <v>561</v>
      </c>
      <c r="C198" s="20" t="s">
        <v>570</v>
      </c>
      <c r="D198" s="21" t="s">
        <v>35</v>
      </c>
      <c r="E198" s="21" t="s">
        <v>571</v>
      </c>
      <c r="F198" s="22">
        <v>0.0</v>
      </c>
      <c r="G198" s="23">
        <v>2.07644E7</v>
      </c>
      <c r="H198" s="24">
        <v>1.06621575E8</v>
      </c>
      <c r="I198" s="24" t="str">
        <f>IFERROR(__xludf.DUMMYFUNCTION("REGEXEXTRACT(E198, ""ک\s(\d{16})"")"),"6104338738476148")</f>
        <v>6104338738476148</v>
      </c>
      <c r="J198" s="25" t="s">
        <v>37</v>
      </c>
      <c r="K198" s="20" t="s">
        <v>572</v>
      </c>
      <c r="L198" s="26" t="s">
        <v>39</v>
      </c>
      <c r="M198" s="26" t="s">
        <v>40</v>
      </c>
      <c r="N198" s="27" t="s">
        <v>40</v>
      </c>
      <c r="O198" s="27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ht="25.5" customHeight="1">
      <c r="A199" s="19">
        <v>191.0</v>
      </c>
      <c r="B199" s="19" t="s">
        <v>561</v>
      </c>
      <c r="C199" s="20" t="s">
        <v>570</v>
      </c>
      <c r="D199" s="21" t="s">
        <v>35</v>
      </c>
      <c r="E199" s="21" t="s">
        <v>573</v>
      </c>
      <c r="F199" s="22">
        <v>0.0</v>
      </c>
      <c r="G199" s="23">
        <v>15400.0</v>
      </c>
      <c r="H199" s="24">
        <v>1.06606175E8</v>
      </c>
      <c r="I199" s="24" t="str">
        <f>IFERROR(__xludf.DUMMYFUNCTION("REGEXEXTRACT(E199, ""ک\s(\d{16})"")"),"6219861085979838")</f>
        <v>6219861085979838</v>
      </c>
      <c r="J199" s="25" t="s">
        <v>37</v>
      </c>
      <c r="K199" s="20" t="s">
        <v>572</v>
      </c>
      <c r="L199" s="26" t="s">
        <v>39</v>
      </c>
      <c r="M199" s="26" t="s">
        <v>40</v>
      </c>
      <c r="N199" s="27" t="s">
        <v>40</v>
      </c>
      <c r="O199" s="27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ht="25.5" customHeight="1">
      <c r="A200" s="19">
        <v>192.0</v>
      </c>
      <c r="B200" s="19" t="s">
        <v>561</v>
      </c>
      <c r="C200" s="20" t="s">
        <v>574</v>
      </c>
      <c r="D200" s="21" t="s">
        <v>35</v>
      </c>
      <c r="E200" s="21" t="s">
        <v>575</v>
      </c>
      <c r="F200" s="22">
        <v>0.0</v>
      </c>
      <c r="G200" s="23">
        <v>2.133E7</v>
      </c>
      <c r="H200" s="24">
        <v>8.5276175E7</v>
      </c>
      <c r="I200" s="24" t="str">
        <f>IFERROR(__xludf.DUMMYFUNCTION("REGEXEXTRACT(E200, ""ک\s(\d{16})"")"),"5894631178646402")</f>
        <v>5894631178646402</v>
      </c>
      <c r="J200" s="25" t="s">
        <v>37</v>
      </c>
      <c r="K200" s="20" t="s">
        <v>576</v>
      </c>
      <c r="L200" s="26" t="s">
        <v>39</v>
      </c>
      <c r="M200" s="26" t="s">
        <v>40</v>
      </c>
      <c r="N200" s="27" t="s">
        <v>40</v>
      </c>
      <c r="O200" s="27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ht="25.5" customHeight="1">
      <c r="A201" s="19">
        <v>193.0</v>
      </c>
      <c r="B201" s="19" t="s">
        <v>561</v>
      </c>
      <c r="C201" s="20" t="s">
        <v>574</v>
      </c>
      <c r="D201" s="21" t="s">
        <v>35</v>
      </c>
      <c r="E201" s="21" t="s">
        <v>577</v>
      </c>
      <c r="F201" s="22">
        <v>0.0</v>
      </c>
      <c r="G201" s="23">
        <v>15400.0</v>
      </c>
      <c r="H201" s="24">
        <v>8.5260775E7</v>
      </c>
      <c r="I201" s="24" t="str">
        <f>IFERROR(__xludf.DUMMYFUNCTION("REGEXEXTRACT(E201, ""ک\s(\d{16})"")"),"6219861085979838")</f>
        <v>6219861085979838</v>
      </c>
      <c r="J201" s="25" t="s">
        <v>37</v>
      </c>
      <c r="K201" s="20" t="s">
        <v>576</v>
      </c>
      <c r="L201" s="26" t="s">
        <v>39</v>
      </c>
      <c r="M201" s="26" t="s">
        <v>40</v>
      </c>
      <c r="N201" s="27" t="s">
        <v>40</v>
      </c>
      <c r="O201" s="27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ht="25.5" customHeight="1">
      <c r="A202" s="19">
        <v>194.0</v>
      </c>
      <c r="B202" s="19" t="s">
        <v>561</v>
      </c>
      <c r="C202" s="20" t="s">
        <v>578</v>
      </c>
      <c r="D202" s="21" t="s">
        <v>44</v>
      </c>
      <c r="E202" s="21" t="s">
        <v>579</v>
      </c>
      <c r="F202" s="22">
        <v>0.0</v>
      </c>
      <c r="G202" s="23">
        <v>758350.0</v>
      </c>
      <c r="H202" s="24">
        <v>8.4502425E7</v>
      </c>
      <c r="I202" s="24" t="str">
        <f>IFERROR(__xludf.DUMMYFUNCTION("REGEXEXTRACT(E202, ""ک\s(\d{16})"")"),"6219861085979838")</f>
        <v>6219861085979838</v>
      </c>
      <c r="J202" s="25" t="s">
        <v>37</v>
      </c>
      <c r="K202" s="20" t="s">
        <v>580</v>
      </c>
      <c r="L202" s="26" t="s">
        <v>39</v>
      </c>
      <c r="M202" s="26" t="s">
        <v>40</v>
      </c>
      <c r="N202" s="27" t="s">
        <v>40</v>
      </c>
      <c r="O202" s="27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ht="25.5" customHeight="1">
      <c r="A203" s="19">
        <v>195.0</v>
      </c>
      <c r="B203" s="19" t="s">
        <v>581</v>
      </c>
      <c r="C203" s="20" t="s">
        <v>582</v>
      </c>
      <c r="D203" s="21" t="s">
        <v>97</v>
      </c>
      <c r="E203" s="21" t="s">
        <v>583</v>
      </c>
      <c r="F203" s="22">
        <v>3.9E7</v>
      </c>
      <c r="G203" s="23">
        <v>0.0</v>
      </c>
      <c r="H203" s="24">
        <v>1.23502425E8</v>
      </c>
      <c r="I203" s="24" t="str">
        <f>IFERROR(__xludf.DUMMYFUNCTION("REGEXEXTRACT(E203, ""ک\s(\d{16})"")"),"#N/A")</f>
        <v>#N/A</v>
      </c>
      <c r="J203" s="25" t="s">
        <v>99</v>
      </c>
      <c r="K203" s="20" t="s">
        <v>584</v>
      </c>
      <c r="L203" s="26" t="s">
        <v>39</v>
      </c>
      <c r="M203" s="26" t="s">
        <v>40</v>
      </c>
      <c r="N203" s="27" t="s">
        <v>40</v>
      </c>
      <c r="O203" s="27" t="s">
        <v>585</v>
      </c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ht="25.5" customHeight="1">
      <c r="A204" s="19">
        <v>196.0</v>
      </c>
      <c r="B204" s="19" t="s">
        <v>581</v>
      </c>
      <c r="C204" s="20" t="s">
        <v>586</v>
      </c>
      <c r="D204" s="21" t="s">
        <v>35</v>
      </c>
      <c r="E204" s="21" t="s">
        <v>587</v>
      </c>
      <c r="F204" s="22">
        <v>0.0</v>
      </c>
      <c r="G204" s="23">
        <v>1.56E7</v>
      </c>
      <c r="H204" s="24">
        <v>1.07902425E8</v>
      </c>
      <c r="I204" s="24" t="str">
        <f>IFERROR(__xludf.DUMMYFUNCTION("REGEXEXTRACT(E204, ""ک\s(\d{16})"")"),"6037697600840968")</f>
        <v>6037697600840968</v>
      </c>
      <c r="J204" s="25" t="s">
        <v>37</v>
      </c>
      <c r="K204" s="20" t="s">
        <v>588</v>
      </c>
      <c r="L204" s="26" t="s">
        <v>39</v>
      </c>
      <c r="M204" s="26" t="s">
        <v>40</v>
      </c>
      <c r="N204" s="27" t="s">
        <v>40</v>
      </c>
      <c r="O204" s="27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ht="25.5" customHeight="1">
      <c r="A205" s="19">
        <v>197.0</v>
      </c>
      <c r="B205" s="19" t="s">
        <v>581</v>
      </c>
      <c r="C205" s="20" t="s">
        <v>586</v>
      </c>
      <c r="D205" s="21" t="s">
        <v>35</v>
      </c>
      <c r="E205" s="21" t="s">
        <v>589</v>
      </c>
      <c r="F205" s="22">
        <v>0.0</v>
      </c>
      <c r="G205" s="23">
        <v>12200.0</v>
      </c>
      <c r="H205" s="24">
        <v>1.07890225E8</v>
      </c>
      <c r="I205" s="24" t="str">
        <f>IFERROR(__xludf.DUMMYFUNCTION("REGEXEXTRACT(E205, ""ک\s(\d{16})"")"),"6219861085979838")</f>
        <v>6219861085979838</v>
      </c>
      <c r="J205" s="25" t="s">
        <v>37</v>
      </c>
      <c r="K205" s="20" t="s">
        <v>588</v>
      </c>
      <c r="L205" s="26" t="s">
        <v>39</v>
      </c>
      <c r="M205" s="26" t="s">
        <v>40</v>
      </c>
      <c r="N205" s="27" t="s">
        <v>40</v>
      </c>
      <c r="O205" s="27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ht="25.5" customHeight="1">
      <c r="A206" s="19">
        <v>198.0</v>
      </c>
      <c r="B206" s="19" t="s">
        <v>581</v>
      </c>
      <c r="C206" s="20" t="s">
        <v>590</v>
      </c>
      <c r="D206" s="21" t="s">
        <v>330</v>
      </c>
      <c r="E206" s="21" t="s">
        <v>591</v>
      </c>
      <c r="F206" s="22">
        <v>0.0</v>
      </c>
      <c r="G206" s="23">
        <v>1.0E8</v>
      </c>
      <c r="H206" s="24">
        <v>7890225.0</v>
      </c>
      <c r="I206" s="24" t="str">
        <f>IFERROR(__xludf.DUMMYFUNCTION("REGEXEXTRACT(E206, ""ک\s(\d{16})"")"),"#N/A")</f>
        <v>#N/A</v>
      </c>
      <c r="J206" s="25" t="s">
        <v>332</v>
      </c>
      <c r="K206" s="20" t="s">
        <v>592</v>
      </c>
      <c r="L206" s="26" t="s">
        <v>39</v>
      </c>
      <c r="M206" s="26" t="s">
        <v>40</v>
      </c>
      <c r="N206" s="27" t="s">
        <v>40</v>
      </c>
      <c r="O206" s="27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ht="25.5" customHeight="1">
      <c r="A207" s="19">
        <v>199.0</v>
      </c>
      <c r="B207" s="19" t="s">
        <v>581</v>
      </c>
      <c r="C207" s="20" t="s">
        <v>590</v>
      </c>
      <c r="D207" s="21" t="s">
        <v>334</v>
      </c>
      <c r="E207" s="21" t="s">
        <v>335</v>
      </c>
      <c r="F207" s="22">
        <v>0.0</v>
      </c>
      <c r="G207" s="23">
        <v>20000.0</v>
      </c>
      <c r="H207" s="24">
        <v>7870225.0</v>
      </c>
      <c r="I207" s="24" t="str">
        <f>IFERROR(__xludf.DUMMYFUNCTION("REGEXEXTRACT(E207, ""ک\s(\d{16})"")"),"#N/A")</f>
        <v>#N/A</v>
      </c>
      <c r="J207" s="25" t="s">
        <v>332</v>
      </c>
      <c r="K207" s="20" t="s">
        <v>593</v>
      </c>
      <c r="L207" s="26" t="s">
        <v>39</v>
      </c>
      <c r="M207" s="26" t="s">
        <v>40</v>
      </c>
      <c r="N207" s="27" t="s">
        <v>40</v>
      </c>
      <c r="O207" s="27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ht="25.5" customHeight="1">
      <c r="A208" s="19">
        <v>200.0</v>
      </c>
      <c r="B208" s="19" t="s">
        <v>581</v>
      </c>
      <c r="C208" s="20" t="s">
        <v>594</v>
      </c>
      <c r="D208" s="21" t="s">
        <v>35</v>
      </c>
      <c r="E208" s="21" t="s">
        <v>595</v>
      </c>
      <c r="F208" s="22">
        <v>500000.0</v>
      </c>
      <c r="G208" s="23">
        <v>0.0</v>
      </c>
      <c r="H208" s="24">
        <v>8370225.0</v>
      </c>
      <c r="I208" s="24" t="str">
        <f>IFERROR(__xludf.DUMMYFUNCTION("REGEXEXTRACT(E208, ""ک\s(\d{16})"")"),"6037997154145891")</f>
        <v>6037997154145891</v>
      </c>
      <c r="J208" s="25" t="s">
        <v>37</v>
      </c>
      <c r="K208" s="20" t="s">
        <v>596</v>
      </c>
      <c r="L208" s="26" t="s">
        <v>39</v>
      </c>
      <c r="M208" s="26" t="s">
        <v>40</v>
      </c>
      <c r="N208" s="27" t="s">
        <v>40</v>
      </c>
      <c r="O208" s="27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ht="25.5" customHeight="1">
      <c r="A209" s="19">
        <v>201.0</v>
      </c>
      <c r="B209" s="19" t="s">
        <v>581</v>
      </c>
      <c r="C209" s="20" t="s">
        <v>597</v>
      </c>
      <c r="D209" s="21" t="s">
        <v>109</v>
      </c>
      <c r="E209" s="21" t="s">
        <v>598</v>
      </c>
      <c r="F209" s="22">
        <v>1100000.0</v>
      </c>
      <c r="G209" s="23">
        <v>0.0</v>
      </c>
      <c r="H209" s="24">
        <v>9470225.0</v>
      </c>
      <c r="I209" s="24" t="str">
        <f>IFERROR(__xludf.DUMMYFUNCTION("REGEXEXTRACT(E209, ""ک\s(\d{16})"")"),"#N/A")</f>
        <v>#N/A</v>
      </c>
      <c r="J209" s="25" t="s">
        <v>111</v>
      </c>
      <c r="K209" s="20" t="s">
        <v>599</v>
      </c>
      <c r="L209" s="26" t="s">
        <v>39</v>
      </c>
      <c r="M209" s="26" t="s">
        <v>40</v>
      </c>
      <c r="N209" s="27" t="s">
        <v>40</v>
      </c>
      <c r="O209" s="2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ht="25.5" customHeight="1">
      <c r="A210" s="19">
        <v>202.0</v>
      </c>
      <c r="B210" s="19" t="s">
        <v>600</v>
      </c>
      <c r="C210" s="20" t="s">
        <v>601</v>
      </c>
      <c r="D210" s="21" t="s">
        <v>97</v>
      </c>
      <c r="E210" s="21" t="s">
        <v>602</v>
      </c>
      <c r="F210" s="22">
        <v>1.25E8</v>
      </c>
      <c r="G210" s="23">
        <v>0.0</v>
      </c>
      <c r="H210" s="24">
        <v>1.34470225E8</v>
      </c>
      <c r="I210" s="24" t="str">
        <f>IFERROR(__xludf.DUMMYFUNCTION("REGEXEXTRACT(E210, ""ک\s(\d{16})"")"),"#N/A")</f>
        <v>#N/A</v>
      </c>
      <c r="J210" s="25" t="s">
        <v>99</v>
      </c>
      <c r="K210" s="20" t="s">
        <v>603</v>
      </c>
      <c r="L210" s="26" t="s">
        <v>39</v>
      </c>
      <c r="M210" s="26" t="s">
        <v>40</v>
      </c>
      <c r="N210" s="27" t="s">
        <v>40</v>
      </c>
      <c r="O210" s="27" t="s">
        <v>604</v>
      </c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ht="25.5" customHeight="1">
      <c r="A211" s="19">
        <v>203.0</v>
      </c>
      <c r="B211" s="19" t="s">
        <v>605</v>
      </c>
      <c r="C211" s="20" t="s">
        <v>606</v>
      </c>
      <c r="D211" s="21" t="s">
        <v>71</v>
      </c>
      <c r="E211" s="21" t="s">
        <v>607</v>
      </c>
      <c r="F211" s="22">
        <v>0.0</v>
      </c>
      <c r="G211" s="23">
        <v>1800.0</v>
      </c>
      <c r="H211" s="24">
        <v>1.34468425E8</v>
      </c>
      <c r="I211" s="24" t="str">
        <f>IFERROR(__xludf.DUMMYFUNCTION("REGEXEXTRACT(E211, ""ک\s(\d{16})"")"),"6219861085979838")</f>
        <v>6219861085979838</v>
      </c>
      <c r="J211" s="25" t="s">
        <v>37</v>
      </c>
      <c r="K211" s="20" t="s">
        <v>608</v>
      </c>
      <c r="L211" s="26" t="s">
        <v>39</v>
      </c>
      <c r="M211" s="26" t="s">
        <v>40</v>
      </c>
      <c r="N211" s="27" t="s">
        <v>40</v>
      </c>
      <c r="O211" s="27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ht="25.5" customHeight="1">
      <c r="A212" s="19">
        <v>204.0</v>
      </c>
      <c r="B212" s="19" t="s">
        <v>605</v>
      </c>
      <c r="C212" s="20" t="s">
        <v>609</v>
      </c>
      <c r="D212" s="21" t="s">
        <v>35</v>
      </c>
      <c r="E212" s="21" t="s">
        <v>610</v>
      </c>
      <c r="F212" s="22">
        <v>0.0</v>
      </c>
      <c r="G212" s="23">
        <v>1.45E7</v>
      </c>
      <c r="H212" s="24">
        <v>1.19968425E8</v>
      </c>
      <c r="I212" s="24" t="str">
        <f>IFERROR(__xludf.DUMMYFUNCTION("REGEXEXTRACT(E212, ""ک\s(\d{16})"")"),"5041721027695767")</f>
        <v>5041721027695767</v>
      </c>
      <c r="J212" s="25" t="s">
        <v>37</v>
      </c>
      <c r="K212" s="20" t="s">
        <v>611</v>
      </c>
      <c r="L212" s="26" t="s">
        <v>39</v>
      </c>
      <c r="M212" s="26" t="s">
        <v>40</v>
      </c>
      <c r="N212" s="27" t="s">
        <v>40</v>
      </c>
      <c r="O212" s="27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ht="25.5" customHeight="1">
      <c r="A213" s="19">
        <v>205.0</v>
      </c>
      <c r="B213" s="19" t="s">
        <v>605</v>
      </c>
      <c r="C213" s="20" t="s">
        <v>609</v>
      </c>
      <c r="D213" s="21" t="s">
        <v>35</v>
      </c>
      <c r="E213" s="21" t="s">
        <v>612</v>
      </c>
      <c r="F213" s="22">
        <v>0.0</v>
      </c>
      <c r="G213" s="23">
        <v>12200.0</v>
      </c>
      <c r="H213" s="24">
        <v>1.19956225E8</v>
      </c>
      <c r="I213" s="24" t="str">
        <f>IFERROR(__xludf.DUMMYFUNCTION("REGEXEXTRACT(E213, ""ک\s(\d{16})"")"),"6219861085979838")</f>
        <v>6219861085979838</v>
      </c>
      <c r="J213" s="25" t="s">
        <v>37</v>
      </c>
      <c r="K213" s="20" t="s">
        <v>611</v>
      </c>
      <c r="L213" s="26" t="s">
        <v>39</v>
      </c>
      <c r="M213" s="26" t="s">
        <v>40</v>
      </c>
      <c r="N213" s="27" t="s">
        <v>40</v>
      </c>
      <c r="O213" s="27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ht="25.5" customHeight="1">
      <c r="A214" s="19">
        <v>206.0</v>
      </c>
      <c r="B214" s="19" t="s">
        <v>605</v>
      </c>
      <c r="C214" s="20" t="s">
        <v>613</v>
      </c>
      <c r="D214" s="21" t="s">
        <v>35</v>
      </c>
      <c r="E214" s="21" t="s">
        <v>614</v>
      </c>
      <c r="F214" s="22">
        <v>0.0</v>
      </c>
      <c r="G214" s="23">
        <v>1.039E7</v>
      </c>
      <c r="H214" s="24">
        <v>1.09566225E8</v>
      </c>
      <c r="I214" s="24" t="str">
        <f>IFERROR(__xludf.DUMMYFUNCTION("REGEXEXTRACT(E214, ""ک\s(\d{16})"")"),"5894631178646402")</f>
        <v>5894631178646402</v>
      </c>
      <c r="J214" s="25" t="s">
        <v>37</v>
      </c>
      <c r="K214" s="20" t="s">
        <v>615</v>
      </c>
      <c r="L214" s="26" t="s">
        <v>39</v>
      </c>
      <c r="M214" s="26" t="s">
        <v>40</v>
      </c>
      <c r="N214" s="27" t="s">
        <v>40</v>
      </c>
      <c r="O214" s="27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ht="25.5" customHeight="1">
      <c r="A215" s="19">
        <v>207.0</v>
      </c>
      <c r="B215" s="19" t="s">
        <v>605</v>
      </c>
      <c r="C215" s="20" t="s">
        <v>613</v>
      </c>
      <c r="D215" s="21" t="s">
        <v>35</v>
      </c>
      <c r="E215" s="21" t="s">
        <v>616</v>
      </c>
      <c r="F215" s="22">
        <v>0.0</v>
      </c>
      <c r="G215" s="23">
        <v>12200.0</v>
      </c>
      <c r="H215" s="24">
        <v>1.09554025E8</v>
      </c>
      <c r="I215" s="24" t="str">
        <f>IFERROR(__xludf.DUMMYFUNCTION("REGEXEXTRACT(E215, ""ک\s(\d{16})"")"),"6219861085979838")</f>
        <v>6219861085979838</v>
      </c>
      <c r="J215" s="25" t="s">
        <v>37</v>
      </c>
      <c r="K215" s="20" t="s">
        <v>615</v>
      </c>
      <c r="L215" s="26" t="s">
        <v>39</v>
      </c>
      <c r="M215" s="26" t="s">
        <v>40</v>
      </c>
      <c r="N215" s="27" t="s">
        <v>40</v>
      </c>
      <c r="O215" s="27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ht="25.5" customHeight="1">
      <c r="A216" s="19">
        <v>208.0</v>
      </c>
      <c r="B216" s="19" t="s">
        <v>605</v>
      </c>
      <c r="C216" s="20" t="s">
        <v>617</v>
      </c>
      <c r="D216" s="21" t="s">
        <v>35</v>
      </c>
      <c r="E216" s="21" t="s">
        <v>618</v>
      </c>
      <c r="F216" s="22">
        <v>0.0</v>
      </c>
      <c r="G216" s="23">
        <v>2.03352E7</v>
      </c>
      <c r="H216" s="24">
        <v>8.9218825E7</v>
      </c>
      <c r="I216" s="24" t="str">
        <f>IFERROR(__xludf.DUMMYFUNCTION("REGEXEXTRACT(E216, ""ک\s(\d{16})"")"),"6104338738476148")</f>
        <v>6104338738476148</v>
      </c>
      <c r="J216" s="25" t="s">
        <v>37</v>
      </c>
      <c r="K216" s="20" t="s">
        <v>619</v>
      </c>
      <c r="L216" s="26" t="s">
        <v>39</v>
      </c>
      <c r="M216" s="26" t="s">
        <v>40</v>
      </c>
      <c r="N216" s="27" t="s">
        <v>40</v>
      </c>
      <c r="O216" s="27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ht="25.5" customHeight="1">
      <c r="A217" s="19">
        <v>209.0</v>
      </c>
      <c r="B217" s="19" t="s">
        <v>605</v>
      </c>
      <c r="C217" s="20" t="s">
        <v>617</v>
      </c>
      <c r="D217" s="21" t="s">
        <v>35</v>
      </c>
      <c r="E217" s="21" t="s">
        <v>620</v>
      </c>
      <c r="F217" s="22">
        <v>0.0</v>
      </c>
      <c r="G217" s="23">
        <v>15400.0</v>
      </c>
      <c r="H217" s="24">
        <v>8.9203425E7</v>
      </c>
      <c r="I217" s="24" t="str">
        <f>IFERROR(__xludf.DUMMYFUNCTION("REGEXEXTRACT(E217, ""ک\s(\d{16})"")"),"6219861085979838")</f>
        <v>6219861085979838</v>
      </c>
      <c r="J217" s="25" t="s">
        <v>37</v>
      </c>
      <c r="K217" s="20" t="s">
        <v>619</v>
      </c>
      <c r="L217" s="26" t="s">
        <v>39</v>
      </c>
      <c r="M217" s="26" t="s">
        <v>40</v>
      </c>
      <c r="N217" s="27" t="s">
        <v>40</v>
      </c>
      <c r="O217" s="27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ht="25.5" customHeight="1">
      <c r="A218" s="19">
        <v>210.0</v>
      </c>
      <c r="B218" s="19" t="s">
        <v>605</v>
      </c>
      <c r="C218" s="20" t="s">
        <v>621</v>
      </c>
      <c r="D218" s="21" t="s">
        <v>35</v>
      </c>
      <c r="E218" s="21" t="s">
        <v>622</v>
      </c>
      <c r="F218" s="22">
        <v>0.0</v>
      </c>
      <c r="G218" s="23">
        <v>3.37E7</v>
      </c>
      <c r="H218" s="24">
        <v>5.5503425E7</v>
      </c>
      <c r="I218" s="24" t="str">
        <f>IFERROR(__xludf.DUMMYFUNCTION("REGEXEXTRACT(E218, ""ک\s(\d{16})"")"),"6274121208660688")</f>
        <v>6274121208660688</v>
      </c>
      <c r="J218" s="25" t="s">
        <v>37</v>
      </c>
      <c r="K218" s="20" t="s">
        <v>623</v>
      </c>
      <c r="L218" s="26" t="s">
        <v>39</v>
      </c>
      <c r="M218" s="26" t="s">
        <v>40</v>
      </c>
      <c r="N218" s="27" t="s">
        <v>40</v>
      </c>
      <c r="O218" s="27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ht="25.5" customHeight="1">
      <c r="A219" s="19">
        <v>211.0</v>
      </c>
      <c r="B219" s="19" t="s">
        <v>605</v>
      </c>
      <c r="C219" s="20" t="s">
        <v>621</v>
      </c>
      <c r="D219" s="21" t="s">
        <v>35</v>
      </c>
      <c r="E219" s="21" t="s">
        <v>624</v>
      </c>
      <c r="F219" s="22">
        <v>0.0</v>
      </c>
      <c r="G219" s="23">
        <v>18600.0</v>
      </c>
      <c r="H219" s="24">
        <v>5.5484825E7</v>
      </c>
      <c r="I219" s="24" t="str">
        <f>IFERROR(__xludf.DUMMYFUNCTION("REGEXEXTRACT(E219, ""ک\s(\d{16})"")"),"6219861085979838")</f>
        <v>6219861085979838</v>
      </c>
      <c r="J219" s="25" t="s">
        <v>37</v>
      </c>
      <c r="K219" s="20" t="s">
        <v>623</v>
      </c>
      <c r="L219" s="26" t="s">
        <v>39</v>
      </c>
      <c r="M219" s="26" t="s">
        <v>40</v>
      </c>
      <c r="N219" s="27" t="s">
        <v>40</v>
      </c>
      <c r="O219" s="27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ht="25.5" customHeight="1">
      <c r="A220" s="19">
        <v>212.0</v>
      </c>
      <c r="B220" s="19" t="s">
        <v>605</v>
      </c>
      <c r="C220" s="20" t="s">
        <v>625</v>
      </c>
      <c r="D220" s="21" t="s">
        <v>35</v>
      </c>
      <c r="E220" s="21" t="s">
        <v>626</v>
      </c>
      <c r="F220" s="22">
        <v>600000.0</v>
      </c>
      <c r="G220" s="23">
        <v>0.0</v>
      </c>
      <c r="H220" s="24">
        <v>5.6084825E7</v>
      </c>
      <c r="I220" s="24" t="str">
        <f>IFERROR(__xludf.DUMMYFUNCTION("REGEXEXTRACT(E220, ""ک\s(\d{16})"")"),"5894631110179074")</f>
        <v>5894631110179074</v>
      </c>
      <c r="J220" s="25" t="s">
        <v>37</v>
      </c>
      <c r="K220" s="20" t="s">
        <v>627</v>
      </c>
      <c r="L220" s="26" t="s">
        <v>39</v>
      </c>
      <c r="M220" s="26" t="s">
        <v>40</v>
      </c>
      <c r="N220" s="27" t="s">
        <v>40</v>
      </c>
      <c r="O220" s="27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ht="25.5" customHeight="1">
      <c r="A221" s="19">
        <v>213.0</v>
      </c>
      <c r="B221" s="19" t="s">
        <v>605</v>
      </c>
      <c r="C221" s="20" t="s">
        <v>628</v>
      </c>
      <c r="D221" s="21" t="s">
        <v>44</v>
      </c>
      <c r="E221" s="21" t="s">
        <v>629</v>
      </c>
      <c r="F221" s="22">
        <v>0.0</v>
      </c>
      <c r="G221" s="23">
        <v>1.126E7</v>
      </c>
      <c r="H221" s="24">
        <v>4.4824825E7</v>
      </c>
      <c r="I221" s="24" t="str">
        <f>IFERROR(__xludf.DUMMYFUNCTION("REGEXEXTRACT(E221, ""ک\s(\d{16})"")"),"6219861085979838")</f>
        <v>6219861085979838</v>
      </c>
      <c r="J221" s="25" t="s">
        <v>37</v>
      </c>
      <c r="K221" s="20" t="s">
        <v>630</v>
      </c>
      <c r="L221" s="26" t="s">
        <v>39</v>
      </c>
      <c r="M221" s="26" t="s">
        <v>40</v>
      </c>
      <c r="N221" s="27" t="s">
        <v>40</v>
      </c>
      <c r="O221" s="2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ht="25.5" customHeight="1">
      <c r="A222" s="19">
        <v>214.0</v>
      </c>
      <c r="B222" s="19" t="s">
        <v>605</v>
      </c>
      <c r="C222" s="20" t="s">
        <v>631</v>
      </c>
      <c r="D222" s="21" t="s">
        <v>71</v>
      </c>
      <c r="E222" s="21" t="s">
        <v>632</v>
      </c>
      <c r="F222" s="22">
        <v>0.0</v>
      </c>
      <c r="G222" s="23">
        <v>1800.0</v>
      </c>
      <c r="H222" s="24">
        <v>4.4823025E7</v>
      </c>
      <c r="I222" s="24" t="str">
        <f>IFERROR(__xludf.DUMMYFUNCTION("REGEXEXTRACT(E222, ""ک\s(\d{16})"")"),"6219861085979838")</f>
        <v>6219861085979838</v>
      </c>
      <c r="J222" s="25" t="s">
        <v>37</v>
      </c>
      <c r="K222" s="20" t="s">
        <v>633</v>
      </c>
      <c r="L222" s="26" t="s">
        <v>39</v>
      </c>
      <c r="M222" s="26" t="s">
        <v>40</v>
      </c>
      <c r="N222" s="27" t="s">
        <v>40</v>
      </c>
      <c r="O222" s="27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ht="25.5" customHeight="1">
      <c r="A223" s="19">
        <v>215.0</v>
      </c>
      <c r="B223" s="19" t="s">
        <v>605</v>
      </c>
      <c r="C223" s="20" t="s">
        <v>634</v>
      </c>
      <c r="D223" s="21" t="s">
        <v>35</v>
      </c>
      <c r="E223" s="21" t="s">
        <v>635</v>
      </c>
      <c r="F223" s="22">
        <v>0.0</v>
      </c>
      <c r="G223" s="23">
        <v>1.9E7</v>
      </c>
      <c r="H223" s="24">
        <v>2.5823025E7</v>
      </c>
      <c r="I223" s="24" t="str">
        <f>IFERROR(__xludf.DUMMYFUNCTION("REGEXEXTRACT(E223, ""ک\s(\d{16})"")"),"6221061103079648")</f>
        <v>6221061103079648</v>
      </c>
      <c r="J223" s="25" t="s">
        <v>37</v>
      </c>
      <c r="K223" s="20" t="s">
        <v>636</v>
      </c>
      <c r="L223" s="26" t="s">
        <v>39</v>
      </c>
      <c r="M223" s="26" t="s">
        <v>40</v>
      </c>
      <c r="N223" s="27" t="s">
        <v>40</v>
      </c>
      <c r="O223" s="27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ht="25.5" customHeight="1">
      <c r="A224" s="19">
        <v>216.0</v>
      </c>
      <c r="B224" s="19" t="s">
        <v>605</v>
      </c>
      <c r="C224" s="20" t="s">
        <v>634</v>
      </c>
      <c r="D224" s="21" t="s">
        <v>35</v>
      </c>
      <c r="E224" s="21" t="s">
        <v>637</v>
      </c>
      <c r="F224" s="22">
        <v>0.0</v>
      </c>
      <c r="G224" s="23">
        <v>12200.0</v>
      </c>
      <c r="H224" s="24">
        <v>2.5810825E7</v>
      </c>
      <c r="I224" s="24" t="str">
        <f>IFERROR(__xludf.DUMMYFUNCTION("REGEXEXTRACT(E224, ""ک\s(\d{16})"")"),"6219861085979838")</f>
        <v>6219861085979838</v>
      </c>
      <c r="J224" s="25" t="s">
        <v>37</v>
      </c>
      <c r="K224" s="20" t="s">
        <v>636</v>
      </c>
      <c r="L224" s="26" t="s">
        <v>39</v>
      </c>
      <c r="M224" s="26" t="s">
        <v>40</v>
      </c>
      <c r="N224" s="27" t="s">
        <v>40</v>
      </c>
      <c r="O224" s="27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ht="25.5" customHeight="1">
      <c r="A225" s="19">
        <v>217.0</v>
      </c>
      <c r="B225" s="19" t="s">
        <v>605</v>
      </c>
      <c r="C225" s="20" t="s">
        <v>638</v>
      </c>
      <c r="D225" s="21" t="s">
        <v>44</v>
      </c>
      <c r="E225" s="21" t="s">
        <v>639</v>
      </c>
      <c r="F225" s="22">
        <v>0.0</v>
      </c>
      <c r="G225" s="23">
        <v>1.56E7</v>
      </c>
      <c r="H225" s="24">
        <v>1.0210825E7</v>
      </c>
      <c r="I225" s="24" t="str">
        <f>IFERROR(__xludf.DUMMYFUNCTION("REGEXEXTRACT(E225, ""ک\s(\d{16})"")"),"6219861085979838")</f>
        <v>6219861085979838</v>
      </c>
      <c r="J225" s="25" t="s">
        <v>37</v>
      </c>
      <c r="K225" s="20" t="s">
        <v>640</v>
      </c>
      <c r="L225" s="26" t="s">
        <v>39</v>
      </c>
      <c r="M225" s="26" t="s">
        <v>40</v>
      </c>
      <c r="N225" s="27" t="s">
        <v>40</v>
      </c>
      <c r="O225" s="27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ht="25.5" customHeight="1">
      <c r="A226" s="19">
        <v>218.0</v>
      </c>
      <c r="B226" s="19" t="s">
        <v>605</v>
      </c>
      <c r="C226" s="20" t="s">
        <v>641</v>
      </c>
      <c r="D226" s="21" t="s">
        <v>44</v>
      </c>
      <c r="E226" s="21" t="s">
        <v>642</v>
      </c>
      <c r="F226" s="22">
        <v>0.0</v>
      </c>
      <c r="G226" s="23">
        <v>1525000.0</v>
      </c>
      <c r="H226" s="24">
        <v>8685825.0</v>
      </c>
      <c r="I226" s="24" t="str">
        <f>IFERROR(__xludf.DUMMYFUNCTION("REGEXEXTRACT(E226, ""ک\s(\d{16})"")"),"6219861085979838")</f>
        <v>6219861085979838</v>
      </c>
      <c r="J226" s="25" t="s">
        <v>37</v>
      </c>
      <c r="K226" s="20" t="s">
        <v>643</v>
      </c>
      <c r="L226" s="26" t="s">
        <v>39</v>
      </c>
      <c r="M226" s="26" t="s">
        <v>40</v>
      </c>
      <c r="N226" s="27" t="s">
        <v>40</v>
      </c>
      <c r="O226" s="27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ht="25.5" customHeight="1">
      <c r="A227" s="19">
        <v>219.0</v>
      </c>
      <c r="B227" s="19" t="s">
        <v>605</v>
      </c>
      <c r="C227" s="20" t="s">
        <v>644</v>
      </c>
      <c r="D227" s="21" t="s">
        <v>71</v>
      </c>
      <c r="E227" s="21" t="s">
        <v>645</v>
      </c>
      <c r="F227" s="22">
        <v>0.0</v>
      </c>
      <c r="G227" s="23">
        <v>1800.0</v>
      </c>
      <c r="H227" s="24">
        <v>8684025.0</v>
      </c>
      <c r="I227" s="24" t="str">
        <f>IFERROR(__xludf.DUMMYFUNCTION("REGEXEXTRACT(E227, ""ک\s(\d{16})"")"),"6219861085979838")</f>
        <v>6219861085979838</v>
      </c>
      <c r="J227" s="25" t="s">
        <v>37</v>
      </c>
      <c r="K227" s="20" t="s">
        <v>646</v>
      </c>
      <c r="L227" s="26" t="s">
        <v>39</v>
      </c>
      <c r="M227" s="26" t="s">
        <v>40</v>
      </c>
      <c r="N227" s="27" t="s">
        <v>40</v>
      </c>
      <c r="O227" s="27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ht="25.5" customHeight="1">
      <c r="A228" s="19">
        <v>220.0</v>
      </c>
      <c r="B228" s="19" t="s">
        <v>605</v>
      </c>
      <c r="C228" s="20" t="s">
        <v>647</v>
      </c>
      <c r="D228" s="21" t="s">
        <v>44</v>
      </c>
      <c r="E228" s="21" t="s">
        <v>648</v>
      </c>
      <c r="F228" s="22">
        <v>0.0</v>
      </c>
      <c r="G228" s="23">
        <v>2600000.0</v>
      </c>
      <c r="H228" s="24">
        <v>6084025.0</v>
      </c>
      <c r="I228" s="24" t="str">
        <f>IFERROR(__xludf.DUMMYFUNCTION("REGEXEXTRACT(E228, ""ک\s(\d{16})"")"),"6219861085979838")</f>
        <v>6219861085979838</v>
      </c>
      <c r="J228" s="25" t="s">
        <v>37</v>
      </c>
      <c r="K228" s="20" t="s">
        <v>649</v>
      </c>
      <c r="L228" s="26" t="s">
        <v>39</v>
      </c>
      <c r="M228" s="26" t="s">
        <v>40</v>
      </c>
      <c r="N228" s="27" t="s">
        <v>40</v>
      </c>
      <c r="O228" s="27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ht="25.5" customHeight="1">
      <c r="A229" s="19">
        <v>221.0</v>
      </c>
      <c r="B229" s="19" t="s">
        <v>650</v>
      </c>
      <c r="C229" s="20" t="s">
        <v>651</v>
      </c>
      <c r="D229" s="21" t="s">
        <v>97</v>
      </c>
      <c r="E229" s="21" t="s">
        <v>652</v>
      </c>
      <c r="F229" s="22">
        <v>8.1E7</v>
      </c>
      <c r="G229" s="23">
        <v>0.0</v>
      </c>
      <c r="H229" s="24">
        <v>8.7084025E7</v>
      </c>
      <c r="I229" s="24" t="str">
        <f>IFERROR(__xludf.DUMMYFUNCTION("REGEXEXTRACT(E229, ""ک\s(\d{16})"")"),"#N/A")</f>
        <v>#N/A</v>
      </c>
      <c r="J229" s="25" t="s">
        <v>99</v>
      </c>
      <c r="K229" s="20" t="s">
        <v>653</v>
      </c>
      <c r="L229" s="26" t="s">
        <v>39</v>
      </c>
      <c r="M229" s="26" t="s">
        <v>40</v>
      </c>
      <c r="N229" s="27" t="s">
        <v>40</v>
      </c>
      <c r="O229" s="27" t="s">
        <v>654</v>
      </c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ht="25.5" customHeight="1">
      <c r="A230" s="19">
        <v>222.0</v>
      </c>
      <c r="B230" s="19" t="s">
        <v>650</v>
      </c>
      <c r="C230" s="20" t="s">
        <v>655</v>
      </c>
      <c r="D230" s="21" t="s">
        <v>97</v>
      </c>
      <c r="E230" s="21" t="s">
        <v>656</v>
      </c>
      <c r="F230" s="22">
        <v>6.5E7</v>
      </c>
      <c r="G230" s="23">
        <v>0.0</v>
      </c>
      <c r="H230" s="24">
        <v>1.52084025E8</v>
      </c>
      <c r="I230" s="24" t="str">
        <f>IFERROR(__xludf.DUMMYFUNCTION("REGEXEXTRACT(E230, ""ک\s(\d{16})"")"),"#N/A")</f>
        <v>#N/A</v>
      </c>
      <c r="J230" s="25" t="s">
        <v>99</v>
      </c>
      <c r="K230" s="20" t="s">
        <v>657</v>
      </c>
      <c r="L230" s="26" t="s">
        <v>39</v>
      </c>
      <c r="M230" s="26" t="s">
        <v>40</v>
      </c>
      <c r="N230" s="27" t="s">
        <v>40</v>
      </c>
      <c r="O230" s="27" t="s">
        <v>658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ht="25.5" customHeight="1">
      <c r="A231" s="19">
        <v>223.0</v>
      </c>
      <c r="B231" s="19" t="s">
        <v>650</v>
      </c>
      <c r="C231" s="20" t="s">
        <v>659</v>
      </c>
      <c r="D231" s="21" t="s">
        <v>44</v>
      </c>
      <c r="E231" s="21" t="s">
        <v>660</v>
      </c>
      <c r="F231" s="22">
        <v>0.0</v>
      </c>
      <c r="G231" s="23">
        <v>5920000.0</v>
      </c>
      <c r="H231" s="24">
        <v>1.46164025E8</v>
      </c>
      <c r="I231" s="24" t="str">
        <f>IFERROR(__xludf.DUMMYFUNCTION("REGEXEXTRACT(E231, ""ک\s(\d{16})"")"),"6219861085979838")</f>
        <v>6219861085979838</v>
      </c>
      <c r="J231" s="25" t="s">
        <v>37</v>
      </c>
      <c r="K231" s="20" t="s">
        <v>661</v>
      </c>
      <c r="L231" s="26" t="s">
        <v>39</v>
      </c>
      <c r="M231" s="26" t="s">
        <v>40</v>
      </c>
      <c r="N231" s="27" t="s">
        <v>40</v>
      </c>
      <c r="O231" s="27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ht="25.5" customHeight="1">
      <c r="A232" s="19">
        <v>224.0</v>
      </c>
      <c r="B232" s="19" t="s">
        <v>650</v>
      </c>
      <c r="C232" s="20" t="s">
        <v>662</v>
      </c>
      <c r="D232" s="21" t="s">
        <v>44</v>
      </c>
      <c r="E232" s="21" t="s">
        <v>663</v>
      </c>
      <c r="F232" s="22">
        <v>0.0</v>
      </c>
      <c r="G232" s="23">
        <v>400000.0</v>
      </c>
      <c r="H232" s="24">
        <v>1.45764025E8</v>
      </c>
      <c r="I232" s="24" t="str">
        <f>IFERROR(__xludf.DUMMYFUNCTION("REGEXEXTRACT(E232, ""ک\s(\d{16})"")"),"6219861085979838")</f>
        <v>6219861085979838</v>
      </c>
      <c r="J232" s="25" t="s">
        <v>37</v>
      </c>
      <c r="K232" s="20" t="s">
        <v>664</v>
      </c>
      <c r="L232" s="26" t="s">
        <v>39</v>
      </c>
      <c r="M232" s="26" t="s">
        <v>40</v>
      </c>
      <c r="N232" s="27" t="s">
        <v>40</v>
      </c>
      <c r="O232" s="27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ht="25.5" customHeight="1">
      <c r="A233" s="19">
        <v>225.0</v>
      </c>
      <c r="B233" s="19" t="s">
        <v>650</v>
      </c>
      <c r="C233" s="20" t="s">
        <v>665</v>
      </c>
      <c r="D233" s="21" t="s">
        <v>44</v>
      </c>
      <c r="E233" s="21" t="s">
        <v>666</v>
      </c>
      <c r="F233" s="22">
        <v>0.0</v>
      </c>
      <c r="G233" s="23">
        <v>4.23E7</v>
      </c>
      <c r="H233" s="24">
        <v>1.03464025E8</v>
      </c>
      <c r="I233" s="24" t="str">
        <f>IFERROR(__xludf.DUMMYFUNCTION("REGEXEXTRACT(E233, ""ک\s(\d{16})"")"),"6219861085979838")</f>
        <v>6219861085979838</v>
      </c>
      <c r="J233" s="25" t="s">
        <v>37</v>
      </c>
      <c r="K233" s="20" t="s">
        <v>667</v>
      </c>
      <c r="L233" s="26" t="s">
        <v>39</v>
      </c>
      <c r="M233" s="26" t="s">
        <v>40</v>
      </c>
      <c r="N233" s="27" t="s">
        <v>40</v>
      </c>
      <c r="O233" s="27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ht="25.5" customHeight="1">
      <c r="A234" s="19">
        <v>226.0</v>
      </c>
      <c r="B234" s="19" t="s">
        <v>650</v>
      </c>
      <c r="C234" s="20" t="s">
        <v>668</v>
      </c>
      <c r="D234" s="21" t="s">
        <v>35</v>
      </c>
      <c r="E234" s="21" t="s">
        <v>669</v>
      </c>
      <c r="F234" s="22">
        <v>550000.0</v>
      </c>
      <c r="G234" s="23">
        <v>0.0</v>
      </c>
      <c r="H234" s="24">
        <v>1.04014025E8</v>
      </c>
      <c r="I234" s="24" t="str">
        <f>IFERROR(__xludf.DUMMYFUNCTION("REGEXEXTRACT(E234, ""ک\s(\d{16})"")"),"5859831184660420")</f>
        <v>5859831184660420</v>
      </c>
      <c r="J234" s="25" t="s">
        <v>37</v>
      </c>
      <c r="K234" s="20" t="s">
        <v>670</v>
      </c>
      <c r="L234" s="26" t="s">
        <v>39</v>
      </c>
      <c r="M234" s="26" t="s">
        <v>40</v>
      </c>
      <c r="N234" s="27" t="s">
        <v>40</v>
      </c>
      <c r="O234" s="2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ht="25.5" customHeight="1">
      <c r="A235" s="19">
        <v>227.0</v>
      </c>
      <c r="B235" s="19" t="s">
        <v>650</v>
      </c>
      <c r="C235" s="20" t="s">
        <v>671</v>
      </c>
      <c r="D235" s="21" t="s">
        <v>71</v>
      </c>
      <c r="E235" s="21" t="s">
        <v>672</v>
      </c>
      <c r="F235" s="22">
        <v>0.0</v>
      </c>
      <c r="G235" s="23">
        <v>1800.0</v>
      </c>
      <c r="H235" s="24">
        <v>1.04012225E8</v>
      </c>
      <c r="I235" s="24" t="str">
        <f>IFERROR(__xludf.DUMMYFUNCTION("REGEXEXTRACT(E235, ""ک\s(\d{16})"")"),"6219861085979838")</f>
        <v>6219861085979838</v>
      </c>
      <c r="J235" s="25" t="s">
        <v>37</v>
      </c>
      <c r="K235" s="20" t="s">
        <v>673</v>
      </c>
      <c r="L235" s="26" t="s">
        <v>39</v>
      </c>
      <c r="M235" s="26" t="s">
        <v>40</v>
      </c>
      <c r="N235" s="27" t="s">
        <v>40</v>
      </c>
      <c r="O235" s="27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ht="25.5" customHeight="1">
      <c r="A236" s="19">
        <v>228.0</v>
      </c>
      <c r="B236" s="19" t="s">
        <v>650</v>
      </c>
      <c r="C236" s="20" t="s">
        <v>674</v>
      </c>
      <c r="D236" s="21" t="s">
        <v>35</v>
      </c>
      <c r="E236" s="21" t="s">
        <v>675</v>
      </c>
      <c r="F236" s="22">
        <v>0.0</v>
      </c>
      <c r="G236" s="23">
        <v>5.0E7</v>
      </c>
      <c r="H236" s="24">
        <v>5.4012225E7</v>
      </c>
      <c r="I236" s="24" t="str">
        <f>IFERROR(__xludf.DUMMYFUNCTION("REGEXEXTRACT(E236, ""ک\s(\d{16})"")"),"6037701575716284")</f>
        <v>6037701575716284</v>
      </c>
      <c r="J236" s="25" t="s">
        <v>37</v>
      </c>
      <c r="K236" s="20" t="s">
        <v>676</v>
      </c>
      <c r="L236" s="26" t="s">
        <v>39</v>
      </c>
      <c r="M236" s="26" t="s">
        <v>40</v>
      </c>
      <c r="N236" s="27" t="s">
        <v>40</v>
      </c>
      <c r="O236" s="27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ht="25.5" customHeight="1">
      <c r="A237" s="19">
        <v>229.0</v>
      </c>
      <c r="B237" s="19" t="s">
        <v>650</v>
      </c>
      <c r="C237" s="20" t="s">
        <v>674</v>
      </c>
      <c r="D237" s="21" t="s">
        <v>35</v>
      </c>
      <c r="E237" s="21" t="s">
        <v>677</v>
      </c>
      <c r="F237" s="22">
        <v>0.0</v>
      </c>
      <c r="G237" s="23">
        <v>21800.0</v>
      </c>
      <c r="H237" s="24">
        <v>5.3990425E7</v>
      </c>
      <c r="I237" s="24" t="str">
        <f>IFERROR(__xludf.DUMMYFUNCTION("REGEXEXTRACT(E237, ""ک\s(\d{16})"")"),"6219861085979838")</f>
        <v>6219861085979838</v>
      </c>
      <c r="J237" s="25" t="s">
        <v>37</v>
      </c>
      <c r="K237" s="20" t="s">
        <v>676</v>
      </c>
      <c r="L237" s="26" t="s">
        <v>39</v>
      </c>
      <c r="M237" s="26" t="s">
        <v>40</v>
      </c>
      <c r="N237" s="27" t="s">
        <v>40</v>
      </c>
      <c r="O237" s="27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ht="25.5" customHeight="1">
      <c r="A238" s="19">
        <v>230.0</v>
      </c>
      <c r="B238" s="19" t="s">
        <v>650</v>
      </c>
      <c r="C238" s="20" t="s">
        <v>678</v>
      </c>
      <c r="D238" s="21" t="s">
        <v>35</v>
      </c>
      <c r="E238" s="21" t="s">
        <v>679</v>
      </c>
      <c r="F238" s="22">
        <v>0.0</v>
      </c>
      <c r="G238" s="23">
        <v>1.381E7</v>
      </c>
      <c r="H238" s="24">
        <v>4.0180425E7</v>
      </c>
      <c r="I238" s="24" t="str">
        <f>IFERROR(__xludf.DUMMYFUNCTION("REGEXEXTRACT(E238, ""ک\s(\d{16})"")"),"5894631178646402")</f>
        <v>5894631178646402</v>
      </c>
      <c r="J238" s="25" t="s">
        <v>37</v>
      </c>
      <c r="K238" s="20" t="s">
        <v>680</v>
      </c>
      <c r="L238" s="26" t="s">
        <v>39</v>
      </c>
      <c r="M238" s="26" t="s">
        <v>40</v>
      </c>
      <c r="N238" s="27" t="s">
        <v>40</v>
      </c>
      <c r="O238" s="27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ht="25.5" customHeight="1">
      <c r="A239" s="19">
        <v>231.0</v>
      </c>
      <c r="B239" s="19" t="s">
        <v>650</v>
      </c>
      <c r="C239" s="20" t="s">
        <v>678</v>
      </c>
      <c r="D239" s="21" t="s">
        <v>35</v>
      </c>
      <c r="E239" s="21" t="s">
        <v>681</v>
      </c>
      <c r="F239" s="22">
        <v>0.0</v>
      </c>
      <c r="G239" s="23">
        <v>12200.0</v>
      </c>
      <c r="H239" s="24">
        <v>4.0168225E7</v>
      </c>
      <c r="I239" s="24" t="str">
        <f>IFERROR(__xludf.DUMMYFUNCTION("REGEXEXTRACT(E239, ""ک\s(\d{16})"")"),"6219861085979838")</f>
        <v>6219861085979838</v>
      </c>
      <c r="J239" s="25" t="s">
        <v>37</v>
      </c>
      <c r="K239" s="20" t="s">
        <v>680</v>
      </c>
      <c r="L239" s="26" t="s">
        <v>39</v>
      </c>
      <c r="M239" s="26" t="s">
        <v>40</v>
      </c>
      <c r="N239" s="27" t="s">
        <v>40</v>
      </c>
      <c r="O239" s="27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ht="25.5" customHeight="1">
      <c r="A240" s="19">
        <v>232.0</v>
      </c>
      <c r="B240" s="19" t="s">
        <v>650</v>
      </c>
      <c r="C240" s="20" t="s">
        <v>682</v>
      </c>
      <c r="D240" s="21" t="s">
        <v>35</v>
      </c>
      <c r="E240" s="21" t="s">
        <v>683</v>
      </c>
      <c r="F240" s="22">
        <v>0.0</v>
      </c>
      <c r="G240" s="23">
        <v>2.04832E7</v>
      </c>
      <c r="H240" s="24">
        <v>1.9685025E7</v>
      </c>
      <c r="I240" s="24" t="str">
        <f>IFERROR(__xludf.DUMMYFUNCTION("REGEXEXTRACT(E240, ""ک\s(\d{16})"")"),"6104338738476148")</f>
        <v>6104338738476148</v>
      </c>
      <c r="J240" s="25" t="s">
        <v>37</v>
      </c>
      <c r="K240" s="20" t="s">
        <v>684</v>
      </c>
      <c r="L240" s="26" t="s">
        <v>39</v>
      </c>
      <c r="M240" s="26" t="s">
        <v>40</v>
      </c>
      <c r="N240" s="27" t="s">
        <v>40</v>
      </c>
      <c r="O240" s="27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ht="25.5" customHeight="1">
      <c r="A241" s="19">
        <v>233.0</v>
      </c>
      <c r="B241" s="19" t="s">
        <v>650</v>
      </c>
      <c r="C241" s="20" t="s">
        <v>682</v>
      </c>
      <c r="D241" s="21" t="s">
        <v>35</v>
      </c>
      <c r="E241" s="21" t="s">
        <v>685</v>
      </c>
      <c r="F241" s="22">
        <v>0.0</v>
      </c>
      <c r="G241" s="23">
        <v>15400.0</v>
      </c>
      <c r="H241" s="24">
        <v>1.9669625E7</v>
      </c>
      <c r="I241" s="24" t="str">
        <f>IFERROR(__xludf.DUMMYFUNCTION("REGEXEXTRACT(E241, ""ک\s(\d{16})"")"),"6219861085979838")</f>
        <v>6219861085979838</v>
      </c>
      <c r="J241" s="25" t="s">
        <v>37</v>
      </c>
      <c r="K241" s="20" t="s">
        <v>684</v>
      </c>
      <c r="L241" s="26" t="s">
        <v>39</v>
      </c>
      <c r="M241" s="26" t="s">
        <v>40</v>
      </c>
      <c r="N241" s="27" t="s">
        <v>40</v>
      </c>
      <c r="O241" s="27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ht="25.5" customHeight="1">
      <c r="A242" s="19">
        <v>234.0</v>
      </c>
      <c r="B242" s="19" t="s">
        <v>650</v>
      </c>
      <c r="C242" s="20" t="s">
        <v>686</v>
      </c>
      <c r="D242" s="21" t="s">
        <v>71</v>
      </c>
      <c r="E242" s="21" t="s">
        <v>687</v>
      </c>
      <c r="F242" s="22">
        <v>0.0</v>
      </c>
      <c r="G242" s="23">
        <v>1800.0</v>
      </c>
      <c r="H242" s="24">
        <v>1.9667825E7</v>
      </c>
      <c r="I242" s="24" t="str">
        <f>IFERROR(__xludf.DUMMYFUNCTION("REGEXEXTRACT(E242, ""ک\s(\d{16})"")"),"6219861085979838")</f>
        <v>6219861085979838</v>
      </c>
      <c r="J242" s="25" t="s">
        <v>37</v>
      </c>
      <c r="K242" s="20" t="s">
        <v>688</v>
      </c>
      <c r="L242" s="26" t="s">
        <v>39</v>
      </c>
      <c r="M242" s="26" t="s">
        <v>40</v>
      </c>
      <c r="N242" s="27" t="s">
        <v>40</v>
      </c>
      <c r="O242" s="27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ht="25.5" customHeight="1">
      <c r="A243" s="19">
        <v>235.0</v>
      </c>
      <c r="B243" s="19" t="s">
        <v>650</v>
      </c>
      <c r="C243" s="20" t="s">
        <v>689</v>
      </c>
      <c r="D243" s="21" t="s">
        <v>35</v>
      </c>
      <c r="E243" s="21" t="s">
        <v>690</v>
      </c>
      <c r="F243" s="22">
        <v>0.0</v>
      </c>
      <c r="G243" s="23">
        <v>8000000.0</v>
      </c>
      <c r="H243" s="24">
        <v>1.1667825E7</v>
      </c>
      <c r="I243" s="24" t="str">
        <f>IFERROR(__xludf.DUMMYFUNCTION("REGEXEXTRACT(E243, ""ک\s(\d{16})"")"),"5029081028402846")</f>
        <v>5029081028402846</v>
      </c>
      <c r="J243" s="25" t="s">
        <v>37</v>
      </c>
      <c r="K243" s="20" t="s">
        <v>691</v>
      </c>
      <c r="L243" s="26" t="s">
        <v>39</v>
      </c>
      <c r="M243" s="26" t="s">
        <v>40</v>
      </c>
      <c r="N243" s="27" t="s">
        <v>40</v>
      </c>
      <c r="O243" s="27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ht="25.5" customHeight="1">
      <c r="A244" s="19">
        <v>236.0</v>
      </c>
      <c r="B244" s="19" t="s">
        <v>650</v>
      </c>
      <c r="C244" s="20" t="s">
        <v>689</v>
      </c>
      <c r="D244" s="21" t="s">
        <v>35</v>
      </c>
      <c r="E244" s="21" t="s">
        <v>692</v>
      </c>
      <c r="F244" s="22">
        <v>0.0</v>
      </c>
      <c r="G244" s="23">
        <v>9000.0</v>
      </c>
      <c r="H244" s="24">
        <v>1.1658825E7</v>
      </c>
      <c r="I244" s="24" t="str">
        <f>IFERROR(__xludf.DUMMYFUNCTION("REGEXEXTRACT(E244, ""ک\s(\d{16})"")"),"6219861085979838")</f>
        <v>6219861085979838</v>
      </c>
      <c r="J244" s="25" t="s">
        <v>37</v>
      </c>
      <c r="K244" s="20" t="s">
        <v>691</v>
      </c>
      <c r="L244" s="26" t="s">
        <v>39</v>
      </c>
      <c r="M244" s="26" t="s">
        <v>40</v>
      </c>
      <c r="N244" s="27" t="s">
        <v>40</v>
      </c>
      <c r="O244" s="27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ht="25.5" customHeight="1">
      <c r="A245" s="19">
        <v>237.0</v>
      </c>
      <c r="B245" s="19" t="s">
        <v>650</v>
      </c>
      <c r="C245" s="20" t="s">
        <v>693</v>
      </c>
      <c r="D245" s="21" t="s">
        <v>35</v>
      </c>
      <c r="E245" s="21" t="s">
        <v>694</v>
      </c>
      <c r="F245" s="22">
        <v>1650000.0</v>
      </c>
      <c r="G245" s="23">
        <v>0.0</v>
      </c>
      <c r="H245" s="24">
        <v>1.3308825E7</v>
      </c>
      <c r="I245" s="24" t="str">
        <f>IFERROR(__xludf.DUMMYFUNCTION("REGEXEXTRACT(E245, ""ک\s(\d{16})"")"),"5894631178082228")</f>
        <v>5894631178082228</v>
      </c>
      <c r="J245" s="25" t="s">
        <v>37</v>
      </c>
      <c r="K245" s="20" t="s">
        <v>695</v>
      </c>
      <c r="L245" s="26" t="s">
        <v>39</v>
      </c>
      <c r="M245" s="26" t="s">
        <v>40</v>
      </c>
      <c r="N245" s="27" t="s">
        <v>40</v>
      </c>
      <c r="O245" s="27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ht="25.5" customHeight="1">
      <c r="A246" s="19">
        <v>238.0</v>
      </c>
      <c r="B246" s="19" t="s">
        <v>650</v>
      </c>
      <c r="C246" s="20" t="s">
        <v>696</v>
      </c>
      <c r="D246" s="21" t="s">
        <v>35</v>
      </c>
      <c r="E246" s="21" t="s">
        <v>697</v>
      </c>
      <c r="F246" s="22">
        <v>1400000.0</v>
      </c>
      <c r="G246" s="23">
        <v>0.0</v>
      </c>
      <c r="H246" s="24">
        <v>1.4708825E7</v>
      </c>
      <c r="I246" s="24" t="str">
        <f>IFERROR(__xludf.DUMMYFUNCTION("REGEXEXTRACT(E246, ""ک\s(\d{16})"")"),"6037998190920818")</f>
        <v>6037998190920818</v>
      </c>
      <c r="J246" s="25" t="s">
        <v>37</v>
      </c>
      <c r="K246" s="20" t="s">
        <v>698</v>
      </c>
      <c r="L246" s="26" t="s">
        <v>39</v>
      </c>
      <c r="M246" s="26" t="s">
        <v>40</v>
      </c>
      <c r="N246" s="27" t="s">
        <v>40</v>
      </c>
      <c r="O246" s="27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ht="25.5" customHeight="1">
      <c r="A247" s="19">
        <v>239.0</v>
      </c>
      <c r="B247" s="19" t="s">
        <v>650</v>
      </c>
      <c r="C247" s="20" t="s">
        <v>699</v>
      </c>
      <c r="D247" s="21" t="s">
        <v>35</v>
      </c>
      <c r="E247" s="21" t="s">
        <v>700</v>
      </c>
      <c r="F247" s="22">
        <v>0.0</v>
      </c>
      <c r="G247" s="23">
        <v>5200000.0</v>
      </c>
      <c r="H247" s="24">
        <v>9508825.0</v>
      </c>
      <c r="I247" s="24" t="str">
        <f>IFERROR(__xludf.DUMMYFUNCTION("REGEXEXTRACT(E247, ""ک\s(\d{16})"")"),"6037697600840968")</f>
        <v>6037697600840968</v>
      </c>
      <c r="J247" s="25" t="s">
        <v>37</v>
      </c>
      <c r="K247" s="20" t="s">
        <v>701</v>
      </c>
      <c r="L247" s="26" t="s">
        <v>39</v>
      </c>
      <c r="M247" s="26" t="s">
        <v>40</v>
      </c>
      <c r="N247" s="27" t="s">
        <v>40</v>
      </c>
      <c r="O247" s="27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ht="25.5" customHeight="1">
      <c r="A248" s="19">
        <v>240.0</v>
      </c>
      <c r="B248" s="19" t="s">
        <v>650</v>
      </c>
      <c r="C248" s="20" t="s">
        <v>699</v>
      </c>
      <c r="D248" s="21" t="s">
        <v>35</v>
      </c>
      <c r="E248" s="21" t="s">
        <v>702</v>
      </c>
      <c r="F248" s="22">
        <v>0.0</v>
      </c>
      <c r="G248" s="23">
        <v>9000.0</v>
      </c>
      <c r="H248" s="24">
        <v>9499825.0</v>
      </c>
      <c r="I248" s="24" t="str">
        <f>IFERROR(__xludf.DUMMYFUNCTION("REGEXEXTRACT(E248, ""ک\s(\d{16})"")"),"6219861085979838")</f>
        <v>6219861085979838</v>
      </c>
      <c r="J248" s="25" t="s">
        <v>37</v>
      </c>
      <c r="K248" s="20" t="s">
        <v>701</v>
      </c>
      <c r="L248" s="26" t="s">
        <v>39</v>
      </c>
      <c r="M248" s="26" t="s">
        <v>40</v>
      </c>
      <c r="N248" s="27" t="s">
        <v>40</v>
      </c>
      <c r="O248" s="27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ht="25.5" customHeight="1">
      <c r="A249" s="19">
        <v>241.0</v>
      </c>
      <c r="B249" s="19" t="s">
        <v>703</v>
      </c>
      <c r="C249" s="20" t="s">
        <v>704</v>
      </c>
      <c r="D249" s="21" t="s">
        <v>97</v>
      </c>
      <c r="E249" s="21" t="s">
        <v>705</v>
      </c>
      <c r="F249" s="22">
        <v>1.38E8</v>
      </c>
      <c r="G249" s="23">
        <v>0.0</v>
      </c>
      <c r="H249" s="24">
        <v>1.47499825E8</v>
      </c>
      <c r="I249" s="24" t="str">
        <f>IFERROR(__xludf.DUMMYFUNCTION("REGEXEXTRACT(E249, ""ک\s(\d{16})"")"),"#N/A")</f>
        <v>#N/A</v>
      </c>
      <c r="J249" s="25" t="s">
        <v>99</v>
      </c>
      <c r="K249" s="20" t="s">
        <v>706</v>
      </c>
      <c r="L249" s="26" t="s">
        <v>39</v>
      </c>
      <c r="M249" s="26" t="s">
        <v>40</v>
      </c>
      <c r="N249" s="27" t="s">
        <v>40</v>
      </c>
      <c r="O249" s="27" t="s">
        <v>707</v>
      </c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ht="25.5" customHeight="1">
      <c r="A250" s="19">
        <v>242.0</v>
      </c>
      <c r="B250" s="19" t="s">
        <v>703</v>
      </c>
      <c r="C250" s="20" t="s">
        <v>708</v>
      </c>
      <c r="D250" s="21" t="s">
        <v>35</v>
      </c>
      <c r="E250" s="21" t="s">
        <v>709</v>
      </c>
      <c r="F250" s="22">
        <v>0.0</v>
      </c>
      <c r="G250" s="23">
        <v>7000000.0</v>
      </c>
      <c r="H250" s="24">
        <v>1.40499825E8</v>
      </c>
      <c r="I250" s="24" t="str">
        <f>IFERROR(__xludf.DUMMYFUNCTION("REGEXEXTRACT(E250, ""ک\s(\d{16})"")"),"5029081028402846")</f>
        <v>5029081028402846</v>
      </c>
      <c r="J250" s="25" t="s">
        <v>37</v>
      </c>
      <c r="K250" s="20" t="s">
        <v>710</v>
      </c>
      <c r="L250" s="26" t="s">
        <v>39</v>
      </c>
      <c r="M250" s="26" t="s">
        <v>40</v>
      </c>
      <c r="N250" s="27" t="s">
        <v>40</v>
      </c>
      <c r="O250" s="27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ht="25.5" customHeight="1">
      <c r="A251" s="19">
        <v>243.0</v>
      </c>
      <c r="B251" s="19" t="s">
        <v>703</v>
      </c>
      <c r="C251" s="20" t="s">
        <v>708</v>
      </c>
      <c r="D251" s="21" t="s">
        <v>35</v>
      </c>
      <c r="E251" s="21" t="s">
        <v>711</v>
      </c>
      <c r="F251" s="22">
        <v>0.0</v>
      </c>
      <c r="G251" s="23">
        <v>9000.0</v>
      </c>
      <c r="H251" s="24">
        <v>1.40490825E8</v>
      </c>
      <c r="I251" s="24" t="str">
        <f>IFERROR(__xludf.DUMMYFUNCTION("REGEXEXTRACT(E251, ""ک\s(\d{16})"")"),"6219861085979838")</f>
        <v>6219861085979838</v>
      </c>
      <c r="J251" s="25" t="s">
        <v>37</v>
      </c>
      <c r="K251" s="20" t="s">
        <v>710</v>
      </c>
      <c r="L251" s="26" t="s">
        <v>39</v>
      </c>
      <c r="M251" s="26" t="s">
        <v>40</v>
      </c>
      <c r="N251" s="27" t="s">
        <v>40</v>
      </c>
      <c r="O251" s="27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ht="25.5" customHeight="1">
      <c r="A252" s="19">
        <v>244.0</v>
      </c>
      <c r="B252" s="19" t="s">
        <v>703</v>
      </c>
      <c r="C252" s="20" t="s">
        <v>712</v>
      </c>
      <c r="D252" s="21" t="s">
        <v>44</v>
      </c>
      <c r="E252" s="21" t="s">
        <v>713</v>
      </c>
      <c r="F252" s="22">
        <v>0.0</v>
      </c>
      <c r="G252" s="23">
        <v>1.56E7</v>
      </c>
      <c r="H252" s="24">
        <v>1.24890825E8</v>
      </c>
      <c r="I252" s="24" t="str">
        <f>IFERROR(__xludf.DUMMYFUNCTION("REGEXEXTRACT(E252, ""ک\s(\d{16})"")"),"6219861085979838")</f>
        <v>6219861085979838</v>
      </c>
      <c r="J252" s="25" t="s">
        <v>37</v>
      </c>
      <c r="K252" s="20" t="s">
        <v>714</v>
      </c>
      <c r="L252" s="26" t="s">
        <v>39</v>
      </c>
      <c r="M252" s="26" t="s">
        <v>40</v>
      </c>
      <c r="N252" s="27" t="s">
        <v>40</v>
      </c>
      <c r="O252" s="27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ht="25.5" customHeight="1">
      <c r="A253" s="19">
        <v>245.0</v>
      </c>
      <c r="B253" s="19" t="s">
        <v>703</v>
      </c>
      <c r="C253" s="20" t="s">
        <v>715</v>
      </c>
      <c r="D253" s="21" t="s">
        <v>44</v>
      </c>
      <c r="E253" s="21" t="s">
        <v>716</v>
      </c>
      <c r="F253" s="22">
        <v>0.0</v>
      </c>
      <c r="G253" s="23">
        <v>7500000.0</v>
      </c>
      <c r="H253" s="24">
        <v>1.17390825E8</v>
      </c>
      <c r="I253" s="24" t="str">
        <f>IFERROR(__xludf.DUMMYFUNCTION("REGEXEXTRACT(E253, ""ک\s(\d{16})"")"),"6219861085979838")</f>
        <v>6219861085979838</v>
      </c>
      <c r="J253" s="25" t="s">
        <v>37</v>
      </c>
      <c r="K253" s="20" t="s">
        <v>717</v>
      </c>
      <c r="L253" s="26" t="s">
        <v>39</v>
      </c>
      <c r="M253" s="26" t="s">
        <v>40</v>
      </c>
      <c r="N253" s="27" t="s">
        <v>40</v>
      </c>
      <c r="O253" s="27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ht="25.5" customHeight="1">
      <c r="A254" s="19">
        <v>246.0</v>
      </c>
      <c r="B254" s="19" t="s">
        <v>703</v>
      </c>
      <c r="C254" s="20" t="s">
        <v>718</v>
      </c>
      <c r="D254" s="21" t="s">
        <v>35</v>
      </c>
      <c r="E254" s="21" t="s">
        <v>719</v>
      </c>
      <c r="F254" s="22">
        <v>0.0</v>
      </c>
      <c r="G254" s="23">
        <v>5.23E7</v>
      </c>
      <c r="H254" s="24">
        <v>6.5090825E7</v>
      </c>
      <c r="I254" s="24" t="str">
        <f>IFERROR(__xludf.DUMMYFUNCTION("REGEXEXTRACT(E254, ""ک\s(\d{16})"")"),"6274121208660688")</f>
        <v>6274121208660688</v>
      </c>
      <c r="J254" s="25" t="s">
        <v>37</v>
      </c>
      <c r="K254" s="20" t="s">
        <v>720</v>
      </c>
      <c r="L254" s="26" t="s">
        <v>39</v>
      </c>
      <c r="M254" s="26" t="s">
        <v>40</v>
      </c>
      <c r="N254" s="27" t="s">
        <v>40</v>
      </c>
      <c r="O254" s="27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ht="25.5" customHeight="1">
      <c r="A255" s="19">
        <v>247.0</v>
      </c>
      <c r="B255" s="19" t="s">
        <v>703</v>
      </c>
      <c r="C255" s="20" t="s">
        <v>718</v>
      </c>
      <c r="D255" s="21" t="s">
        <v>35</v>
      </c>
      <c r="E255" s="21" t="s">
        <v>721</v>
      </c>
      <c r="F255" s="22">
        <v>0.0</v>
      </c>
      <c r="G255" s="23">
        <v>25000.0</v>
      </c>
      <c r="H255" s="24">
        <v>6.5065825E7</v>
      </c>
      <c r="I255" s="24" t="str">
        <f>IFERROR(__xludf.DUMMYFUNCTION("REGEXEXTRACT(E255, ""ک\s(\d{16})"")"),"6219861085979838")</f>
        <v>6219861085979838</v>
      </c>
      <c r="J255" s="25" t="s">
        <v>37</v>
      </c>
      <c r="K255" s="20" t="s">
        <v>720</v>
      </c>
      <c r="L255" s="26" t="s">
        <v>39</v>
      </c>
      <c r="M255" s="26" t="s">
        <v>40</v>
      </c>
      <c r="N255" s="27" t="s">
        <v>40</v>
      </c>
      <c r="O255" s="27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ht="25.5" customHeight="1">
      <c r="A256" s="19">
        <v>248.0</v>
      </c>
      <c r="B256" s="19" t="s">
        <v>703</v>
      </c>
      <c r="C256" s="20" t="s">
        <v>722</v>
      </c>
      <c r="D256" s="21" t="s">
        <v>35</v>
      </c>
      <c r="E256" s="21" t="s">
        <v>723</v>
      </c>
      <c r="F256" s="22">
        <v>0.0</v>
      </c>
      <c r="G256" s="23">
        <v>1.053E7</v>
      </c>
      <c r="H256" s="24">
        <v>5.4535825E7</v>
      </c>
      <c r="I256" s="24" t="str">
        <f>IFERROR(__xludf.DUMMYFUNCTION("REGEXEXTRACT(E256, ""ک\s(\d{16})"")"),"5894631178646402")</f>
        <v>5894631178646402</v>
      </c>
      <c r="J256" s="25" t="s">
        <v>37</v>
      </c>
      <c r="K256" s="20" t="s">
        <v>724</v>
      </c>
      <c r="L256" s="26" t="s">
        <v>39</v>
      </c>
      <c r="M256" s="26" t="s">
        <v>40</v>
      </c>
      <c r="N256" s="27" t="s">
        <v>40</v>
      </c>
      <c r="O256" s="27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ht="25.5" customHeight="1">
      <c r="A257" s="19">
        <v>249.0</v>
      </c>
      <c r="B257" s="19" t="s">
        <v>703</v>
      </c>
      <c r="C257" s="20" t="s">
        <v>722</v>
      </c>
      <c r="D257" s="21" t="s">
        <v>35</v>
      </c>
      <c r="E257" s="21" t="s">
        <v>725</v>
      </c>
      <c r="F257" s="22">
        <v>0.0</v>
      </c>
      <c r="G257" s="23">
        <v>12200.0</v>
      </c>
      <c r="H257" s="24">
        <v>5.4523625E7</v>
      </c>
      <c r="I257" s="24" t="str">
        <f>IFERROR(__xludf.DUMMYFUNCTION("REGEXEXTRACT(E257, ""ک\s(\d{16})"")"),"6219861085979838")</f>
        <v>6219861085979838</v>
      </c>
      <c r="J257" s="25" t="s">
        <v>37</v>
      </c>
      <c r="K257" s="20" t="s">
        <v>724</v>
      </c>
      <c r="L257" s="26" t="s">
        <v>39</v>
      </c>
      <c r="M257" s="26" t="s">
        <v>40</v>
      </c>
      <c r="N257" s="27" t="s">
        <v>40</v>
      </c>
      <c r="O257" s="27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ht="25.5" customHeight="1">
      <c r="A258" s="19">
        <v>250.0</v>
      </c>
      <c r="B258" s="19" t="s">
        <v>703</v>
      </c>
      <c r="C258" s="20" t="s">
        <v>726</v>
      </c>
      <c r="D258" s="21" t="s">
        <v>71</v>
      </c>
      <c r="E258" s="21" t="s">
        <v>727</v>
      </c>
      <c r="F258" s="22">
        <v>0.0</v>
      </c>
      <c r="G258" s="23">
        <v>1800.0</v>
      </c>
      <c r="H258" s="24">
        <v>5.4521825E7</v>
      </c>
      <c r="I258" s="24" t="str">
        <f>IFERROR(__xludf.DUMMYFUNCTION("REGEXEXTRACT(E258, ""ک\s(\d{16})"")"),"6219861085979838")</f>
        <v>6219861085979838</v>
      </c>
      <c r="J258" s="25" t="s">
        <v>37</v>
      </c>
      <c r="K258" s="20" t="s">
        <v>728</v>
      </c>
      <c r="L258" s="26" t="s">
        <v>39</v>
      </c>
      <c r="M258" s="26" t="s">
        <v>40</v>
      </c>
      <c r="N258" s="27" t="s">
        <v>40</v>
      </c>
      <c r="O258" s="27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ht="25.5" customHeight="1">
      <c r="A259" s="19">
        <v>251.0</v>
      </c>
      <c r="B259" s="19" t="s">
        <v>703</v>
      </c>
      <c r="C259" s="20" t="s">
        <v>729</v>
      </c>
      <c r="D259" s="21" t="s">
        <v>44</v>
      </c>
      <c r="E259" s="21" t="s">
        <v>730</v>
      </c>
      <c r="F259" s="22">
        <v>0.0</v>
      </c>
      <c r="G259" s="23">
        <v>2.33E7</v>
      </c>
      <c r="H259" s="24">
        <v>3.1221825E7</v>
      </c>
      <c r="I259" s="24" t="str">
        <f>IFERROR(__xludf.DUMMYFUNCTION("REGEXEXTRACT(E259, ""ک\s(\d{16})"")"),"6219861085979838")</f>
        <v>6219861085979838</v>
      </c>
      <c r="J259" s="25" t="s">
        <v>37</v>
      </c>
      <c r="K259" s="20" t="s">
        <v>731</v>
      </c>
      <c r="L259" s="26" t="s">
        <v>39</v>
      </c>
      <c r="M259" s="26" t="s">
        <v>40</v>
      </c>
      <c r="N259" s="27" t="s">
        <v>40</v>
      </c>
      <c r="O259" s="27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ht="25.5" customHeight="1">
      <c r="A260" s="19">
        <v>252.0</v>
      </c>
      <c r="B260" s="19" t="s">
        <v>703</v>
      </c>
      <c r="C260" s="20" t="s">
        <v>732</v>
      </c>
      <c r="D260" s="21" t="s">
        <v>35</v>
      </c>
      <c r="E260" s="21" t="s">
        <v>733</v>
      </c>
      <c r="F260" s="22">
        <v>2100000.0</v>
      </c>
      <c r="G260" s="23">
        <v>0.0</v>
      </c>
      <c r="H260" s="24">
        <v>3.3321825E7</v>
      </c>
      <c r="I260" s="24" t="str">
        <f>IFERROR(__xludf.DUMMYFUNCTION("REGEXEXTRACT(E260, ""ک\s(\d{16})"")"),"6037997307504895")</f>
        <v>6037997307504895</v>
      </c>
      <c r="J260" s="25" t="s">
        <v>37</v>
      </c>
      <c r="K260" s="20" t="s">
        <v>734</v>
      </c>
      <c r="L260" s="26" t="s">
        <v>39</v>
      </c>
      <c r="M260" s="26" t="s">
        <v>40</v>
      </c>
      <c r="N260" s="27" t="s">
        <v>40</v>
      </c>
      <c r="O260" s="27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ht="25.5" customHeight="1">
      <c r="A261" s="19">
        <v>253.0</v>
      </c>
      <c r="B261" s="19" t="s">
        <v>703</v>
      </c>
      <c r="C261" s="20" t="s">
        <v>735</v>
      </c>
      <c r="D261" s="21" t="s">
        <v>71</v>
      </c>
      <c r="E261" s="21" t="s">
        <v>736</v>
      </c>
      <c r="F261" s="22">
        <v>0.0</v>
      </c>
      <c r="G261" s="23">
        <v>1800.0</v>
      </c>
      <c r="H261" s="24">
        <v>3.3320025E7</v>
      </c>
      <c r="I261" s="24" t="str">
        <f>IFERROR(__xludf.DUMMYFUNCTION("REGEXEXTRACT(E261, ""ک\s(\d{16})"")"),"6219861085979838")</f>
        <v>6219861085979838</v>
      </c>
      <c r="J261" s="25" t="s">
        <v>37</v>
      </c>
      <c r="K261" s="20" t="s">
        <v>737</v>
      </c>
      <c r="L261" s="26" t="s">
        <v>39</v>
      </c>
      <c r="M261" s="26" t="s">
        <v>40</v>
      </c>
      <c r="N261" s="27" t="s">
        <v>40</v>
      </c>
      <c r="O261" s="27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ht="25.5" customHeight="1">
      <c r="A262" s="19">
        <v>254.0</v>
      </c>
      <c r="B262" s="19" t="s">
        <v>703</v>
      </c>
      <c r="C262" s="20" t="s">
        <v>738</v>
      </c>
      <c r="D262" s="21" t="s">
        <v>35</v>
      </c>
      <c r="E262" s="21" t="s">
        <v>739</v>
      </c>
      <c r="F262" s="22">
        <v>2400000.0</v>
      </c>
      <c r="G262" s="23">
        <v>0.0</v>
      </c>
      <c r="H262" s="24">
        <v>3.5720025E7</v>
      </c>
      <c r="I262" s="24" t="str">
        <f>IFERROR(__xludf.DUMMYFUNCTION("REGEXEXTRACT(E262, ""ک\s(\d{16})"")"),"6274121202278347")</f>
        <v>6274121202278347</v>
      </c>
      <c r="J262" s="25" t="s">
        <v>37</v>
      </c>
      <c r="K262" s="20" t="s">
        <v>740</v>
      </c>
      <c r="L262" s="26" t="s">
        <v>39</v>
      </c>
      <c r="M262" s="26" t="s">
        <v>40</v>
      </c>
      <c r="N262" s="27" t="s">
        <v>40</v>
      </c>
      <c r="O262" s="27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ht="25.5" customHeight="1">
      <c r="A263" s="19">
        <v>255.0</v>
      </c>
      <c r="B263" s="19" t="s">
        <v>741</v>
      </c>
      <c r="C263" s="20" t="s">
        <v>742</v>
      </c>
      <c r="D263" s="21" t="s">
        <v>97</v>
      </c>
      <c r="E263" s="21" t="s">
        <v>743</v>
      </c>
      <c r="F263" s="22">
        <v>1.16E8</v>
      </c>
      <c r="G263" s="23">
        <v>0.0</v>
      </c>
      <c r="H263" s="24">
        <v>1.51720025E8</v>
      </c>
      <c r="I263" s="24" t="str">
        <f>IFERROR(__xludf.DUMMYFUNCTION("REGEXEXTRACT(E263, ""ک\s(\d{16})"")"),"#N/A")</f>
        <v>#N/A</v>
      </c>
      <c r="J263" s="25" t="s">
        <v>99</v>
      </c>
      <c r="K263" s="20" t="s">
        <v>744</v>
      </c>
      <c r="L263" s="26" t="s">
        <v>39</v>
      </c>
      <c r="M263" s="26" t="s">
        <v>40</v>
      </c>
      <c r="N263" s="27" t="s">
        <v>40</v>
      </c>
      <c r="O263" s="27" t="s">
        <v>745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ht="25.5" customHeight="1">
      <c r="A264" s="19">
        <v>256.0</v>
      </c>
      <c r="B264" s="19" t="s">
        <v>741</v>
      </c>
      <c r="C264" s="20" t="s">
        <v>746</v>
      </c>
      <c r="D264" s="21" t="s">
        <v>35</v>
      </c>
      <c r="E264" s="21" t="s">
        <v>747</v>
      </c>
      <c r="F264" s="22">
        <v>1400000.0</v>
      </c>
      <c r="G264" s="23">
        <v>0.0</v>
      </c>
      <c r="H264" s="24">
        <v>1.53120025E8</v>
      </c>
      <c r="I264" s="24" t="str">
        <f>IFERROR(__xludf.DUMMYFUNCTION("REGEXEXTRACT(E264, ""ک\s(\d{16})"")"),"5859831842934894")</f>
        <v>5859831842934894</v>
      </c>
      <c r="J264" s="25" t="s">
        <v>37</v>
      </c>
      <c r="K264" s="20" t="s">
        <v>748</v>
      </c>
      <c r="L264" s="26" t="s">
        <v>39</v>
      </c>
      <c r="M264" s="26" t="s">
        <v>40</v>
      </c>
      <c r="N264" s="27" t="s">
        <v>40</v>
      </c>
      <c r="O264" s="27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ht="25.5" customHeight="1">
      <c r="A265" s="19">
        <v>257.0</v>
      </c>
      <c r="B265" s="19" t="s">
        <v>741</v>
      </c>
      <c r="C265" s="20" t="s">
        <v>749</v>
      </c>
      <c r="D265" s="21" t="s">
        <v>44</v>
      </c>
      <c r="E265" s="21" t="s">
        <v>750</v>
      </c>
      <c r="F265" s="22">
        <v>0.0</v>
      </c>
      <c r="G265" s="23">
        <v>2.9373625E7</v>
      </c>
      <c r="H265" s="24">
        <v>1.237464E8</v>
      </c>
      <c r="I265" s="24" t="str">
        <f>IFERROR(__xludf.DUMMYFUNCTION("REGEXEXTRACT(E265, ""ک\s(\d{16})"")"),"6219861085979838")</f>
        <v>6219861085979838</v>
      </c>
      <c r="J265" s="25" t="s">
        <v>37</v>
      </c>
      <c r="K265" s="20" t="s">
        <v>751</v>
      </c>
      <c r="L265" s="26" t="s">
        <v>39</v>
      </c>
      <c r="M265" s="26" t="s">
        <v>40</v>
      </c>
      <c r="N265" s="27" t="s">
        <v>40</v>
      </c>
      <c r="O265" s="27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ht="25.5" customHeight="1">
      <c r="A266" s="19">
        <v>258.0</v>
      </c>
      <c r="B266" s="19" t="s">
        <v>741</v>
      </c>
      <c r="C266" s="20" t="s">
        <v>752</v>
      </c>
      <c r="D266" s="21" t="s">
        <v>44</v>
      </c>
      <c r="E266" s="21" t="s">
        <v>753</v>
      </c>
      <c r="F266" s="22">
        <v>0.0</v>
      </c>
      <c r="G266" s="23">
        <v>2.9373625E7</v>
      </c>
      <c r="H266" s="24">
        <v>9.4372775E7</v>
      </c>
      <c r="I266" s="24" t="str">
        <f>IFERROR(__xludf.DUMMYFUNCTION("REGEXEXTRACT(E266, ""ک\s(\d{16})"")"),"6219861085979838")</f>
        <v>6219861085979838</v>
      </c>
      <c r="J266" s="25" t="s">
        <v>37</v>
      </c>
      <c r="K266" s="20" t="s">
        <v>754</v>
      </c>
      <c r="L266" s="26" t="s">
        <v>39</v>
      </c>
      <c r="M266" s="26" t="s">
        <v>40</v>
      </c>
      <c r="N266" s="27" t="s">
        <v>40</v>
      </c>
      <c r="O266" s="27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ht="25.5" customHeight="1">
      <c r="A267" s="19">
        <v>259.0</v>
      </c>
      <c r="B267" s="19" t="s">
        <v>741</v>
      </c>
      <c r="C267" s="20" t="s">
        <v>755</v>
      </c>
      <c r="D267" s="21" t="s">
        <v>71</v>
      </c>
      <c r="E267" s="21" t="s">
        <v>756</v>
      </c>
      <c r="F267" s="22">
        <v>0.0</v>
      </c>
      <c r="G267" s="23">
        <v>1800.0</v>
      </c>
      <c r="H267" s="24">
        <v>9.4370975E7</v>
      </c>
      <c r="I267" s="24" t="str">
        <f>IFERROR(__xludf.DUMMYFUNCTION("REGEXEXTRACT(E267, ""ک\s(\d{16})"")"),"6219861085979838")</f>
        <v>6219861085979838</v>
      </c>
      <c r="J267" s="25" t="s">
        <v>37</v>
      </c>
      <c r="K267" s="20" t="s">
        <v>757</v>
      </c>
      <c r="L267" s="26" t="s">
        <v>39</v>
      </c>
      <c r="M267" s="26" t="s">
        <v>40</v>
      </c>
      <c r="N267" s="27" t="s">
        <v>40</v>
      </c>
      <c r="O267" s="27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ht="25.5" customHeight="1">
      <c r="A268" s="19">
        <v>260.0</v>
      </c>
      <c r="B268" s="19" t="s">
        <v>741</v>
      </c>
      <c r="C268" s="20" t="s">
        <v>758</v>
      </c>
      <c r="D268" s="21" t="s">
        <v>71</v>
      </c>
      <c r="E268" s="21" t="s">
        <v>759</v>
      </c>
      <c r="F268" s="22">
        <v>0.0</v>
      </c>
      <c r="G268" s="23">
        <v>1800.0</v>
      </c>
      <c r="H268" s="24">
        <v>9.4369175E7</v>
      </c>
      <c r="I268" s="24" t="str">
        <f>IFERROR(__xludf.DUMMYFUNCTION("REGEXEXTRACT(E268, ""ک\s(\d{16})"")"),"6219861085979838")</f>
        <v>6219861085979838</v>
      </c>
      <c r="J268" s="25" t="s">
        <v>37</v>
      </c>
      <c r="K268" s="20" t="s">
        <v>760</v>
      </c>
      <c r="L268" s="26" t="s">
        <v>39</v>
      </c>
      <c r="M268" s="26" t="s">
        <v>40</v>
      </c>
      <c r="N268" s="27" t="s">
        <v>40</v>
      </c>
      <c r="O268" s="27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ht="25.5" customHeight="1">
      <c r="A269" s="19">
        <v>261.0</v>
      </c>
      <c r="B269" s="19" t="s">
        <v>741</v>
      </c>
      <c r="C269" s="20" t="s">
        <v>761</v>
      </c>
      <c r="D269" s="21" t="s">
        <v>44</v>
      </c>
      <c r="E269" s="21" t="s">
        <v>762</v>
      </c>
      <c r="F269" s="22">
        <v>0.0</v>
      </c>
      <c r="G269" s="23">
        <v>1400000.0</v>
      </c>
      <c r="H269" s="24">
        <v>9.2969175E7</v>
      </c>
      <c r="I269" s="24" t="str">
        <f>IFERROR(__xludf.DUMMYFUNCTION("REGEXEXTRACT(E269, ""ک\s(\d{16})"")"),"6219861085979838")</f>
        <v>6219861085979838</v>
      </c>
      <c r="J269" s="25" t="s">
        <v>37</v>
      </c>
      <c r="K269" s="20" t="s">
        <v>763</v>
      </c>
      <c r="L269" s="26" t="s">
        <v>39</v>
      </c>
      <c r="M269" s="26" t="s">
        <v>40</v>
      </c>
      <c r="N269" s="27" t="s">
        <v>40</v>
      </c>
      <c r="O269" s="27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ht="25.5" customHeight="1">
      <c r="A270" s="19">
        <v>262.0</v>
      </c>
      <c r="B270" s="19" t="s">
        <v>741</v>
      </c>
      <c r="C270" s="20" t="s">
        <v>764</v>
      </c>
      <c r="D270" s="21" t="s">
        <v>78</v>
      </c>
      <c r="E270" s="21" t="s">
        <v>765</v>
      </c>
      <c r="F270" s="22">
        <v>0.0</v>
      </c>
      <c r="G270" s="23">
        <v>1229000.0</v>
      </c>
      <c r="H270" s="24">
        <v>9.1740175E7</v>
      </c>
      <c r="I270" s="24" t="str">
        <f>IFERROR(__xludf.DUMMYFUNCTION("REGEXEXTRACT(E270, ""ک\s(\d{16})"")"),"6219861085979838")</f>
        <v>6219861085979838</v>
      </c>
      <c r="J270" s="25" t="s">
        <v>37</v>
      </c>
      <c r="K270" s="20" t="s">
        <v>766</v>
      </c>
      <c r="L270" s="26" t="s">
        <v>39</v>
      </c>
      <c r="M270" s="26" t="s">
        <v>40</v>
      </c>
      <c r="N270" s="27" t="s">
        <v>40</v>
      </c>
      <c r="O270" s="27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ht="25.5" customHeight="1">
      <c r="A271" s="19">
        <v>263.0</v>
      </c>
      <c r="B271" s="19" t="s">
        <v>741</v>
      </c>
      <c r="C271" s="20" t="s">
        <v>767</v>
      </c>
      <c r="D271" s="21" t="s">
        <v>109</v>
      </c>
      <c r="E271" s="21" t="s">
        <v>768</v>
      </c>
      <c r="F271" s="22">
        <v>800000.0</v>
      </c>
      <c r="G271" s="23">
        <v>0.0</v>
      </c>
      <c r="H271" s="24">
        <v>9.2540175E7</v>
      </c>
      <c r="I271" s="24" t="str">
        <f>IFERROR(__xludf.DUMMYFUNCTION("REGEXEXTRACT(E271, ""ک\s(\d{16})"")"),"#N/A")</f>
        <v>#N/A</v>
      </c>
      <c r="J271" s="25" t="s">
        <v>111</v>
      </c>
      <c r="K271" s="20" t="s">
        <v>769</v>
      </c>
      <c r="L271" s="26" t="s">
        <v>39</v>
      </c>
      <c r="M271" s="26" t="s">
        <v>40</v>
      </c>
      <c r="N271" s="27" t="s">
        <v>40</v>
      </c>
      <c r="O271" s="27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ht="25.5" customHeight="1">
      <c r="A272" s="19">
        <v>264.0</v>
      </c>
      <c r="B272" s="19" t="s">
        <v>741</v>
      </c>
      <c r="C272" s="20" t="s">
        <v>770</v>
      </c>
      <c r="D272" s="21" t="s">
        <v>35</v>
      </c>
      <c r="E272" s="21" t="s">
        <v>771</v>
      </c>
      <c r="F272" s="22">
        <v>1100000.0</v>
      </c>
      <c r="G272" s="23">
        <v>0.0</v>
      </c>
      <c r="H272" s="24">
        <v>9.3640175E7</v>
      </c>
      <c r="I272" s="24" t="str">
        <f>IFERROR(__xludf.DUMMYFUNCTION("REGEXEXTRACT(E272, ""ک\s(\d{16})"")"),"5022291593336132")</f>
        <v>5022291593336132</v>
      </c>
      <c r="J272" s="25" t="s">
        <v>37</v>
      </c>
      <c r="K272" s="20" t="s">
        <v>772</v>
      </c>
      <c r="L272" s="26" t="s">
        <v>39</v>
      </c>
      <c r="M272" s="26" t="s">
        <v>40</v>
      </c>
      <c r="N272" s="27" t="s">
        <v>40</v>
      </c>
      <c r="O272" s="27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ht="25.5" customHeight="1">
      <c r="A273" s="19">
        <v>265.0</v>
      </c>
      <c r="B273" s="19" t="s">
        <v>741</v>
      </c>
      <c r="C273" s="20" t="s">
        <v>773</v>
      </c>
      <c r="D273" s="21" t="s">
        <v>35</v>
      </c>
      <c r="E273" s="21" t="s">
        <v>774</v>
      </c>
      <c r="F273" s="22">
        <v>600000.0</v>
      </c>
      <c r="G273" s="23">
        <v>0.0</v>
      </c>
      <c r="H273" s="24">
        <v>9.4240175E7</v>
      </c>
      <c r="I273" s="24" t="str">
        <f>IFERROR(__xludf.DUMMYFUNCTION("REGEXEXTRACT(E273, ""ک\s(\d{16})"")"),"5041721237580106")</f>
        <v>5041721237580106</v>
      </c>
      <c r="J273" s="25" t="s">
        <v>37</v>
      </c>
      <c r="K273" s="20" t="s">
        <v>775</v>
      </c>
      <c r="L273" s="26" t="s">
        <v>39</v>
      </c>
      <c r="M273" s="26" t="s">
        <v>40</v>
      </c>
      <c r="N273" s="27" t="s">
        <v>40</v>
      </c>
      <c r="O273" s="27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ht="25.5" customHeight="1">
      <c r="A274" s="19">
        <v>266.0</v>
      </c>
      <c r="B274" s="19" t="s">
        <v>741</v>
      </c>
      <c r="C274" s="20" t="s">
        <v>776</v>
      </c>
      <c r="D274" s="21" t="s">
        <v>35</v>
      </c>
      <c r="E274" s="21" t="s">
        <v>777</v>
      </c>
      <c r="F274" s="22">
        <v>0.0</v>
      </c>
      <c r="G274" s="23">
        <v>1.445E7</v>
      </c>
      <c r="H274" s="24">
        <v>7.9790175E7</v>
      </c>
      <c r="I274" s="24" t="str">
        <f>IFERROR(__xludf.DUMMYFUNCTION("REGEXEXTRACT(E274, ""ک\s(\d{16})"")"),"5894631178646402")</f>
        <v>5894631178646402</v>
      </c>
      <c r="J274" s="25" t="s">
        <v>37</v>
      </c>
      <c r="K274" s="20" t="s">
        <v>778</v>
      </c>
      <c r="L274" s="26" t="s">
        <v>39</v>
      </c>
      <c r="M274" s="26" t="s">
        <v>40</v>
      </c>
      <c r="N274" s="27" t="s">
        <v>40</v>
      </c>
      <c r="O274" s="27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ht="25.5" customHeight="1">
      <c r="A275" s="19">
        <v>267.0</v>
      </c>
      <c r="B275" s="19" t="s">
        <v>741</v>
      </c>
      <c r="C275" s="20" t="s">
        <v>776</v>
      </c>
      <c r="D275" s="21" t="s">
        <v>35</v>
      </c>
      <c r="E275" s="21" t="s">
        <v>779</v>
      </c>
      <c r="F275" s="22">
        <v>0.0</v>
      </c>
      <c r="G275" s="23">
        <v>12200.0</v>
      </c>
      <c r="H275" s="24">
        <v>7.9777975E7</v>
      </c>
      <c r="I275" s="24" t="str">
        <f>IFERROR(__xludf.DUMMYFUNCTION("REGEXEXTRACT(E275, ""ک\s(\d{16})"")"),"6219861085979838")</f>
        <v>6219861085979838</v>
      </c>
      <c r="J275" s="25" t="s">
        <v>37</v>
      </c>
      <c r="K275" s="20" t="s">
        <v>778</v>
      </c>
      <c r="L275" s="26" t="s">
        <v>39</v>
      </c>
      <c r="M275" s="26" t="s">
        <v>40</v>
      </c>
      <c r="N275" s="27" t="s">
        <v>40</v>
      </c>
      <c r="O275" s="27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ht="25.5" customHeight="1">
      <c r="A276" s="19">
        <v>268.0</v>
      </c>
      <c r="B276" s="19" t="s">
        <v>741</v>
      </c>
      <c r="C276" s="20" t="s">
        <v>780</v>
      </c>
      <c r="D276" s="21" t="s">
        <v>35</v>
      </c>
      <c r="E276" s="21" t="s">
        <v>781</v>
      </c>
      <c r="F276" s="22">
        <v>0.0</v>
      </c>
      <c r="G276" s="23">
        <v>2.02094E7</v>
      </c>
      <c r="H276" s="24">
        <v>5.9568575E7</v>
      </c>
      <c r="I276" s="24" t="str">
        <f>IFERROR(__xludf.DUMMYFUNCTION("REGEXEXTRACT(E276, ""ک\s(\d{16})"")"),"6104338738476148")</f>
        <v>6104338738476148</v>
      </c>
      <c r="J276" s="25" t="s">
        <v>37</v>
      </c>
      <c r="K276" s="20" t="s">
        <v>782</v>
      </c>
      <c r="L276" s="26" t="s">
        <v>39</v>
      </c>
      <c r="M276" s="26" t="s">
        <v>40</v>
      </c>
      <c r="N276" s="27" t="s">
        <v>40</v>
      </c>
      <c r="O276" s="27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ht="25.5" customHeight="1">
      <c r="A277" s="19">
        <v>269.0</v>
      </c>
      <c r="B277" s="19" t="s">
        <v>741</v>
      </c>
      <c r="C277" s="20" t="s">
        <v>780</v>
      </c>
      <c r="D277" s="21" t="s">
        <v>35</v>
      </c>
      <c r="E277" s="21" t="s">
        <v>783</v>
      </c>
      <c r="F277" s="22">
        <v>0.0</v>
      </c>
      <c r="G277" s="23">
        <v>15400.0</v>
      </c>
      <c r="H277" s="24">
        <v>5.9553175E7</v>
      </c>
      <c r="I277" s="24" t="str">
        <f>IFERROR(__xludf.DUMMYFUNCTION("REGEXEXTRACT(E277, ""ک\s(\d{16})"")"),"6219861085979838")</f>
        <v>6219861085979838</v>
      </c>
      <c r="J277" s="25" t="s">
        <v>37</v>
      </c>
      <c r="K277" s="20" t="s">
        <v>782</v>
      </c>
      <c r="L277" s="26" t="s">
        <v>39</v>
      </c>
      <c r="M277" s="26" t="s">
        <v>40</v>
      </c>
      <c r="N277" s="27" t="s">
        <v>40</v>
      </c>
      <c r="O277" s="27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ht="25.5" customHeight="1">
      <c r="A278" s="19">
        <v>270.0</v>
      </c>
      <c r="B278" s="19" t="s">
        <v>741</v>
      </c>
      <c r="C278" s="20" t="s">
        <v>784</v>
      </c>
      <c r="D278" s="21" t="s">
        <v>35</v>
      </c>
      <c r="E278" s="21" t="s">
        <v>785</v>
      </c>
      <c r="F278" s="22">
        <v>0.0</v>
      </c>
      <c r="G278" s="23">
        <v>3.412E7</v>
      </c>
      <c r="H278" s="24">
        <v>2.5433175E7</v>
      </c>
      <c r="I278" s="24" t="str">
        <f>IFERROR(__xludf.DUMMYFUNCTION("REGEXEXTRACT(E278, ""ک\s(\d{16})"")"),"6274121208660688")</f>
        <v>6274121208660688</v>
      </c>
      <c r="J278" s="25" t="s">
        <v>37</v>
      </c>
      <c r="K278" s="20" t="s">
        <v>786</v>
      </c>
      <c r="L278" s="26" t="s">
        <v>39</v>
      </c>
      <c r="M278" s="26" t="s">
        <v>40</v>
      </c>
      <c r="N278" s="27" t="s">
        <v>40</v>
      </c>
      <c r="O278" s="27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ht="25.5" customHeight="1">
      <c r="A279" s="19">
        <v>271.0</v>
      </c>
      <c r="B279" s="19" t="s">
        <v>741</v>
      </c>
      <c r="C279" s="20" t="s">
        <v>784</v>
      </c>
      <c r="D279" s="21" t="s">
        <v>35</v>
      </c>
      <c r="E279" s="21" t="s">
        <v>787</v>
      </c>
      <c r="F279" s="22">
        <v>0.0</v>
      </c>
      <c r="G279" s="23">
        <v>18600.0</v>
      </c>
      <c r="H279" s="24">
        <v>2.5414575E7</v>
      </c>
      <c r="I279" s="24" t="str">
        <f>IFERROR(__xludf.DUMMYFUNCTION("REGEXEXTRACT(E279, ""ک\s(\d{16})"")"),"6219861085979838")</f>
        <v>6219861085979838</v>
      </c>
      <c r="J279" s="25" t="s">
        <v>37</v>
      </c>
      <c r="K279" s="20" t="s">
        <v>786</v>
      </c>
      <c r="L279" s="26" t="s">
        <v>39</v>
      </c>
      <c r="M279" s="26" t="s">
        <v>40</v>
      </c>
      <c r="N279" s="27" t="s">
        <v>40</v>
      </c>
      <c r="O279" s="27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ht="25.5" customHeight="1">
      <c r="A280" s="19">
        <v>272.0</v>
      </c>
      <c r="B280" s="19" t="s">
        <v>741</v>
      </c>
      <c r="C280" s="20" t="s">
        <v>788</v>
      </c>
      <c r="D280" s="21" t="s">
        <v>44</v>
      </c>
      <c r="E280" s="21" t="s">
        <v>789</v>
      </c>
      <c r="F280" s="22">
        <v>0.0</v>
      </c>
      <c r="G280" s="23">
        <v>2730000.0</v>
      </c>
      <c r="H280" s="24">
        <v>2.2684575E7</v>
      </c>
      <c r="I280" s="24" t="str">
        <f>IFERROR(__xludf.DUMMYFUNCTION("REGEXEXTRACT(E280, ""ک\s(\d{16})"")"),"6219861085979838")</f>
        <v>6219861085979838</v>
      </c>
      <c r="J280" s="25" t="s">
        <v>37</v>
      </c>
      <c r="K280" s="20" t="s">
        <v>790</v>
      </c>
      <c r="L280" s="26" t="s">
        <v>39</v>
      </c>
      <c r="M280" s="26" t="s">
        <v>40</v>
      </c>
      <c r="N280" s="27" t="s">
        <v>40</v>
      </c>
      <c r="O280" s="27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ht="25.5" customHeight="1">
      <c r="A281" s="19">
        <v>273.0</v>
      </c>
      <c r="B281" s="19" t="s">
        <v>791</v>
      </c>
      <c r="C281" s="20" t="s">
        <v>792</v>
      </c>
      <c r="D281" s="21" t="s">
        <v>97</v>
      </c>
      <c r="E281" s="21" t="s">
        <v>793</v>
      </c>
      <c r="F281" s="22">
        <v>4.4E7</v>
      </c>
      <c r="G281" s="23">
        <v>0.0</v>
      </c>
      <c r="H281" s="24">
        <v>6.6684575E7</v>
      </c>
      <c r="I281" s="24" t="str">
        <f>IFERROR(__xludf.DUMMYFUNCTION("REGEXEXTRACT(E281, ""ک\s(\d{16})"")"),"#N/A")</f>
        <v>#N/A</v>
      </c>
      <c r="J281" s="25" t="s">
        <v>99</v>
      </c>
      <c r="K281" s="20" t="s">
        <v>794</v>
      </c>
      <c r="L281" s="26" t="s">
        <v>39</v>
      </c>
      <c r="M281" s="26" t="s">
        <v>40</v>
      </c>
      <c r="N281" s="27" t="s">
        <v>40</v>
      </c>
      <c r="O281" s="27" t="s">
        <v>795</v>
      </c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ht="25.5" customHeight="1">
      <c r="A282" s="19">
        <v>274.0</v>
      </c>
      <c r="B282" s="19" t="s">
        <v>791</v>
      </c>
      <c r="C282" s="20" t="s">
        <v>796</v>
      </c>
      <c r="D282" s="21" t="s">
        <v>97</v>
      </c>
      <c r="E282" s="21" t="s">
        <v>797</v>
      </c>
      <c r="F282" s="22">
        <v>5.9E7</v>
      </c>
      <c r="G282" s="23">
        <v>0.0</v>
      </c>
      <c r="H282" s="24">
        <v>1.25684575E8</v>
      </c>
      <c r="I282" s="24" t="str">
        <f>IFERROR(__xludf.DUMMYFUNCTION("REGEXEXTRACT(E282, ""ک\s(\d{16})"")"),"#N/A")</f>
        <v>#N/A</v>
      </c>
      <c r="J282" s="25" t="s">
        <v>99</v>
      </c>
      <c r="K282" s="20" t="s">
        <v>798</v>
      </c>
      <c r="L282" s="26" t="s">
        <v>39</v>
      </c>
      <c r="M282" s="26" t="s">
        <v>40</v>
      </c>
      <c r="N282" s="27" t="s">
        <v>40</v>
      </c>
      <c r="O282" s="27" t="s">
        <v>799</v>
      </c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ht="25.5" customHeight="1">
      <c r="A283" s="19">
        <v>275.0</v>
      </c>
      <c r="B283" s="19" t="s">
        <v>791</v>
      </c>
      <c r="C283" s="20" t="s">
        <v>800</v>
      </c>
      <c r="D283" s="21" t="s">
        <v>44</v>
      </c>
      <c r="E283" s="21" t="s">
        <v>801</v>
      </c>
      <c r="F283" s="22">
        <v>0.0</v>
      </c>
      <c r="G283" s="23">
        <v>1.56E7</v>
      </c>
      <c r="H283" s="24">
        <v>1.10084575E8</v>
      </c>
      <c r="I283" s="24" t="str">
        <f>IFERROR(__xludf.DUMMYFUNCTION("REGEXEXTRACT(E283, ""ک\s(\d{16})"")"),"6219861085979838")</f>
        <v>6219861085979838</v>
      </c>
      <c r="J283" s="25" t="s">
        <v>37</v>
      </c>
      <c r="K283" s="20" t="s">
        <v>802</v>
      </c>
      <c r="L283" s="26" t="s">
        <v>39</v>
      </c>
      <c r="M283" s="26" t="s">
        <v>40</v>
      </c>
      <c r="N283" s="27" t="s">
        <v>40</v>
      </c>
      <c r="O283" s="27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ht="25.5" customHeight="1">
      <c r="A284" s="19">
        <v>276.0</v>
      </c>
      <c r="B284" s="19" t="s">
        <v>791</v>
      </c>
      <c r="C284" s="20" t="s">
        <v>803</v>
      </c>
      <c r="D284" s="21" t="s">
        <v>71</v>
      </c>
      <c r="E284" s="21" t="s">
        <v>804</v>
      </c>
      <c r="F284" s="22">
        <v>0.0</v>
      </c>
      <c r="G284" s="23">
        <v>1800.0</v>
      </c>
      <c r="H284" s="24">
        <v>1.10082775E8</v>
      </c>
      <c r="I284" s="24" t="str">
        <f>IFERROR(__xludf.DUMMYFUNCTION("REGEXEXTRACT(E284, ""ک\s(\d{16})"")"),"6219861085979838")</f>
        <v>6219861085979838</v>
      </c>
      <c r="J284" s="25" t="s">
        <v>37</v>
      </c>
      <c r="K284" s="20" t="s">
        <v>805</v>
      </c>
      <c r="L284" s="26" t="s">
        <v>39</v>
      </c>
      <c r="M284" s="26" t="s">
        <v>40</v>
      </c>
      <c r="N284" s="27" t="s">
        <v>40</v>
      </c>
      <c r="O284" s="27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ht="25.5" customHeight="1">
      <c r="A285" s="19">
        <v>277.0</v>
      </c>
      <c r="B285" s="19" t="s">
        <v>791</v>
      </c>
      <c r="C285" s="20" t="s">
        <v>806</v>
      </c>
      <c r="D285" s="21" t="s">
        <v>35</v>
      </c>
      <c r="E285" s="21" t="s">
        <v>807</v>
      </c>
      <c r="F285" s="22">
        <v>0.0</v>
      </c>
      <c r="G285" s="23">
        <v>7000000.0</v>
      </c>
      <c r="H285" s="24">
        <v>1.03082775E8</v>
      </c>
      <c r="I285" s="24" t="str">
        <f>IFERROR(__xludf.DUMMYFUNCTION("REGEXEXTRACT(E285, ""ک\s(\d{16})"")"),"5859831103338371")</f>
        <v>5859831103338371</v>
      </c>
      <c r="J285" s="25" t="s">
        <v>37</v>
      </c>
      <c r="K285" s="20" t="s">
        <v>808</v>
      </c>
      <c r="L285" s="26" t="s">
        <v>39</v>
      </c>
      <c r="M285" s="26" t="s">
        <v>40</v>
      </c>
      <c r="N285" s="27" t="s">
        <v>40</v>
      </c>
      <c r="O285" s="27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ht="25.5" customHeight="1">
      <c r="A286" s="19">
        <v>278.0</v>
      </c>
      <c r="B286" s="19" t="s">
        <v>791</v>
      </c>
      <c r="C286" s="20" t="s">
        <v>806</v>
      </c>
      <c r="D286" s="21" t="s">
        <v>35</v>
      </c>
      <c r="E286" s="21" t="s">
        <v>809</v>
      </c>
      <c r="F286" s="22">
        <v>0.0</v>
      </c>
      <c r="G286" s="23">
        <v>9000.0</v>
      </c>
      <c r="H286" s="24">
        <v>1.03073775E8</v>
      </c>
      <c r="I286" s="24" t="str">
        <f>IFERROR(__xludf.DUMMYFUNCTION("REGEXEXTRACT(E286, ""ک\s(\d{16})"")"),"6219861085979838")</f>
        <v>6219861085979838</v>
      </c>
      <c r="J286" s="25" t="s">
        <v>37</v>
      </c>
      <c r="K286" s="20" t="s">
        <v>808</v>
      </c>
      <c r="L286" s="26" t="s">
        <v>39</v>
      </c>
      <c r="M286" s="26" t="s">
        <v>40</v>
      </c>
      <c r="N286" s="27" t="s">
        <v>40</v>
      </c>
      <c r="O286" s="27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ht="25.5" customHeight="1">
      <c r="A287" s="19">
        <v>279.0</v>
      </c>
      <c r="B287" s="19" t="s">
        <v>791</v>
      </c>
      <c r="C287" s="20" t="s">
        <v>810</v>
      </c>
      <c r="D287" s="21" t="s">
        <v>35</v>
      </c>
      <c r="E287" s="21" t="s">
        <v>811</v>
      </c>
      <c r="F287" s="22">
        <v>0.0</v>
      </c>
      <c r="G287" s="23">
        <v>1.06E7</v>
      </c>
      <c r="H287" s="24">
        <v>9.2473775E7</v>
      </c>
      <c r="I287" s="24" t="str">
        <f>IFERROR(__xludf.DUMMYFUNCTION("REGEXEXTRACT(E287, ""ک\s(\d{16})"")"),"5894631178646402")</f>
        <v>5894631178646402</v>
      </c>
      <c r="J287" s="25" t="s">
        <v>37</v>
      </c>
      <c r="K287" s="20" t="s">
        <v>812</v>
      </c>
      <c r="L287" s="26" t="s">
        <v>39</v>
      </c>
      <c r="M287" s="26" t="s">
        <v>40</v>
      </c>
      <c r="N287" s="27" t="s">
        <v>40</v>
      </c>
      <c r="O287" s="2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ht="25.5" customHeight="1">
      <c r="A288" s="19">
        <v>280.0</v>
      </c>
      <c r="B288" s="19" t="s">
        <v>791</v>
      </c>
      <c r="C288" s="20" t="s">
        <v>810</v>
      </c>
      <c r="D288" s="21" t="s">
        <v>35</v>
      </c>
      <c r="E288" s="21" t="s">
        <v>813</v>
      </c>
      <c r="F288" s="22">
        <v>0.0</v>
      </c>
      <c r="G288" s="23">
        <v>12200.0</v>
      </c>
      <c r="H288" s="24">
        <v>9.2461575E7</v>
      </c>
      <c r="I288" s="24" t="str">
        <f>IFERROR(__xludf.DUMMYFUNCTION("REGEXEXTRACT(E288, ""ک\s(\d{16})"")"),"6219861085979838")</f>
        <v>6219861085979838</v>
      </c>
      <c r="J288" s="25" t="s">
        <v>37</v>
      </c>
      <c r="K288" s="20" t="s">
        <v>812</v>
      </c>
      <c r="L288" s="26" t="s">
        <v>39</v>
      </c>
      <c r="M288" s="26" t="s">
        <v>40</v>
      </c>
      <c r="N288" s="27" t="s">
        <v>40</v>
      </c>
      <c r="O288" s="27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ht="25.5" customHeight="1">
      <c r="A289" s="19">
        <v>281.0</v>
      </c>
      <c r="B289" s="19" t="s">
        <v>791</v>
      </c>
      <c r="C289" s="20" t="s">
        <v>814</v>
      </c>
      <c r="D289" s="21" t="s">
        <v>35</v>
      </c>
      <c r="E289" s="21" t="s">
        <v>815</v>
      </c>
      <c r="F289" s="22">
        <v>0.0</v>
      </c>
      <c r="G289" s="23">
        <v>5.91E7</v>
      </c>
      <c r="H289" s="24">
        <v>3.3361575E7</v>
      </c>
      <c r="I289" s="24" t="str">
        <f>IFERROR(__xludf.DUMMYFUNCTION("REGEXEXTRACT(E289, ""ک\s(\d{16})"")"),"6274121208660688")</f>
        <v>6274121208660688</v>
      </c>
      <c r="J289" s="25" t="s">
        <v>37</v>
      </c>
      <c r="K289" s="20" t="s">
        <v>816</v>
      </c>
      <c r="L289" s="26" t="s">
        <v>39</v>
      </c>
      <c r="M289" s="26" t="s">
        <v>40</v>
      </c>
      <c r="N289" s="27" t="s">
        <v>40</v>
      </c>
      <c r="O289" s="27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ht="25.5" customHeight="1">
      <c r="A290" s="19">
        <v>282.0</v>
      </c>
      <c r="B290" s="19" t="s">
        <v>791</v>
      </c>
      <c r="C290" s="20" t="s">
        <v>814</v>
      </c>
      <c r="D290" s="21" t="s">
        <v>35</v>
      </c>
      <c r="E290" s="21" t="s">
        <v>817</v>
      </c>
      <c r="F290" s="22">
        <v>0.0</v>
      </c>
      <c r="G290" s="23">
        <v>25000.0</v>
      </c>
      <c r="H290" s="24">
        <v>3.3336575E7</v>
      </c>
      <c r="I290" s="24" t="str">
        <f>IFERROR(__xludf.DUMMYFUNCTION("REGEXEXTRACT(E290, ""ک\s(\d{16})"")"),"6219861085979838")</f>
        <v>6219861085979838</v>
      </c>
      <c r="J290" s="25" t="s">
        <v>37</v>
      </c>
      <c r="K290" s="20" t="s">
        <v>816</v>
      </c>
      <c r="L290" s="26" t="s">
        <v>39</v>
      </c>
      <c r="M290" s="26" t="s">
        <v>40</v>
      </c>
      <c r="N290" s="27" t="s">
        <v>40</v>
      </c>
      <c r="O290" s="27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ht="25.5" customHeight="1">
      <c r="A291" s="19">
        <v>283.0</v>
      </c>
      <c r="B291" s="19" t="s">
        <v>791</v>
      </c>
      <c r="C291" s="20" t="s">
        <v>818</v>
      </c>
      <c r="D291" s="21" t="s">
        <v>35</v>
      </c>
      <c r="E291" s="21" t="s">
        <v>819</v>
      </c>
      <c r="F291" s="22">
        <v>0.0</v>
      </c>
      <c r="G291" s="23">
        <v>2.0498E7</v>
      </c>
      <c r="H291" s="24">
        <v>1.2838575E7</v>
      </c>
      <c r="I291" s="24" t="str">
        <f>IFERROR(__xludf.DUMMYFUNCTION("REGEXEXTRACT(E291, ""ک\s(\d{16})"")"),"6104338738476148")</f>
        <v>6104338738476148</v>
      </c>
      <c r="J291" s="25" t="s">
        <v>37</v>
      </c>
      <c r="K291" s="20" t="s">
        <v>820</v>
      </c>
      <c r="L291" s="26" t="s">
        <v>39</v>
      </c>
      <c r="M291" s="26" t="s">
        <v>40</v>
      </c>
      <c r="N291" s="27" t="s">
        <v>40</v>
      </c>
      <c r="O291" s="27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ht="25.5" customHeight="1">
      <c r="A292" s="19">
        <v>284.0</v>
      </c>
      <c r="B292" s="19" t="s">
        <v>791</v>
      </c>
      <c r="C292" s="20" t="s">
        <v>818</v>
      </c>
      <c r="D292" s="21" t="s">
        <v>35</v>
      </c>
      <c r="E292" s="21" t="s">
        <v>821</v>
      </c>
      <c r="F292" s="22">
        <v>0.0</v>
      </c>
      <c r="G292" s="23">
        <v>15400.0</v>
      </c>
      <c r="H292" s="24">
        <v>1.2823175E7</v>
      </c>
      <c r="I292" s="24" t="str">
        <f>IFERROR(__xludf.DUMMYFUNCTION("REGEXEXTRACT(E292, ""ک\s(\d{16})"")"),"6219861085979838")</f>
        <v>6219861085979838</v>
      </c>
      <c r="J292" s="25" t="s">
        <v>37</v>
      </c>
      <c r="K292" s="20" t="s">
        <v>820</v>
      </c>
      <c r="L292" s="26" t="s">
        <v>39</v>
      </c>
      <c r="M292" s="26" t="s">
        <v>40</v>
      </c>
      <c r="N292" s="27" t="s">
        <v>40</v>
      </c>
      <c r="O292" s="27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ht="25.5" customHeight="1">
      <c r="A293" s="19">
        <v>285.0</v>
      </c>
      <c r="B293" s="19" t="s">
        <v>791</v>
      </c>
      <c r="C293" s="20" t="s">
        <v>822</v>
      </c>
      <c r="D293" s="21" t="s">
        <v>35</v>
      </c>
      <c r="E293" s="21" t="s">
        <v>823</v>
      </c>
      <c r="F293" s="22">
        <v>1350000.0</v>
      </c>
      <c r="G293" s="23">
        <v>0.0</v>
      </c>
      <c r="H293" s="24">
        <v>1.4173175E7</v>
      </c>
      <c r="I293" s="24" t="str">
        <f>IFERROR(__xludf.DUMMYFUNCTION("REGEXEXTRACT(E293, ""ک\s(\d{16})"")"),"5859831168886793")</f>
        <v>5859831168886793</v>
      </c>
      <c r="J293" s="25" t="s">
        <v>37</v>
      </c>
      <c r="K293" s="20" t="s">
        <v>824</v>
      </c>
      <c r="L293" s="26" t="s">
        <v>39</v>
      </c>
      <c r="M293" s="26" t="s">
        <v>40</v>
      </c>
      <c r="N293" s="27" t="s">
        <v>40</v>
      </c>
      <c r="O293" s="27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ht="25.5" customHeight="1">
      <c r="A294" s="19">
        <v>286.0</v>
      </c>
      <c r="B294" s="19" t="s">
        <v>791</v>
      </c>
      <c r="C294" s="20" t="s">
        <v>825</v>
      </c>
      <c r="D294" s="21" t="s">
        <v>35</v>
      </c>
      <c r="E294" s="21" t="s">
        <v>826</v>
      </c>
      <c r="F294" s="22">
        <v>1750000.0</v>
      </c>
      <c r="G294" s="23">
        <v>0.0</v>
      </c>
      <c r="H294" s="24">
        <v>1.5923175E7</v>
      </c>
      <c r="I294" s="24" t="str">
        <f>IFERROR(__xludf.DUMMYFUNCTION("REGEXEXTRACT(E294, ""ک\s(\d{16})"")"),"6037998176433810")</f>
        <v>6037998176433810</v>
      </c>
      <c r="J294" s="25" t="s">
        <v>37</v>
      </c>
      <c r="K294" s="20" t="s">
        <v>827</v>
      </c>
      <c r="L294" s="26" t="s">
        <v>39</v>
      </c>
      <c r="M294" s="26" t="s">
        <v>40</v>
      </c>
      <c r="N294" s="27" t="s">
        <v>40</v>
      </c>
      <c r="O294" s="27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ht="25.5" customHeight="1">
      <c r="A295" s="19">
        <v>287.0</v>
      </c>
      <c r="B295" s="19" t="s">
        <v>828</v>
      </c>
      <c r="C295" s="20" t="s">
        <v>829</v>
      </c>
      <c r="D295" s="21" t="s">
        <v>97</v>
      </c>
      <c r="E295" s="21" t="s">
        <v>830</v>
      </c>
      <c r="F295" s="22">
        <v>7.2E7</v>
      </c>
      <c r="G295" s="23">
        <v>0.0</v>
      </c>
      <c r="H295" s="24">
        <v>8.7923175E7</v>
      </c>
      <c r="I295" s="24" t="str">
        <f>IFERROR(__xludf.DUMMYFUNCTION("REGEXEXTRACT(E295, ""ک\s(\d{16})"")"),"#N/A")</f>
        <v>#N/A</v>
      </c>
      <c r="J295" s="25" t="s">
        <v>99</v>
      </c>
      <c r="K295" s="20" t="s">
        <v>831</v>
      </c>
      <c r="L295" s="26" t="s">
        <v>39</v>
      </c>
      <c r="M295" s="26" t="s">
        <v>40</v>
      </c>
      <c r="N295" s="27" t="s">
        <v>40</v>
      </c>
      <c r="O295" s="27" t="s">
        <v>832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ht="25.5" customHeight="1">
      <c r="A296" s="19">
        <v>288.0</v>
      </c>
      <c r="B296" s="19" t="s">
        <v>828</v>
      </c>
      <c r="C296" s="20" t="s">
        <v>833</v>
      </c>
      <c r="D296" s="21" t="s">
        <v>97</v>
      </c>
      <c r="E296" s="21" t="s">
        <v>834</v>
      </c>
      <c r="F296" s="22">
        <v>6.8E7</v>
      </c>
      <c r="G296" s="23">
        <v>0.0</v>
      </c>
      <c r="H296" s="24">
        <v>1.55923175E8</v>
      </c>
      <c r="I296" s="24" t="str">
        <f>IFERROR(__xludf.DUMMYFUNCTION("REGEXEXTRACT(E296, ""ک\s(\d{16})"")"),"#N/A")</f>
        <v>#N/A</v>
      </c>
      <c r="J296" s="25" t="s">
        <v>99</v>
      </c>
      <c r="K296" s="20" t="s">
        <v>835</v>
      </c>
      <c r="L296" s="26" t="s">
        <v>39</v>
      </c>
      <c r="M296" s="26" t="s">
        <v>40</v>
      </c>
      <c r="N296" s="27" t="s">
        <v>40</v>
      </c>
      <c r="O296" s="27" t="s">
        <v>836</v>
      </c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ht="25.5" customHeight="1">
      <c r="A297" s="19">
        <v>289.0</v>
      </c>
      <c r="B297" s="19" t="s">
        <v>828</v>
      </c>
      <c r="C297" s="20" t="s">
        <v>837</v>
      </c>
      <c r="D297" s="21" t="s">
        <v>44</v>
      </c>
      <c r="E297" s="21" t="s">
        <v>838</v>
      </c>
      <c r="F297" s="22">
        <v>0.0</v>
      </c>
      <c r="G297" s="23">
        <v>1.56E7</v>
      </c>
      <c r="H297" s="24">
        <v>1.40323175E8</v>
      </c>
      <c r="I297" s="24" t="str">
        <f>IFERROR(__xludf.DUMMYFUNCTION("REGEXEXTRACT(E297, ""ک\s(\d{16})"")"),"6219861085979838")</f>
        <v>6219861085979838</v>
      </c>
      <c r="J297" s="25" t="s">
        <v>37</v>
      </c>
      <c r="K297" s="20" t="s">
        <v>839</v>
      </c>
      <c r="L297" s="26" t="s">
        <v>39</v>
      </c>
      <c r="M297" s="26" t="s">
        <v>40</v>
      </c>
      <c r="N297" s="27" t="s">
        <v>40</v>
      </c>
      <c r="O297" s="27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ht="25.5" customHeight="1">
      <c r="A298" s="19">
        <v>290.0</v>
      </c>
      <c r="B298" s="19" t="s">
        <v>828</v>
      </c>
      <c r="C298" s="20" t="s">
        <v>840</v>
      </c>
      <c r="D298" s="21" t="s">
        <v>71</v>
      </c>
      <c r="E298" s="21" t="s">
        <v>841</v>
      </c>
      <c r="F298" s="22">
        <v>0.0</v>
      </c>
      <c r="G298" s="23">
        <v>1800.0</v>
      </c>
      <c r="H298" s="24">
        <v>1.40321375E8</v>
      </c>
      <c r="I298" s="24" t="str">
        <f>IFERROR(__xludf.DUMMYFUNCTION("REGEXEXTRACT(E298, ""ک\s(\d{16})"")"),"6219861085979838")</f>
        <v>6219861085979838</v>
      </c>
      <c r="J298" s="25" t="s">
        <v>37</v>
      </c>
      <c r="K298" s="20" t="s">
        <v>842</v>
      </c>
      <c r="L298" s="26" t="s">
        <v>39</v>
      </c>
      <c r="M298" s="26" t="s">
        <v>40</v>
      </c>
      <c r="N298" s="27" t="s">
        <v>40</v>
      </c>
      <c r="O298" s="27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ht="25.5" customHeight="1">
      <c r="A299" s="19">
        <v>291.0</v>
      </c>
      <c r="B299" s="19" t="s">
        <v>828</v>
      </c>
      <c r="C299" s="20" t="s">
        <v>843</v>
      </c>
      <c r="D299" s="21" t="s">
        <v>35</v>
      </c>
      <c r="E299" s="21" t="s">
        <v>844</v>
      </c>
      <c r="F299" s="22">
        <v>0.0</v>
      </c>
      <c r="G299" s="23">
        <v>1.364E7</v>
      </c>
      <c r="H299" s="24">
        <v>1.26681375E8</v>
      </c>
      <c r="I299" s="24" t="str">
        <f>IFERROR(__xludf.DUMMYFUNCTION("REGEXEXTRACT(E299, ""ک\s(\d{16})"")"),"5894631178646402")</f>
        <v>5894631178646402</v>
      </c>
      <c r="J299" s="25" t="s">
        <v>37</v>
      </c>
      <c r="K299" s="20" t="s">
        <v>845</v>
      </c>
      <c r="L299" s="26" t="s">
        <v>39</v>
      </c>
      <c r="M299" s="26" t="s">
        <v>40</v>
      </c>
      <c r="N299" s="27" t="s">
        <v>40</v>
      </c>
      <c r="O299" s="27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ht="25.5" customHeight="1">
      <c r="A300" s="19">
        <v>292.0</v>
      </c>
      <c r="B300" s="19" t="s">
        <v>828</v>
      </c>
      <c r="C300" s="20" t="s">
        <v>843</v>
      </c>
      <c r="D300" s="21" t="s">
        <v>35</v>
      </c>
      <c r="E300" s="21" t="s">
        <v>846</v>
      </c>
      <c r="F300" s="22">
        <v>0.0</v>
      </c>
      <c r="G300" s="23">
        <v>12200.0</v>
      </c>
      <c r="H300" s="24">
        <v>1.26669175E8</v>
      </c>
      <c r="I300" s="24" t="str">
        <f>IFERROR(__xludf.DUMMYFUNCTION("REGEXEXTRACT(E300, ""ک\s(\d{16})"")"),"6219861085979838")</f>
        <v>6219861085979838</v>
      </c>
      <c r="J300" s="25" t="s">
        <v>37</v>
      </c>
      <c r="K300" s="20" t="s">
        <v>845</v>
      </c>
      <c r="L300" s="26" t="s">
        <v>39</v>
      </c>
      <c r="M300" s="26" t="s">
        <v>40</v>
      </c>
      <c r="N300" s="27" t="s">
        <v>40</v>
      </c>
      <c r="O300" s="27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ht="25.5" customHeight="1">
      <c r="A301" s="19">
        <v>293.0</v>
      </c>
      <c r="B301" s="19" t="s">
        <v>828</v>
      </c>
      <c r="C301" s="20" t="s">
        <v>847</v>
      </c>
      <c r="D301" s="21" t="s">
        <v>35</v>
      </c>
      <c r="E301" s="21" t="s">
        <v>848</v>
      </c>
      <c r="F301" s="22">
        <v>0.0</v>
      </c>
      <c r="G301" s="23">
        <v>2.171E7</v>
      </c>
      <c r="H301" s="24">
        <v>1.04959175E8</v>
      </c>
      <c r="I301" s="24" t="str">
        <f>IFERROR(__xludf.DUMMYFUNCTION("REGEXEXTRACT(E301, ""ک\s(\d{16})"")"),"6274121208660688")</f>
        <v>6274121208660688</v>
      </c>
      <c r="J301" s="25" t="s">
        <v>37</v>
      </c>
      <c r="K301" s="20" t="s">
        <v>849</v>
      </c>
      <c r="L301" s="26" t="s">
        <v>39</v>
      </c>
      <c r="M301" s="26" t="s">
        <v>40</v>
      </c>
      <c r="N301" s="27" t="s">
        <v>40</v>
      </c>
      <c r="O301" s="27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ht="25.5" customHeight="1">
      <c r="A302" s="19">
        <v>294.0</v>
      </c>
      <c r="B302" s="19" t="s">
        <v>828</v>
      </c>
      <c r="C302" s="20" t="s">
        <v>847</v>
      </c>
      <c r="D302" s="21" t="s">
        <v>35</v>
      </c>
      <c r="E302" s="21" t="s">
        <v>850</v>
      </c>
      <c r="F302" s="22">
        <v>0.0</v>
      </c>
      <c r="G302" s="23">
        <v>15400.0</v>
      </c>
      <c r="H302" s="24">
        <v>1.04943775E8</v>
      </c>
      <c r="I302" s="24" t="str">
        <f>IFERROR(__xludf.DUMMYFUNCTION("REGEXEXTRACT(E302, ""ک\s(\d{16})"")"),"6219861085979838")</f>
        <v>6219861085979838</v>
      </c>
      <c r="J302" s="25" t="s">
        <v>37</v>
      </c>
      <c r="K302" s="20" t="s">
        <v>849</v>
      </c>
      <c r="L302" s="26" t="s">
        <v>39</v>
      </c>
      <c r="M302" s="26" t="s">
        <v>40</v>
      </c>
      <c r="N302" s="27" t="s">
        <v>40</v>
      </c>
      <c r="O302" s="27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ht="25.5" customHeight="1">
      <c r="A303" s="19">
        <v>295.0</v>
      </c>
      <c r="B303" s="19" t="s">
        <v>828</v>
      </c>
      <c r="C303" s="20" t="s">
        <v>851</v>
      </c>
      <c r="D303" s="21" t="s">
        <v>35</v>
      </c>
      <c r="E303" s="21" t="s">
        <v>852</v>
      </c>
      <c r="F303" s="22">
        <v>0.0</v>
      </c>
      <c r="G303" s="23">
        <v>5.0E7</v>
      </c>
      <c r="H303" s="24">
        <v>5.4943775E7</v>
      </c>
      <c r="I303" s="24" t="str">
        <f>IFERROR(__xludf.DUMMYFUNCTION("REGEXEXTRACT(E303, ""ک\s(\d{16})"")"),"6037697709482571")</f>
        <v>6037697709482571</v>
      </c>
      <c r="J303" s="25" t="s">
        <v>37</v>
      </c>
      <c r="K303" s="20" t="s">
        <v>853</v>
      </c>
      <c r="L303" s="26" t="s">
        <v>39</v>
      </c>
      <c r="M303" s="26" t="s">
        <v>40</v>
      </c>
      <c r="N303" s="27" t="s">
        <v>40</v>
      </c>
      <c r="O303" s="27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ht="25.5" customHeight="1">
      <c r="A304" s="19">
        <v>296.0</v>
      </c>
      <c r="B304" s="19" t="s">
        <v>828</v>
      </c>
      <c r="C304" s="20" t="s">
        <v>851</v>
      </c>
      <c r="D304" s="21" t="s">
        <v>35</v>
      </c>
      <c r="E304" s="21" t="s">
        <v>854</v>
      </c>
      <c r="F304" s="22">
        <v>0.0</v>
      </c>
      <c r="G304" s="23">
        <v>21800.0</v>
      </c>
      <c r="H304" s="24">
        <v>5.4921975E7</v>
      </c>
      <c r="I304" s="24" t="str">
        <f>IFERROR(__xludf.DUMMYFUNCTION("REGEXEXTRACT(E304, ""ک\s(\d{16})"")"),"6219861085979838")</f>
        <v>6219861085979838</v>
      </c>
      <c r="J304" s="25" t="s">
        <v>37</v>
      </c>
      <c r="K304" s="20" t="s">
        <v>853</v>
      </c>
      <c r="L304" s="26" t="s">
        <v>39</v>
      </c>
      <c r="M304" s="26" t="s">
        <v>40</v>
      </c>
      <c r="N304" s="27" t="s">
        <v>40</v>
      </c>
      <c r="O304" s="27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ht="25.5" customHeight="1">
      <c r="A305" s="19">
        <v>297.0</v>
      </c>
      <c r="B305" s="19" t="s">
        <v>828</v>
      </c>
      <c r="C305" s="20" t="s">
        <v>855</v>
      </c>
      <c r="D305" s="21" t="s">
        <v>35</v>
      </c>
      <c r="E305" s="21" t="s">
        <v>856</v>
      </c>
      <c r="F305" s="22">
        <v>0.0</v>
      </c>
      <c r="G305" s="23">
        <v>1.05E7</v>
      </c>
      <c r="H305" s="24">
        <v>4.4421975E7</v>
      </c>
      <c r="I305" s="24" t="str">
        <f>IFERROR(__xludf.DUMMYFUNCTION("REGEXEXTRACT(E305, ""ک\s(\d{16})"")"),"5894631178646402")</f>
        <v>5894631178646402</v>
      </c>
      <c r="J305" s="25" t="s">
        <v>37</v>
      </c>
      <c r="K305" s="20" t="s">
        <v>857</v>
      </c>
      <c r="L305" s="26" t="s">
        <v>39</v>
      </c>
      <c r="M305" s="26" t="s">
        <v>40</v>
      </c>
      <c r="N305" s="27" t="s">
        <v>40</v>
      </c>
      <c r="O305" s="27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ht="25.5" customHeight="1">
      <c r="A306" s="19">
        <v>298.0</v>
      </c>
      <c r="B306" s="19" t="s">
        <v>828</v>
      </c>
      <c r="C306" s="20" t="s">
        <v>855</v>
      </c>
      <c r="D306" s="21" t="s">
        <v>35</v>
      </c>
      <c r="E306" s="21" t="s">
        <v>858</v>
      </c>
      <c r="F306" s="22">
        <v>0.0</v>
      </c>
      <c r="G306" s="23">
        <v>12200.0</v>
      </c>
      <c r="H306" s="24">
        <v>4.4409775E7</v>
      </c>
      <c r="I306" s="24" t="str">
        <f>IFERROR(__xludf.DUMMYFUNCTION("REGEXEXTRACT(E306, ""ک\s(\d{16})"")"),"6219861085979838")</f>
        <v>6219861085979838</v>
      </c>
      <c r="J306" s="25" t="s">
        <v>37</v>
      </c>
      <c r="K306" s="20" t="s">
        <v>857</v>
      </c>
      <c r="L306" s="26" t="s">
        <v>39</v>
      </c>
      <c r="M306" s="26" t="s">
        <v>40</v>
      </c>
      <c r="N306" s="27" t="s">
        <v>40</v>
      </c>
      <c r="O306" s="27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ht="25.5" customHeight="1">
      <c r="A307" s="19">
        <v>299.0</v>
      </c>
      <c r="B307" s="19" t="s">
        <v>859</v>
      </c>
      <c r="C307" s="20" t="s">
        <v>860</v>
      </c>
      <c r="D307" s="21" t="s">
        <v>97</v>
      </c>
      <c r="E307" s="21" t="s">
        <v>861</v>
      </c>
      <c r="F307" s="22">
        <v>9.3E7</v>
      </c>
      <c r="G307" s="23">
        <v>0.0</v>
      </c>
      <c r="H307" s="24">
        <v>1.37409775E8</v>
      </c>
      <c r="I307" s="24" t="str">
        <f>IFERROR(__xludf.DUMMYFUNCTION("REGEXEXTRACT(E307, ""ک\s(\d{16})"")"),"#N/A")</f>
        <v>#N/A</v>
      </c>
      <c r="J307" s="25" t="s">
        <v>99</v>
      </c>
      <c r="K307" s="20" t="s">
        <v>862</v>
      </c>
      <c r="L307" s="26" t="s">
        <v>39</v>
      </c>
      <c r="M307" s="26" t="s">
        <v>40</v>
      </c>
      <c r="N307" s="27" t="s">
        <v>40</v>
      </c>
      <c r="O307" s="27" t="s">
        <v>863</v>
      </c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ht="25.5" customHeight="1">
      <c r="A308" s="19">
        <v>300.0</v>
      </c>
      <c r="B308" s="19" t="s">
        <v>864</v>
      </c>
      <c r="C308" s="20" t="s">
        <v>865</v>
      </c>
      <c r="D308" s="21" t="s">
        <v>44</v>
      </c>
      <c r="E308" s="21" t="s">
        <v>866</v>
      </c>
      <c r="F308" s="22">
        <v>0.0</v>
      </c>
      <c r="G308" s="23">
        <v>5400000.0</v>
      </c>
      <c r="H308" s="24">
        <v>1.32009775E8</v>
      </c>
      <c r="I308" s="24" t="str">
        <f>IFERROR(__xludf.DUMMYFUNCTION("REGEXEXTRACT(E308, ""ک\s(\d{16})"")"),"6219861085979838")</f>
        <v>6219861085979838</v>
      </c>
      <c r="J308" s="25" t="s">
        <v>37</v>
      </c>
      <c r="K308" s="20" t="s">
        <v>867</v>
      </c>
      <c r="L308" s="26" t="s">
        <v>39</v>
      </c>
      <c r="M308" s="26" t="s">
        <v>40</v>
      </c>
      <c r="N308" s="27" t="s">
        <v>40</v>
      </c>
      <c r="O308" s="27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ht="25.5" customHeight="1">
      <c r="A309" s="19">
        <v>301.0</v>
      </c>
      <c r="B309" s="19" t="s">
        <v>864</v>
      </c>
      <c r="C309" s="20" t="s">
        <v>868</v>
      </c>
      <c r="D309" s="21" t="s">
        <v>44</v>
      </c>
      <c r="E309" s="21" t="s">
        <v>869</v>
      </c>
      <c r="F309" s="22">
        <v>0.0</v>
      </c>
      <c r="G309" s="23">
        <v>3.42E7</v>
      </c>
      <c r="H309" s="24">
        <v>9.7809775E7</v>
      </c>
      <c r="I309" s="24" t="str">
        <f>IFERROR(__xludf.DUMMYFUNCTION("REGEXEXTRACT(E309, ""ک\s(\d{16})"")"),"6219861085979838")</f>
        <v>6219861085979838</v>
      </c>
      <c r="J309" s="25" t="s">
        <v>37</v>
      </c>
      <c r="K309" s="20" t="s">
        <v>870</v>
      </c>
      <c r="L309" s="26" t="s">
        <v>39</v>
      </c>
      <c r="M309" s="26" t="s">
        <v>40</v>
      </c>
      <c r="N309" s="27" t="s">
        <v>40</v>
      </c>
      <c r="O309" s="27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ht="25.5" customHeight="1">
      <c r="A310" s="19">
        <v>302.0</v>
      </c>
      <c r="B310" s="19" t="s">
        <v>864</v>
      </c>
      <c r="C310" s="20" t="s">
        <v>871</v>
      </c>
      <c r="D310" s="21" t="s">
        <v>35</v>
      </c>
      <c r="E310" s="21" t="s">
        <v>872</v>
      </c>
      <c r="F310" s="22">
        <v>900000.0</v>
      </c>
      <c r="G310" s="23">
        <v>0.0</v>
      </c>
      <c r="H310" s="24">
        <v>9.8709775E7</v>
      </c>
      <c r="I310" s="24" t="str">
        <f>IFERROR(__xludf.DUMMYFUNCTION("REGEXEXTRACT(E310, ""ک\s(\d{16})"")"),"6037998268673539")</f>
        <v>6037998268673539</v>
      </c>
      <c r="J310" s="25" t="s">
        <v>37</v>
      </c>
      <c r="K310" s="20" t="s">
        <v>873</v>
      </c>
      <c r="L310" s="26" t="s">
        <v>39</v>
      </c>
      <c r="M310" s="26" t="s">
        <v>40</v>
      </c>
      <c r="N310" s="27" t="s">
        <v>40</v>
      </c>
      <c r="O310" s="27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ht="25.5" customHeight="1">
      <c r="A311" s="19">
        <v>303.0</v>
      </c>
      <c r="B311" s="19" t="s">
        <v>864</v>
      </c>
      <c r="C311" s="20" t="s">
        <v>874</v>
      </c>
      <c r="D311" s="21" t="s">
        <v>71</v>
      </c>
      <c r="E311" s="21" t="s">
        <v>875</v>
      </c>
      <c r="F311" s="22">
        <v>0.0</v>
      </c>
      <c r="G311" s="23">
        <v>1800.0</v>
      </c>
      <c r="H311" s="24">
        <v>9.8707975E7</v>
      </c>
      <c r="I311" s="24" t="str">
        <f>IFERROR(__xludf.DUMMYFUNCTION("REGEXEXTRACT(E311, ""ک\s(\d{16})"")"),"6219861085979838")</f>
        <v>6219861085979838</v>
      </c>
      <c r="J311" s="25" t="s">
        <v>37</v>
      </c>
      <c r="K311" s="20" t="s">
        <v>876</v>
      </c>
      <c r="L311" s="26" t="s">
        <v>39</v>
      </c>
      <c r="M311" s="26" t="s">
        <v>40</v>
      </c>
      <c r="N311" s="27" t="s">
        <v>40</v>
      </c>
      <c r="O311" s="27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ht="25.5" customHeight="1">
      <c r="A312" s="19">
        <v>304.0</v>
      </c>
      <c r="B312" s="19" t="s">
        <v>864</v>
      </c>
      <c r="C312" s="20" t="s">
        <v>877</v>
      </c>
      <c r="D312" s="21" t="s">
        <v>44</v>
      </c>
      <c r="E312" s="21" t="s">
        <v>878</v>
      </c>
      <c r="F312" s="22">
        <v>0.0</v>
      </c>
      <c r="G312" s="23">
        <v>6500000.0</v>
      </c>
      <c r="H312" s="24">
        <v>9.2207975E7</v>
      </c>
      <c r="I312" s="24" t="str">
        <f>IFERROR(__xludf.DUMMYFUNCTION("REGEXEXTRACT(E312, ""ک\s(\d{16})"")"),"6219861085979838")</f>
        <v>6219861085979838</v>
      </c>
      <c r="J312" s="25" t="s">
        <v>37</v>
      </c>
      <c r="K312" s="20" t="s">
        <v>879</v>
      </c>
      <c r="L312" s="26" t="s">
        <v>39</v>
      </c>
      <c r="M312" s="26" t="s">
        <v>40</v>
      </c>
      <c r="N312" s="27" t="s">
        <v>40</v>
      </c>
      <c r="O312" s="27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ht="25.5" customHeight="1">
      <c r="A313" s="19">
        <v>305.0</v>
      </c>
      <c r="B313" s="19" t="s">
        <v>864</v>
      </c>
      <c r="C313" s="20" t="s">
        <v>880</v>
      </c>
      <c r="D313" s="21" t="s">
        <v>44</v>
      </c>
      <c r="E313" s="21" t="s">
        <v>881</v>
      </c>
      <c r="F313" s="22">
        <v>0.0</v>
      </c>
      <c r="G313" s="23">
        <v>1.45E7</v>
      </c>
      <c r="H313" s="24">
        <v>7.7707975E7</v>
      </c>
      <c r="I313" s="24" t="str">
        <f>IFERROR(__xludf.DUMMYFUNCTION("REGEXEXTRACT(E313, ""ک\s(\d{16})"")"),"6219861085979838")</f>
        <v>6219861085979838</v>
      </c>
      <c r="J313" s="25" t="s">
        <v>37</v>
      </c>
      <c r="K313" s="20" t="s">
        <v>882</v>
      </c>
      <c r="L313" s="26" t="s">
        <v>39</v>
      </c>
      <c r="M313" s="26" t="s">
        <v>40</v>
      </c>
      <c r="N313" s="27" t="s">
        <v>40</v>
      </c>
      <c r="O313" s="27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ht="25.5" customHeight="1">
      <c r="A314" s="19">
        <v>306.0</v>
      </c>
      <c r="B314" s="19" t="s">
        <v>864</v>
      </c>
      <c r="C314" s="20" t="s">
        <v>883</v>
      </c>
      <c r="D314" s="21" t="s">
        <v>35</v>
      </c>
      <c r="E314" s="21" t="s">
        <v>884</v>
      </c>
      <c r="F314" s="22">
        <v>2200000.0</v>
      </c>
      <c r="G314" s="23">
        <v>0.0</v>
      </c>
      <c r="H314" s="24">
        <v>7.9907975E7</v>
      </c>
      <c r="I314" s="24" t="str">
        <f>IFERROR(__xludf.DUMMYFUNCTION("REGEXEXTRACT(E314, ""ک\s(\d{16})"")"),"5859831141763309")</f>
        <v>5859831141763309</v>
      </c>
      <c r="J314" s="25" t="s">
        <v>37</v>
      </c>
      <c r="K314" s="20" t="s">
        <v>885</v>
      </c>
      <c r="L314" s="26" t="s">
        <v>39</v>
      </c>
      <c r="M314" s="26" t="s">
        <v>40</v>
      </c>
      <c r="N314" s="27" t="s">
        <v>40</v>
      </c>
      <c r="O314" s="27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ht="25.5" customHeight="1">
      <c r="A315" s="19">
        <v>307.0</v>
      </c>
      <c r="B315" s="19" t="s">
        <v>864</v>
      </c>
      <c r="C315" s="20" t="s">
        <v>886</v>
      </c>
      <c r="D315" s="21" t="s">
        <v>71</v>
      </c>
      <c r="E315" s="21" t="s">
        <v>887</v>
      </c>
      <c r="F315" s="22">
        <v>0.0</v>
      </c>
      <c r="G315" s="23">
        <v>1800.0</v>
      </c>
      <c r="H315" s="24">
        <v>7.9906175E7</v>
      </c>
      <c r="I315" s="24" t="str">
        <f>IFERROR(__xludf.DUMMYFUNCTION("REGEXEXTRACT(E315, ""ک\s(\d{16})"")"),"6219861085979838")</f>
        <v>6219861085979838</v>
      </c>
      <c r="J315" s="25" t="s">
        <v>37</v>
      </c>
      <c r="K315" s="20" t="s">
        <v>888</v>
      </c>
      <c r="L315" s="26" t="s">
        <v>39</v>
      </c>
      <c r="M315" s="26" t="s">
        <v>40</v>
      </c>
      <c r="N315" s="27" t="s">
        <v>40</v>
      </c>
      <c r="O315" s="27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ht="25.5" customHeight="1">
      <c r="A316" s="19">
        <v>308.0</v>
      </c>
      <c r="B316" s="19" t="s">
        <v>864</v>
      </c>
      <c r="C316" s="20" t="s">
        <v>889</v>
      </c>
      <c r="D316" s="21" t="s">
        <v>35</v>
      </c>
      <c r="E316" s="21" t="s">
        <v>890</v>
      </c>
      <c r="F316" s="22">
        <v>0.0</v>
      </c>
      <c r="G316" s="23">
        <v>2.07496E7</v>
      </c>
      <c r="H316" s="24">
        <v>5.9156575E7</v>
      </c>
      <c r="I316" s="24" t="str">
        <f>IFERROR(__xludf.DUMMYFUNCTION("REGEXEXTRACT(E316, ""ک\s(\d{16})"")"),"6104338738476148")</f>
        <v>6104338738476148</v>
      </c>
      <c r="J316" s="25" t="s">
        <v>37</v>
      </c>
      <c r="K316" s="20" t="s">
        <v>891</v>
      </c>
      <c r="L316" s="26" t="s">
        <v>39</v>
      </c>
      <c r="M316" s="26" t="s">
        <v>40</v>
      </c>
      <c r="N316" s="27" t="s">
        <v>40</v>
      </c>
      <c r="O316" s="27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ht="25.5" customHeight="1">
      <c r="A317" s="19">
        <v>309.0</v>
      </c>
      <c r="B317" s="19" t="s">
        <v>864</v>
      </c>
      <c r="C317" s="20" t="s">
        <v>889</v>
      </c>
      <c r="D317" s="21" t="s">
        <v>35</v>
      </c>
      <c r="E317" s="21" t="s">
        <v>892</v>
      </c>
      <c r="F317" s="22">
        <v>0.0</v>
      </c>
      <c r="G317" s="23">
        <v>15400.0</v>
      </c>
      <c r="H317" s="24">
        <v>5.9141175E7</v>
      </c>
      <c r="I317" s="24" t="str">
        <f>IFERROR(__xludf.DUMMYFUNCTION("REGEXEXTRACT(E317, ""ک\s(\d{16})"")"),"6219861085979838")</f>
        <v>6219861085979838</v>
      </c>
      <c r="J317" s="25" t="s">
        <v>37</v>
      </c>
      <c r="K317" s="20" t="s">
        <v>891</v>
      </c>
      <c r="L317" s="26" t="s">
        <v>39</v>
      </c>
      <c r="M317" s="26" t="s">
        <v>40</v>
      </c>
      <c r="N317" s="27" t="s">
        <v>40</v>
      </c>
      <c r="O317" s="27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ht="25.5" customHeight="1">
      <c r="A318" s="19">
        <v>310.0</v>
      </c>
      <c r="B318" s="19" t="s">
        <v>864</v>
      </c>
      <c r="C318" s="20" t="s">
        <v>893</v>
      </c>
      <c r="D318" s="21" t="s">
        <v>35</v>
      </c>
      <c r="E318" s="21" t="s">
        <v>894</v>
      </c>
      <c r="F318" s="22">
        <v>0.0</v>
      </c>
      <c r="G318" s="23">
        <v>4.0E7</v>
      </c>
      <c r="H318" s="24">
        <v>1.9141175E7</v>
      </c>
      <c r="I318" s="24" t="str">
        <f>IFERROR(__xludf.DUMMYFUNCTION("REGEXEXTRACT(E318, ""ک\s(\d{16})"")"),"6280238033262159")</f>
        <v>6280238033262159</v>
      </c>
      <c r="J318" s="25" t="s">
        <v>37</v>
      </c>
      <c r="K318" s="20" t="s">
        <v>895</v>
      </c>
      <c r="L318" s="26" t="s">
        <v>39</v>
      </c>
      <c r="M318" s="26" t="s">
        <v>40</v>
      </c>
      <c r="N318" s="27" t="s">
        <v>40</v>
      </c>
      <c r="O318" s="27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ht="25.5" customHeight="1">
      <c r="A319" s="19">
        <v>311.0</v>
      </c>
      <c r="B319" s="19" t="s">
        <v>864</v>
      </c>
      <c r="C319" s="20" t="s">
        <v>893</v>
      </c>
      <c r="D319" s="21" t="s">
        <v>35</v>
      </c>
      <c r="E319" s="21" t="s">
        <v>896</v>
      </c>
      <c r="F319" s="22">
        <v>0.0</v>
      </c>
      <c r="G319" s="23">
        <v>18600.0</v>
      </c>
      <c r="H319" s="24">
        <v>1.9122575E7</v>
      </c>
      <c r="I319" s="24" t="str">
        <f>IFERROR(__xludf.DUMMYFUNCTION("REGEXEXTRACT(E319, ""ک\s(\d{16})"")"),"6219861085979838")</f>
        <v>6219861085979838</v>
      </c>
      <c r="J319" s="25" t="s">
        <v>37</v>
      </c>
      <c r="K319" s="20" t="s">
        <v>895</v>
      </c>
      <c r="L319" s="26" t="s">
        <v>39</v>
      </c>
      <c r="M319" s="26" t="s">
        <v>40</v>
      </c>
      <c r="N319" s="27" t="s">
        <v>40</v>
      </c>
      <c r="O319" s="27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ht="25.5" customHeight="1">
      <c r="A320" s="19">
        <v>312.0</v>
      </c>
      <c r="B320" s="19" t="s">
        <v>897</v>
      </c>
      <c r="C320" s="20" t="s">
        <v>898</v>
      </c>
      <c r="D320" s="21" t="s">
        <v>97</v>
      </c>
      <c r="E320" s="21" t="s">
        <v>899</v>
      </c>
      <c r="F320" s="22">
        <v>1.74E8</v>
      </c>
      <c r="G320" s="23">
        <v>0.0</v>
      </c>
      <c r="H320" s="24">
        <v>1.93122575E8</v>
      </c>
      <c r="I320" s="24" t="str">
        <f>IFERROR(__xludf.DUMMYFUNCTION("REGEXEXTRACT(E320, ""ک\s(\d{16})"")"),"#N/A")</f>
        <v>#N/A</v>
      </c>
      <c r="J320" s="25" t="s">
        <v>99</v>
      </c>
      <c r="K320" s="20" t="s">
        <v>900</v>
      </c>
      <c r="L320" s="26" t="s">
        <v>39</v>
      </c>
      <c r="M320" s="26" t="s">
        <v>40</v>
      </c>
      <c r="N320" s="27" t="s">
        <v>40</v>
      </c>
      <c r="O320" s="27" t="s">
        <v>901</v>
      </c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ht="25.5" customHeight="1">
      <c r="A321" s="19">
        <v>313.0</v>
      </c>
      <c r="B321" s="19" t="s">
        <v>897</v>
      </c>
      <c r="C321" s="20" t="s">
        <v>902</v>
      </c>
      <c r="D321" s="21" t="s">
        <v>44</v>
      </c>
      <c r="E321" s="21" t="s">
        <v>903</v>
      </c>
      <c r="F321" s="22">
        <v>0.0</v>
      </c>
      <c r="G321" s="23">
        <v>1.56E7</v>
      </c>
      <c r="H321" s="24">
        <v>1.77522575E8</v>
      </c>
      <c r="I321" s="24" t="str">
        <f>IFERROR(__xludf.DUMMYFUNCTION("REGEXEXTRACT(E321, ""ک\s(\d{16})"")"),"6219861085979838")</f>
        <v>6219861085979838</v>
      </c>
      <c r="J321" s="25" t="s">
        <v>37</v>
      </c>
      <c r="K321" s="20" t="s">
        <v>904</v>
      </c>
      <c r="L321" s="26" t="s">
        <v>39</v>
      </c>
      <c r="M321" s="26" t="s">
        <v>40</v>
      </c>
      <c r="N321" s="27" t="s">
        <v>40</v>
      </c>
      <c r="O321" s="27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ht="25.5" customHeight="1">
      <c r="A322" s="19">
        <v>314.0</v>
      </c>
      <c r="B322" s="19" t="s">
        <v>897</v>
      </c>
      <c r="C322" s="20" t="s">
        <v>905</v>
      </c>
      <c r="D322" s="21" t="s">
        <v>44</v>
      </c>
      <c r="E322" s="21" t="s">
        <v>906</v>
      </c>
      <c r="F322" s="22">
        <v>0.0</v>
      </c>
      <c r="G322" s="23">
        <v>5.00526E7</v>
      </c>
      <c r="H322" s="24">
        <v>1.27469975E8</v>
      </c>
      <c r="I322" s="24" t="str">
        <f>IFERROR(__xludf.DUMMYFUNCTION("REGEXEXTRACT(E322, ""ک\s(\d{16})"")"),"6219861085979838")</f>
        <v>6219861085979838</v>
      </c>
      <c r="J322" s="25" t="s">
        <v>37</v>
      </c>
      <c r="K322" s="20" t="s">
        <v>907</v>
      </c>
      <c r="L322" s="26" t="s">
        <v>39</v>
      </c>
      <c r="M322" s="26" t="s">
        <v>40</v>
      </c>
      <c r="N322" s="27" t="s">
        <v>40</v>
      </c>
      <c r="O322" s="27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ht="25.5" customHeight="1">
      <c r="A323" s="19">
        <v>315.0</v>
      </c>
      <c r="B323" s="19" t="s">
        <v>897</v>
      </c>
      <c r="C323" s="20" t="s">
        <v>908</v>
      </c>
      <c r="D323" s="21" t="s">
        <v>44</v>
      </c>
      <c r="E323" s="21" t="s">
        <v>909</v>
      </c>
      <c r="F323" s="22">
        <v>0.0</v>
      </c>
      <c r="G323" s="23">
        <v>800000.0</v>
      </c>
      <c r="H323" s="24">
        <v>1.26669975E8</v>
      </c>
      <c r="I323" s="24" t="str">
        <f>IFERROR(__xludf.DUMMYFUNCTION("REGEXEXTRACT(E323, ""ک\s(\d{16})"")"),"6219861085979838")</f>
        <v>6219861085979838</v>
      </c>
      <c r="J323" s="25" t="s">
        <v>37</v>
      </c>
      <c r="K323" s="20" t="s">
        <v>910</v>
      </c>
      <c r="L323" s="26" t="s">
        <v>39</v>
      </c>
      <c r="M323" s="26" t="s">
        <v>40</v>
      </c>
      <c r="N323" s="27" t="s">
        <v>40</v>
      </c>
      <c r="O323" s="27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ht="25.5" customHeight="1">
      <c r="A324" s="19">
        <v>316.0</v>
      </c>
      <c r="B324" s="19" t="s">
        <v>897</v>
      </c>
      <c r="C324" s="20" t="s">
        <v>911</v>
      </c>
      <c r="D324" s="21" t="s">
        <v>35</v>
      </c>
      <c r="E324" s="21" t="s">
        <v>912</v>
      </c>
      <c r="F324" s="22">
        <v>1500000.0</v>
      </c>
      <c r="G324" s="23">
        <v>0.0</v>
      </c>
      <c r="H324" s="24">
        <v>1.28169975E8</v>
      </c>
      <c r="I324" s="24" t="str">
        <f>IFERROR(__xludf.DUMMYFUNCTION("REGEXEXTRACT(E324, ""ک\s(\d{16})"")"),"5894631136109329")</f>
        <v>5894631136109329</v>
      </c>
      <c r="J324" s="25" t="s">
        <v>37</v>
      </c>
      <c r="K324" s="20" t="s">
        <v>913</v>
      </c>
      <c r="L324" s="26" t="s">
        <v>39</v>
      </c>
      <c r="M324" s="26" t="s">
        <v>40</v>
      </c>
      <c r="N324" s="27" t="s">
        <v>40</v>
      </c>
      <c r="O324" s="27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ht="25.5" customHeight="1">
      <c r="A325" s="19">
        <v>317.0</v>
      </c>
      <c r="B325" s="19" t="s">
        <v>897</v>
      </c>
      <c r="C325" s="20" t="s">
        <v>914</v>
      </c>
      <c r="D325" s="21" t="s">
        <v>35</v>
      </c>
      <c r="E325" s="21" t="s">
        <v>915</v>
      </c>
      <c r="F325" s="22">
        <v>600000.0</v>
      </c>
      <c r="G325" s="23">
        <v>0.0</v>
      </c>
      <c r="H325" s="24">
        <v>1.28769975E8</v>
      </c>
      <c r="I325" s="24" t="str">
        <f>IFERROR(__xludf.DUMMYFUNCTION("REGEXEXTRACT(E325, ""ک\s(\d{16})"")"),"6037997153050548")</f>
        <v>6037997153050548</v>
      </c>
      <c r="J325" s="25" t="s">
        <v>37</v>
      </c>
      <c r="K325" s="20" t="s">
        <v>916</v>
      </c>
      <c r="L325" s="26" t="s">
        <v>39</v>
      </c>
      <c r="M325" s="26" t="s">
        <v>40</v>
      </c>
      <c r="N325" s="27" t="s">
        <v>40</v>
      </c>
      <c r="O325" s="27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ht="25.5" customHeight="1">
      <c r="A326" s="19">
        <v>318.0</v>
      </c>
      <c r="B326" s="19" t="s">
        <v>897</v>
      </c>
      <c r="C326" s="20" t="s">
        <v>917</v>
      </c>
      <c r="D326" s="21" t="s">
        <v>918</v>
      </c>
      <c r="E326" s="21" t="s">
        <v>919</v>
      </c>
      <c r="F326" s="22">
        <v>1.5E8</v>
      </c>
      <c r="G326" s="23">
        <v>0.0</v>
      </c>
      <c r="H326" s="24">
        <v>2.78769975E8</v>
      </c>
      <c r="I326" s="24" t="str">
        <f>IFERROR(__xludf.DUMMYFUNCTION("REGEXEXTRACT(E326, ""ک\s(\d{16})"")"),"#N/A")</f>
        <v>#N/A</v>
      </c>
      <c r="J326" s="25" t="s">
        <v>920</v>
      </c>
      <c r="K326" s="20" t="s">
        <v>921</v>
      </c>
      <c r="L326" s="26" t="s">
        <v>39</v>
      </c>
      <c r="M326" s="26" t="s">
        <v>40</v>
      </c>
      <c r="N326" s="27" t="s">
        <v>40</v>
      </c>
      <c r="O326" s="27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ht="25.5" customHeight="1">
      <c r="A327" s="19">
        <v>319.0</v>
      </c>
      <c r="B327" s="19" t="s">
        <v>897</v>
      </c>
      <c r="C327" s="20" t="s">
        <v>922</v>
      </c>
      <c r="D327" s="21" t="s">
        <v>44</v>
      </c>
      <c r="E327" s="21" t="s">
        <v>923</v>
      </c>
      <c r="F327" s="22">
        <v>0.0</v>
      </c>
      <c r="G327" s="23">
        <v>2.9373625E7</v>
      </c>
      <c r="H327" s="24">
        <v>2.4939635E8</v>
      </c>
      <c r="I327" s="24" t="str">
        <f>IFERROR(__xludf.DUMMYFUNCTION("REGEXEXTRACT(E327, ""ک\s(\d{16})"")"),"6219861085979838")</f>
        <v>6219861085979838</v>
      </c>
      <c r="J327" s="25" t="s">
        <v>37</v>
      </c>
      <c r="K327" s="20" t="s">
        <v>924</v>
      </c>
      <c r="L327" s="26" t="s">
        <v>39</v>
      </c>
      <c r="M327" s="26" t="s">
        <v>40</v>
      </c>
      <c r="N327" s="27" t="s">
        <v>40</v>
      </c>
      <c r="O327" s="27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ht="25.5" customHeight="1">
      <c r="A328" s="19">
        <v>320.0</v>
      </c>
      <c r="B328" s="19" t="s">
        <v>897</v>
      </c>
      <c r="C328" s="20" t="s">
        <v>925</v>
      </c>
      <c r="D328" s="21" t="s">
        <v>44</v>
      </c>
      <c r="E328" s="21" t="s">
        <v>926</v>
      </c>
      <c r="F328" s="22">
        <v>0.0</v>
      </c>
      <c r="G328" s="23">
        <v>2.9373625E7</v>
      </c>
      <c r="H328" s="24">
        <v>2.20022725E8</v>
      </c>
      <c r="I328" s="24" t="str">
        <f>IFERROR(__xludf.DUMMYFUNCTION("REGEXEXTRACT(E328, ""ک\s(\d{16})"")"),"6219861085979838")</f>
        <v>6219861085979838</v>
      </c>
      <c r="J328" s="25" t="s">
        <v>37</v>
      </c>
      <c r="K328" s="20" t="s">
        <v>927</v>
      </c>
      <c r="L328" s="26" t="s">
        <v>39</v>
      </c>
      <c r="M328" s="26" t="s">
        <v>40</v>
      </c>
      <c r="N328" s="27" t="s">
        <v>40</v>
      </c>
      <c r="O328" s="27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ht="25.5" customHeight="1">
      <c r="A329" s="19">
        <v>321.0</v>
      </c>
      <c r="B329" s="19" t="s">
        <v>897</v>
      </c>
      <c r="C329" s="20" t="s">
        <v>928</v>
      </c>
      <c r="D329" s="21" t="s">
        <v>44</v>
      </c>
      <c r="E329" s="21" t="s">
        <v>929</v>
      </c>
      <c r="F329" s="22">
        <v>0.0</v>
      </c>
      <c r="G329" s="23">
        <v>2.9373625E7</v>
      </c>
      <c r="H329" s="24">
        <v>1.906491E8</v>
      </c>
      <c r="I329" s="24" t="str">
        <f>IFERROR(__xludf.DUMMYFUNCTION("REGEXEXTRACT(E329, ""ک\s(\d{16})"")"),"6219861085979838")</f>
        <v>6219861085979838</v>
      </c>
      <c r="J329" s="25" t="s">
        <v>37</v>
      </c>
      <c r="K329" s="20" t="s">
        <v>930</v>
      </c>
      <c r="L329" s="26" t="s">
        <v>39</v>
      </c>
      <c r="M329" s="26" t="s">
        <v>40</v>
      </c>
      <c r="N329" s="27" t="s">
        <v>40</v>
      </c>
      <c r="O329" s="27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ht="25.5" customHeight="1">
      <c r="A330" s="19">
        <v>322.0</v>
      </c>
      <c r="B330" s="19" t="s">
        <v>897</v>
      </c>
      <c r="C330" s="20" t="s">
        <v>931</v>
      </c>
      <c r="D330" s="21" t="s">
        <v>44</v>
      </c>
      <c r="E330" s="21" t="s">
        <v>932</v>
      </c>
      <c r="F330" s="22">
        <v>0.0</v>
      </c>
      <c r="G330" s="23">
        <v>2.9373625E7</v>
      </c>
      <c r="H330" s="24">
        <v>1.61275475E8</v>
      </c>
      <c r="I330" s="24" t="str">
        <f>IFERROR(__xludf.DUMMYFUNCTION("REGEXEXTRACT(E330, ""ک\s(\d{16})"")"),"6219861085979838")</f>
        <v>6219861085979838</v>
      </c>
      <c r="J330" s="25" t="s">
        <v>37</v>
      </c>
      <c r="K330" s="20" t="s">
        <v>933</v>
      </c>
      <c r="L330" s="26" t="s">
        <v>39</v>
      </c>
      <c r="M330" s="26" t="s">
        <v>40</v>
      </c>
      <c r="N330" s="27" t="s">
        <v>40</v>
      </c>
      <c r="O330" s="27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ht="25.5" customHeight="1">
      <c r="A331" s="19">
        <v>323.0</v>
      </c>
      <c r="B331" s="19" t="s">
        <v>897</v>
      </c>
      <c r="C331" s="20" t="s">
        <v>934</v>
      </c>
      <c r="D331" s="21" t="s">
        <v>44</v>
      </c>
      <c r="E331" s="21" t="s">
        <v>923</v>
      </c>
      <c r="F331" s="22">
        <v>0.0</v>
      </c>
      <c r="G331" s="23">
        <v>2.9373625E7</v>
      </c>
      <c r="H331" s="24">
        <v>1.3190185E8</v>
      </c>
      <c r="I331" s="24" t="str">
        <f>IFERROR(__xludf.DUMMYFUNCTION("REGEXEXTRACT(E331, ""ک\s(\d{16})"")"),"6219861085979838")</f>
        <v>6219861085979838</v>
      </c>
      <c r="J331" s="25" t="s">
        <v>37</v>
      </c>
      <c r="K331" s="20" t="s">
        <v>935</v>
      </c>
      <c r="L331" s="26" t="s">
        <v>39</v>
      </c>
      <c r="M331" s="26" t="s">
        <v>40</v>
      </c>
      <c r="N331" s="27" t="s">
        <v>40</v>
      </c>
      <c r="O331" s="27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ht="25.5" customHeight="1">
      <c r="A332" s="19">
        <v>324.0</v>
      </c>
      <c r="B332" s="19" t="s">
        <v>897</v>
      </c>
      <c r="C332" s="20" t="s">
        <v>936</v>
      </c>
      <c r="D332" s="21" t="s">
        <v>44</v>
      </c>
      <c r="E332" s="21" t="s">
        <v>929</v>
      </c>
      <c r="F332" s="22">
        <v>0.0</v>
      </c>
      <c r="G332" s="23">
        <v>2.9373625E7</v>
      </c>
      <c r="H332" s="24">
        <v>1.02528225E8</v>
      </c>
      <c r="I332" s="24" t="str">
        <f>IFERROR(__xludf.DUMMYFUNCTION("REGEXEXTRACT(E332, ""ک\s(\d{16})"")"),"6219861085979838")</f>
        <v>6219861085979838</v>
      </c>
      <c r="J332" s="25" t="s">
        <v>37</v>
      </c>
      <c r="K332" s="20" t="s">
        <v>937</v>
      </c>
      <c r="L332" s="26" t="s">
        <v>39</v>
      </c>
      <c r="M332" s="26" t="s">
        <v>40</v>
      </c>
      <c r="N332" s="27" t="s">
        <v>40</v>
      </c>
      <c r="O332" s="27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ht="25.5" customHeight="1">
      <c r="A333" s="19">
        <v>325.0</v>
      </c>
      <c r="B333" s="19" t="s">
        <v>897</v>
      </c>
      <c r="C333" s="20" t="s">
        <v>938</v>
      </c>
      <c r="D333" s="21" t="s">
        <v>71</v>
      </c>
      <c r="E333" s="21" t="s">
        <v>939</v>
      </c>
      <c r="F333" s="22">
        <v>0.0</v>
      </c>
      <c r="G333" s="23">
        <v>1800.0</v>
      </c>
      <c r="H333" s="24">
        <v>1.02526425E8</v>
      </c>
      <c r="I333" s="24" t="str">
        <f>IFERROR(__xludf.DUMMYFUNCTION("REGEXEXTRACT(E333, ""ک\s(\d{16})"")"),"6219861085979838")</f>
        <v>6219861085979838</v>
      </c>
      <c r="J333" s="25" t="s">
        <v>37</v>
      </c>
      <c r="K333" s="20" t="s">
        <v>940</v>
      </c>
      <c r="L333" s="26" t="s">
        <v>39</v>
      </c>
      <c r="M333" s="26" t="s">
        <v>40</v>
      </c>
      <c r="N333" s="27" t="s">
        <v>40</v>
      </c>
      <c r="O333" s="27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ht="25.5" customHeight="1">
      <c r="A334" s="19">
        <v>326.0</v>
      </c>
      <c r="B334" s="19" t="s">
        <v>897</v>
      </c>
      <c r="C334" s="20" t="s">
        <v>941</v>
      </c>
      <c r="D334" s="21" t="s">
        <v>330</v>
      </c>
      <c r="E334" s="21" t="s">
        <v>942</v>
      </c>
      <c r="F334" s="22">
        <v>0.0</v>
      </c>
      <c r="G334" s="23">
        <v>5.0E7</v>
      </c>
      <c r="H334" s="24">
        <v>5.2526425E7</v>
      </c>
      <c r="I334" s="24" t="str">
        <f>IFERROR(__xludf.DUMMYFUNCTION("REGEXEXTRACT(E334, ""ک\s(\d{16})"")"),"#N/A")</f>
        <v>#N/A</v>
      </c>
      <c r="J334" s="25" t="s">
        <v>332</v>
      </c>
      <c r="K334" s="20" t="s">
        <v>943</v>
      </c>
      <c r="L334" s="26" t="s">
        <v>39</v>
      </c>
      <c r="M334" s="26" t="s">
        <v>40</v>
      </c>
      <c r="N334" s="29" t="s">
        <v>944</v>
      </c>
      <c r="O334" s="27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ht="25.5" customHeight="1">
      <c r="A335" s="19">
        <v>327.0</v>
      </c>
      <c r="B335" s="19" t="s">
        <v>897</v>
      </c>
      <c r="C335" s="20" t="s">
        <v>941</v>
      </c>
      <c r="D335" s="21" t="s">
        <v>334</v>
      </c>
      <c r="E335" s="21" t="s">
        <v>335</v>
      </c>
      <c r="F335" s="22">
        <v>0.0</v>
      </c>
      <c r="G335" s="23">
        <v>10000.0</v>
      </c>
      <c r="H335" s="24">
        <v>5.2516425E7</v>
      </c>
      <c r="I335" s="24" t="str">
        <f>IFERROR(__xludf.DUMMYFUNCTION("REGEXEXTRACT(E335, ""ک\s(\d{16})"")"),"#N/A")</f>
        <v>#N/A</v>
      </c>
      <c r="J335" s="25" t="s">
        <v>332</v>
      </c>
      <c r="K335" s="20" t="s">
        <v>945</v>
      </c>
      <c r="L335" s="26" t="s">
        <v>39</v>
      </c>
      <c r="M335" s="26" t="s">
        <v>40</v>
      </c>
      <c r="N335" s="27" t="s">
        <v>40</v>
      </c>
      <c r="O335" s="27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ht="25.5" customHeight="1">
      <c r="A336" s="19">
        <v>328.0</v>
      </c>
      <c r="B336" s="19" t="s">
        <v>897</v>
      </c>
      <c r="C336" s="20" t="s">
        <v>946</v>
      </c>
      <c r="D336" s="21" t="s">
        <v>71</v>
      </c>
      <c r="E336" s="21" t="s">
        <v>947</v>
      </c>
      <c r="F336" s="22">
        <v>0.0</v>
      </c>
      <c r="G336" s="23">
        <v>1800.0</v>
      </c>
      <c r="H336" s="24">
        <v>5.2514625E7</v>
      </c>
      <c r="I336" s="24" t="str">
        <f>IFERROR(__xludf.DUMMYFUNCTION("REGEXEXTRACT(E336, ""ک\s(\d{16})"")"),"6219861085979838")</f>
        <v>6219861085979838</v>
      </c>
      <c r="J336" s="25" t="s">
        <v>37</v>
      </c>
      <c r="K336" s="20" t="s">
        <v>948</v>
      </c>
      <c r="L336" s="26" t="s">
        <v>39</v>
      </c>
      <c r="M336" s="26" t="s">
        <v>40</v>
      </c>
      <c r="N336" s="27" t="s">
        <v>40</v>
      </c>
      <c r="O336" s="27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ht="25.5" customHeight="1">
      <c r="A337" s="19">
        <v>329.0</v>
      </c>
      <c r="B337" s="19" t="s">
        <v>897</v>
      </c>
      <c r="C337" s="20" t="s">
        <v>949</v>
      </c>
      <c r="D337" s="21" t="s">
        <v>35</v>
      </c>
      <c r="E337" s="21" t="s">
        <v>950</v>
      </c>
      <c r="F337" s="22">
        <v>0.0</v>
      </c>
      <c r="G337" s="23">
        <v>1.92696E7</v>
      </c>
      <c r="H337" s="24">
        <v>3.3245025E7</v>
      </c>
      <c r="I337" s="24" t="str">
        <f>IFERROR(__xludf.DUMMYFUNCTION("REGEXEXTRACT(E337, ""ک\s(\d{16})"")"),"6104338738476148")</f>
        <v>6104338738476148</v>
      </c>
      <c r="J337" s="25" t="s">
        <v>37</v>
      </c>
      <c r="K337" s="20" t="s">
        <v>951</v>
      </c>
      <c r="L337" s="26" t="s">
        <v>39</v>
      </c>
      <c r="M337" s="26" t="s">
        <v>40</v>
      </c>
      <c r="N337" s="27" t="s">
        <v>40</v>
      </c>
      <c r="O337" s="27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ht="25.5" customHeight="1">
      <c r="A338" s="19">
        <v>330.0</v>
      </c>
      <c r="B338" s="19" t="s">
        <v>897</v>
      </c>
      <c r="C338" s="20" t="s">
        <v>949</v>
      </c>
      <c r="D338" s="21" t="s">
        <v>35</v>
      </c>
      <c r="E338" s="21" t="s">
        <v>952</v>
      </c>
      <c r="F338" s="22">
        <v>0.0</v>
      </c>
      <c r="G338" s="23">
        <v>12200.0</v>
      </c>
      <c r="H338" s="24">
        <v>3.3232825E7</v>
      </c>
      <c r="I338" s="24" t="str">
        <f>IFERROR(__xludf.DUMMYFUNCTION("REGEXEXTRACT(E338, ""ک\s(\d{16})"")"),"6219861085979838")</f>
        <v>6219861085979838</v>
      </c>
      <c r="J338" s="25" t="s">
        <v>37</v>
      </c>
      <c r="K338" s="20" t="s">
        <v>951</v>
      </c>
      <c r="L338" s="26" t="s">
        <v>39</v>
      </c>
      <c r="M338" s="26" t="s">
        <v>40</v>
      </c>
      <c r="N338" s="27" t="s">
        <v>40</v>
      </c>
      <c r="O338" s="27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ht="25.5" customHeight="1">
      <c r="A339" s="19">
        <v>331.0</v>
      </c>
      <c r="B339" s="19" t="s">
        <v>897</v>
      </c>
      <c r="C339" s="20" t="s">
        <v>953</v>
      </c>
      <c r="D339" s="21" t="s">
        <v>35</v>
      </c>
      <c r="E339" s="21" t="s">
        <v>954</v>
      </c>
      <c r="F339" s="22">
        <v>0.0</v>
      </c>
      <c r="G339" s="23">
        <v>2.835E7</v>
      </c>
      <c r="H339" s="24">
        <v>4882825.0</v>
      </c>
      <c r="I339" s="24" t="str">
        <f>IFERROR(__xludf.DUMMYFUNCTION("REGEXEXTRACT(E339, ""ک\s(\d{16})"")"),"6274121208660688")</f>
        <v>6274121208660688</v>
      </c>
      <c r="J339" s="25" t="s">
        <v>37</v>
      </c>
      <c r="K339" s="20" t="s">
        <v>955</v>
      </c>
      <c r="L339" s="26" t="s">
        <v>39</v>
      </c>
      <c r="M339" s="26" t="s">
        <v>40</v>
      </c>
      <c r="N339" s="27" t="s">
        <v>40</v>
      </c>
      <c r="O339" s="27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ht="25.5" customHeight="1">
      <c r="A340" s="19">
        <v>332.0</v>
      </c>
      <c r="B340" s="19" t="s">
        <v>897</v>
      </c>
      <c r="C340" s="20" t="s">
        <v>953</v>
      </c>
      <c r="D340" s="21" t="s">
        <v>35</v>
      </c>
      <c r="E340" s="21" t="s">
        <v>956</v>
      </c>
      <c r="F340" s="22">
        <v>0.0</v>
      </c>
      <c r="G340" s="23">
        <v>15400.0</v>
      </c>
      <c r="H340" s="24">
        <v>4867425.0</v>
      </c>
      <c r="I340" s="24" t="str">
        <f>IFERROR(__xludf.DUMMYFUNCTION("REGEXEXTRACT(E340, ""ک\s(\d{16})"")"),"6219861085979838")</f>
        <v>6219861085979838</v>
      </c>
      <c r="J340" s="25" t="s">
        <v>37</v>
      </c>
      <c r="K340" s="20" t="s">
        <v>955</v>
      </c>
      <c r="L340" s="26" t="s">
        <v>39</v>
      </c>
      <c r="M340" s="26" t="s">
        <v>40</v>
      </c>
      <c r="N340" s="27" t="s">
        <v>40</v>
      </c>
      <c r="O340" s="27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ht="25.5" customHeight="1">
      <c r="A341" s="19">
        <v>333.0</v>
      </c>
      <c r="B341" s="19" t="s">
        <v>897</v>
      </c>
      <c r="C341" s="20" t="s">
        <v>957</v>
      </c>
      <c r="D341" s="21" t="s">
        <v>44</v>
      </c>
      <c r="E341" s="21" t="s">
        <v>958</v>
      </c>
      <c r="F341" s="22">
        <v>0.0</v>
      </c>
      <c r="G341" s="23">
        <v>1278900.0</v>
      </c>
      <c r="H341" s="24">
        <v>3588525.0</v>
      </c>
      <c r="I341" s="24" t="str">
        <f>IFERROR(__xludf.DUMMYFUNCTION("REGEXEXTRACT(E341, ""ک\s(\d{16})"")"),"6219861085979838")</f>
        <v>6219861085979838</v>
      </c>
      <c r="J341" s="25" t="s">
        <v>37</v>
      </c>
      <c r="K341" s="20" t="s">
        <v>959</v>
      </c>
      <c r="L341" s="26" t="s">
        <v>39</v>
      </c>
      <c r="M341" s="26" t="s">
        <v>40</v>
      </c>
      <c r="N341" s="27" t="s">
        <v>40</v>
      </c>
      <c r="O341" s="27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ht="25.5" customHeight="1">
      <c r="A342" s="19">
        <v>334.0</v>
      </c>
      <c r="B342" s="19" t="s">
        <v>897</v>
      </c>
      <c r="C342" s="20" t="s">
        <v>960</v>
      </c>
      <c r="D342" s="21" t="s">
        <v>44</v>
      </c>
      <c r="E342" s="21" t="s">
        <v>961</v>
      </c>
      <c r="F342" s="22">
        <v>0.0</v>
      </c>
      <c r="G342" s="23">
        <v>2300000.0</v>
      </c>
      <c r="H342" s="24">
        <v>1288525.0</v>
      </c>
      <c r="I342" s="24" t="str">
        <f>IFERROR(__xludf.DUMMYFUNCTION("REGEXEXTRACT(E342, ""ک\s(\d{16})"")"),"6219861085979838")</f>
        <v>6219861085979838</v>
      </c>
      <c r="J342" s="25" t="s">
        <v>37</v>
      </c>
      <c r="K342" s="20" t="s">
        <v>962</v>
      </c>
      <c r="L342" s="26" t="s">
        <v>39</v>
      </c>
      <c r="M342" s="26" t="s">
        <v>40</v>
      </c>
      <c r="N342" s="27" t="s">
        <v>40</v>
      </c>
      <c r="O342" s="27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ht="25.5" customHeight="1">
      <c r="A343" s="19">
        <v>335.0</v>
      </c>
      <c r="B343" s="19" t="s">
        <v>897</v>
      </c>
      <c r="C343" s="20" t="s">
        <v>963</v>
      </c>
      <c r="D343" s="21" t="s">
        <v>35</v>
      </c>
      <c r="E343" s="21" t="s">
        <v>964</v>
      </c>
      <c r="F343" s="22">
        <v>500000.0</v>
      </c>
      <c r="G343" s="23">
        <v>0.0</v>
      </c>
      <c r="H343" s="24">
        <v>1788525.0</v>
      </c>
      <c r="I343" s="24" t="str">
        <f>IFERROR(__xludf.DUMMYFUNCTION("REGEXEXTRACT(E343, ""ک\s(\d{16})"")"),"6037991557459314")</f>
        <v>6037991557459314</v>
      </c>
      <c r="J343" s="25" t="s">
        <v>37</v>
      </c>
      <c r="K343" s="20" t="s">
        <v>965</v>
      </c>
      <c r="L343" s="26" t="s">
        <v>39</v>
      </c>
      <c r="M343" s="26" t="s">
        <v>40</v>
      </c>
      <c r="N343" s="27" t="s">
        <v>40</v>
      </c>
      <c r="O343" s="27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ht="25.5" customHeight="1">
      <c r="A344" s="19">
        <v>336.0</v>
      </c>
      <c r="B344" s="19" t="s">
        <v>897</v>
      </c>
      <c r="C344" s="20" t="s">
        <v>966</v>
      </c>
      <c r="D344" s="21" t="s">
        <v>35</v>
      </c>
      <c r="E344" s="21" t="s">
        <v>967</v>
      </c>
      <c r="F344" s="22">
        <v>900000.0</v>
      </c>
      <c r="G344" s="23">
        <v>0.0</v>
      </c>
      <c r="H344" s="24">
        <v>2688525.0</v>
      </c>
      <c r="I344" s="24" t="str">
        <f>IFERROR(__xludf.DUMMYFUNCTION("REGEXEXTRACT(E344, ""ک\s(\d{16})"")"),"5022291564975769")</f>
        <v>5022291564975769</v>
      </c>
      <c r="J344" s="25" t="s">
        <v>37</v>
      </c>
      <c r="K344" s="20" t="s">
        <v>968</v>
      </c>
      <c r="L344" s="26" t="s">
        <v>39</v>
      </c>
      <c r="M344" s="26" t="s">
        <v>40</v>
      </c>
      <c r="N344" s="27" t="s">
        <v>40</v>
      </c>
      <c r="O344" s="27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ht="25.5" customHeight="1">
      <c r="A345" s="19">
        <v>337.0</v>
      </c>
      <c r="B345" s="19" t="s">
        <v>969</v>
      </c>
      <c r="C345" s="20" t="s">
        <v>970</v>
      </c>
      <c r="D345" s="21" t="s">
        <v>97</v>
      </c>
      <c r="E345" s="21" t="s">
        <v>971</v>
      </c>
      <c r="F345" s="22">
        <v>1.2E8</v>
      </c>
      <c r="G345" s="23">
        <v>0.0</v>
      </c>
      <c r="H345" s="24">
        <v>1.22688525E8</v>
      </c>
      <c r="I345" s="24" t="str">
        <f>IFERROR(__xludf.DUMMYFUNCTION("REGEXEXTRACT(E345, ""ک\s(\d{16})"")"),"#N/A")</f>
        <v>#N/A</v>
      </c>
      <c r="J345" s="25" t="s">
        <v>99</v>
      </c>
      <c r="K345" s="20" t="s">
        <v>972</v>
      </c>
      <c r="L345" s="26" t="s">
        <v>39</v>
      </c>
      <c r="M345" s="26" t="s">
        <v>40</v>
      </c>
      <c r="N345" s="27" t="s">
        <v>40</v>
      </c>
      <c r="O345" s="27" t="s">
        <v>973</v>
      </c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ht="25.5" customHeight="1">
      <c r="A346" s="19">
        <v>338.0</v>
      </c>
      <c r="B346" s="19" t="s">
        <v>969</v>
      </c>
      <c r="C346" s="20" t="s">
        <v>974</v>
      </c>
      <c r="D346" s="21" t="s">
        <v>44</v>
      </c>
      <c r="E346" s="21" t="s">
        <v>975</v>
      </c>
      <c r="F346" s="22">
        <v>0.0</v>
      </c>
      <c r="G346" s="23">
        <v>2.68E7</v>
      </c>
      <c r="H346" s="24">
        <v>9.5888525E7</v>
      </c>
      <c r="I346" s="24" t="str">
        <f>IFERROR(__xludf.DUMMYFUNCTION("REGEXEXTRACT(E346, ""ک\s(\d{16})"")"),"6219861085979838")</f>
        <v>6219861085979838</v>
      </c>
      <c r="J346" s="25" t="s">
        <v>37</v>
      </c>
      <c r="K346" s="20" t="s">
        <v>976</v>
      </c>
      <c r="L346" s="26" t="s">
        <v>39</v>
      </c>
      <c r="M346" s="26" t="s">
        <v>40</v>
      </c>
      <c r="N346" s="27" t="s">
        <v>40</v>
      </c>
      <c r="O346" s="27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ht="25.5" customHeight="1">
      <c r="A347" s="19">
        <v>339.0</v>
      </c>
      <c r="B347" s="19" t="s">
        <v>969</v>
      </c>
      <c r="C347" s="20" t="s">
        <v>977</v>
      </c>
      <c r="D347" s="21" t="s">
        <v>44</v>
      </c>
      <c r="E347" s="21" t="s">
        <v>978</v>
      </c>
      <c r="F347" s="22">
        <v>0.0</v>
      </c>
      <c r="G347" s="23">
        <v>1.598E7</v>
      </c>
      <c r="H347" s="24">
        <v>7.9908525E7</v>
      </c>
      <c r="I347" s="24" t="str">
        <f>IFERROR(__xludf.DUMMYFUNCTION("REGEXEXTRACT(E347, ""ک\s(\d{16})"")"),"6219861085979838")</f>
        <v>6219861085979838</v>
      </c>
      <c r="J347" s="25" t="s">
        <v>37</v>
      </c>
      <c r="K347" s="20" t="s">
        <v>979</v>
      </c>
      <c r="L347" s="26" t="s">
        <v>39</v>
      </c>
      <c r="M347" s="26" t="s">
        <v>40</v>
      </c>
      <c r="N347" s="27" t="s">
        <v>40</v>
      </c>
      <c r="O347" s="27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ht="25.5" customHeight="1">
      <c r="A348" s="19">
        <v>340.0</v>
      </c>
      <c r="B348" s="19" t="s">
        <v>969</v>
      </c>
      <c r="C348" s="20" t="s">
        <v>980</v>
      </c>
      <c r="D348" s="21" t="s">
        <v>44</v>
      </c>
      <c r="E348" s="21" t="s">
        <v>981</v>
      </c>
      <c r="F348" s="22">
        <v>0.0</v>
      </c>
      <c r="G348" s="23">
        <v>3444600.0</v>
      </c>
      <c r="H348" s="24">
        <v>7.6463925E7</v>
      </c>
      <c r="I348" s="24" t="str">
        <f>IFERROR(__xludf.DUMMYFUNCTION("REGEXEXTRACT(E348, ""ک\s(\d{16})"")"),"6219861085979838")</f>
        <v>6219861085979838</v>
      </c>
      <c r="J348" s="25" t="s">
        <v>37</v>
      </c>
      <c r="K348" s="20" t="s">
        <v>982</v>
      </c>
      <c r="L348" s="26" t="s">
        <v>39</v>
      </c>
      <c r="M348" s="26" t="s">
        <v>40</v>
      </c>
      <c r="N348" s="27" t="s">
        <v>40</v>
      </c>
      <c r="O348" s="27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ht="25.5" customHeight="1">
      <c r="A349" s="19">
        <v>341.0</v>
      </c>
      <c r="B349" s="19" t="s">
        <v>969</v>
      </c>
      <c r="C349" s="20" t="s">
        <v>983</v>
      </c>
      <c r="D349" s="21" t="s">
        <v>44</v>
      </c>
      <c r="E349" s="21" t="s">
        <v>984</v>
      </c>
      <c r="F349" s="22">
        <v>0.0</v>
      </c>
      <c r="G349" s="23">
        <v>1600000.0</v>
      </c>
      <c r="H349" s="24">
        <v>7.4863925E7</v>
      </c>
      <c r="I349" s="24" t="str">
        <f>IFERROR(__xludf.DUMMYFUNCTION("REGEXEXTRACT(E349, ""ک\s(\d{16})"")"),"6219861085979838")</f>
        <v>6219861085979838</v>
      </c>
      <c r="J349" s="25" t="s">
        <v>37</v>
      </c>
      <c r="K349" s="20" t="s">
        <v>985</v>
      </c>
      <c r="L349" s="26" t="s">
        <v>39</v>
      </c>
      <c r="M349" s="26" t="s">
        <v>40</v>
      </c>
      <c r="N349" s="27" t="s">
        <v>40</v>
      </c>
      <c r="O349" s="27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ht="25.5" customHeight="1">
      <c r="A350" s="19">
        <v>342.0</v>
      </c>
      <c r="B350" s="19" t="s">
        <v>969</v>
      </c>
      <c r="C350" s="20" t="s">
        <v>986</v>
      </c>
      <c r="D350" s="21" t="s">
        <v>71</v>
      </c>
      <c r="E350" s="21" t="s">
        <v>987</v>
      </c>
      <c r="F350" s="22">
        <v>0.0</v>
      </c>
      <c r="G350" s="23">
        <v>1800.0</v>
      </c>
      <c r="H350" s="24">
        <v>7.4862125E7</v>
      </c>
      <c r="I350" s="24" t="str">
        <f>IFERROR(__xludf.DUMMYFUNCTION("REGEXEXTRACT(E350, ""ک\s(\d{16})"")"),"6219861085979838")</f>
        <v>6219861085979838</v>
      </c>
      <c r="J350" s="25" t="s">
        <v>37</v>
      </c>
      <c r="K350" s="20" t="s">
        <v>988</v>
      </c>
      <c r="L350" s="26" t="s">
        <v>39</v>
      </c>
      <c r="M350" s="26" t="s">
        <v>40</v>
      </c>
      <c r="N350" s="27" t="s">
        <v>40</v>
      </c>
      <c r="O350" s="27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ht="25.5" customHeight="1">
      <c r="A351" s="19">
        <v>343.0</v>
      </c>
      <c r="B351" s="19" t="s">
        <v>969</v>
      </c>
      <c r="C351" s="20" t="s">
        <v>989</v>
      </c>
      <c r="D351" s="21" t="s">
        <v>35</v>
      </c>
      <c r="E351" s="21" t="s">
        <v>990</v>
      </c>
      <c r="F351" s="22">
        <v>0.0</v>
      </c>
      <c r="G351" s="23">
        <v>2.978E7</v>
      </c>
      <c r="H351" s="24">
        <v>4.5082125E7</v>
      </c>
      <c r="I351" s="24" t="str">
        <f>IFERROR(__xludf.DUMMYFUNCTION("REGEXEXTRACT(E351, ""ک\s(\d{16})"")"),"6274121208660688")</f>
        <v>6274121208660688</v>
      </c>
      <c r="J351" s="25" t="s">
        <v>37</v>
      </c>
      <c r="K351" s="20" t="s">
        <v>991</v>
      </c>
      <c r="L351" s="26" t="s">
        <v>39</v>
      </c>
      <c r="M351" s="26" t="s">
        <v>40</v>
      </c>
      <c r="N351" s="27" t="s">
        <v>40</v>
      </c>
      <c r="O351" s="27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ht="25.5" customHeight="1">
      <c r="A352" s="19">
        <v>344.0</v>
      </c>
      <c r="B352" s="19" t="s">
        <v>969</v>
      </c>
      <c r="C352" s="20" t="s">
        <v>989</v>
      </c>
      <c r="D352" s="21" t="s">
        <v>35</v>
      </c>
      <c r="E352" s="21" t="s">
        <v>992</v>
      </c>
      <c r="F352" s="22">
        <v>0.0</v>
      </c>
      <c r="G352" s="23">
        <v>15400.0</v>
      </c>
      <c r="H352" s="24">
        <v>4.5066725E7</v>
      </c>
      <c r="I352" s="24" t="str">
        <f>IFERROR(__xludf.DUMMYFUNCTION("REGEXEXTRACT(E352, ""ک\s(\d{16})"")"),"6219861085979838")</f>
        <v>6219861085979838</v>
      </c>
      <c r="J352" s="25" t="s">
        <v>37</v>
      </c>
      <c r="K352" s="20" t="s">
        <v>991</v>
      </c>
      <c r="L352" s="26" t="s">
        <v>39</v>
      </c>
      <c r="M352" s="26" t="s">
        <v>40</v>
      </c>
      <c r="N352" s="27" t="s">
        <v>40</v>
      </c>
      <c r="O352" s="27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ht="25.5" customHeight="1">
      <c r="A353" s="19">
        <v>345.0</v>
      </c>
      <c r="B353" s="19" t="s">
        <v>969</v>
      </c>
      <c r="C353" s="20" t="s">
        <v>993</v>
      </c>
      <c r="D353" s="21" t="s">
        <v>35</v>
      </c>
      <c r="E353" s="21" t="s">
        <v>994</v>
      </c>
      <c r="F353" s="22">
        <v>0.0</v>
      </c>
      <c r="G353" s="23">
        <v>1.04E7</v>
      </c>
      <c r="H353" s="24">
        <v>3.4666725E7</v>
      </c>
      <c r="I353" s="24" t="str">
        <f>IFERROR(__xludf.DUMMYFUNCTION("REGEXEXTRACT(E353, ""ک\s(\d{16})"")"),"6037697600840968")</f>
        <v>6037697600840968</v>
      </c>
      <c r="J353" s="25" t="s">
        <v>37</v>
      </c>
      <c r="K353" s="20" t="s">
        <v>995</v>
      </c>
      <c r="L353" s="26" t="s">
        <v>39</v>
      </c>
      <c r="M353" s="26" t="s">
        <v>40</v>
      </c>
      <c r="N353" s="27" t="s">
        <v>40</v>
      </c>
      <c r="O353" s="27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ht="25.5" customHeight="1">
      <c r="A354" s="19">
        <v>346.0</v>
      </c>
      <c r="B354" s="19" t="s">
        <v>969</v>
      </c>
      <c r="C354" s="20" t="s">
        <v>993</v>
      </c>
      <c r="D354" s="21" t="s">
        <v>35</v>
      </c>
      <c r="E354" s="21" t="s">
        <v>996</v>
      </c>
      <c r="F354" s="22">
        <v>0.0</v>
      </c>
      <c r="G354" s="23">
        <v>12200.0</v>
      </c>
      <c r="H354" s="24">
        <v>3.4654525E7</v>
      </c>
      <c r="I354" s="24" t="str">
        <f>IFERROR(__xludf.DUMMYFUNCTION("REGEXEXTRACT(E354, ""ک\s(\d{16})"")"),"6219861085979838")</f>
        <v>6219861085979838</v>
      </c>
      <c r="J354" s="25" t="s">
        <v>37</v>
      </c>
      <c r="K354" s="20" t="s">
        <v>995</v>
      </c>
      <c r="L354" s="26" t="s">
        <v>39</v>
      </c>
      <c r="M354" s="26" t="s">
        <v>40</v>
      </c>
      <c r="N354" s="27" t="s">
        <v>40</v>
      </c>
      <c r="O354" s="27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ht="25.5" customHeight="1">
      <c r="A355" s="19">
        <v>347.0</v>
      </c>
      <c r="B355" s="19" t="s">
        <v>969</v>
      </c>
      <c r="C355" s="20" t="s">
        <v>997</v>
      </c>
      <c r="D355" s="21" t="s">
        <v>44</v>
      </c>
      <c r="E355" s="21" t="s">
        <v>998</v>
      </c>
      <c r="F355" s="22">
        <v>0.0</v>
      </c>
      <c r="G355" s="23">
        <v>3450000.0</v>
      </c>
      <c r="H355" s="24">
        <v>3.1204525E7</v>
      </c>
      <c r="I355" s="24" t="str">
        <f>IFERROR(__xludf.DUMMYFUNCTION("REGEXEXTRACT(E355, ""ک\s(\d{16})"")"),"6219861085979838")</f>
        <v>6219861085979838</v>
      </c>
      <c r="J355" s="25" t="s">
        <v>37</v>
      </c>
      <c r="K355" s="20" t="s">
        <v>999</v>
      </c>
      <c r="L355" s="26" t="s">
        <v>39</v>
      </c>
      <c r="M355" s="26" t="s">
        <v>40</v>
      </c>
      <c r="N355" s="27" t="s">
        <v>40</v>
      </c>
      <c r="O355" s="27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ht="25.5" customHeight="1">
      <c r="A356" s="19">
        <v>348.0</v>
      </c>
      <c r="B356" s="19" t="s">
        <v>969</v>
      </c>
      <c r="C356" s="20" t="s">
        <v>1000</v>
      </c>
      <c r="D356" s="21" t="s">
        <v>109</v>
      </c>
      <c r="E356" s="21" t="s">
        <v>1001</v>
      </c>
      <c r="F356" s="22">
        <v>1250000.0</v>
      </c>
      <c r="G356" s="23">
        <v>0.0</v>
      </c>
      <c r="H356" s="24">
        <v>3.2454525E7</v>
      </c>
      <c r="I356" s="24" t="str">
        <f>IFERROR(__xludf.DUMMYFUNCTION("REGEXEXTRACT(E356, ""ک\s(\d{16})"")"),"#N/A")</f>
        <v>#N/A</v>
      </c>
      <c r="J356" s="25" t="s">
        <v>111</v>
      </c>
      <c r="K356" s="20" t="s">
        <v>1002</v>
      </c>
      <c r="L356" s="26" t="s">
        <v>39</v>
      </c>
      <c r="M356" s="26" t="s">
        <v>40</v>
      </c>
      <c r="N356" s="27" t="s">
        <v>40</v>
      </c>
      <c r="O356" s="27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ht="25.5" customHeight="1">
      <c r="A357" s="19">
        <v>349.0</v>
      </c>
      <c r="B357" s="19" t="s">
        <v>969</v>
      </c>
      <c r="C357" s="20" t="s">
        <v>1003</v>
      </c>
      <c r="D357" s="21" t="s">
        <v>71</v>
      </c>
      <c r="E357" s="21" t="s">
        <v>1004</v>
      </c>
      <c r="F357" s="22">
        <v>0.0</v>
      </c>
      <c r="G357" s="23">
        <v>1800.0</v>
      </c>
      <c r="H357" s="24">
        <v>3.2452725E7</v>
      </c>
      <c r="I357" s="24" t="str">
        <f>IFERROR(__xludf.DUMMYFUNCTION("REGEXEXTRACT(E357, ""ک\s(\d{16})"")"),"6219861085979838")</f>
        <v>6219861085979838</v>
      </c>
      <c r="J357" s="25" t="s">
        <v>37</v>
      </c>
      <c r="K357" s="20" t="s">
        <v>1005</v>
      </c>
      <c r="L357" s="26" t="s">
        <v>39</v>
      </c>
      <c r="M357" s="26" t="s">
        <v>40</v>
      </c>
      <c r="N357" s="27" t="s">
        <v>40</v>
      </c>
      <c r="O357" s="27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ht="25.5" customHeight="1">
      <c r="A358" s="19">
        <v>350.0</v>
      </c>
      <c r="B358" s="19" t="s">
        <v>969</v>
      </c>
      <c r="C358" s="20" t="s">
        <v>1006</v>
      </c>
      <c r="D358" s="21" t="s">
        <v>71</v>
      </c>
      <c r="E358" s="21" t="s">
        <v>1007</v>
      </c>
      <c r="F358" s="22">
        <v>0.0</v>
      </c>
      <c r="G358" s="23">
        <v>1800.0</v>
      </c>
      <c r="H358" s="24">
        <v>3.2450925E7</v>
      </c>
      <c r="I358" s="24" t="str">
        <f>IFERROR(__xludf.DUMMYFUNCTION("REGEXEXTRACT(E358, ""ک\s(\d{16})"")"),"6219861085979838")</f>
        <v>6219861085979838</v>
      </c>
      <c r="J358" s="25" t="s">
        <v>37</v>
      </c>
      <c r="K358" s="20" t="s">
        <v>1008</v>
      </c>
      <c r="L358" s="26" t="s">
        <v>39</v>
      </c>
      <c r="M358" s="26" t="s">
        <v>40</v>
      </c>
      <c r="N358" s="27" t="s">
        <v>40</v>
      </c>
      <c r="O358" s="27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ht="25.5" customHeight="1">
      <c r="A359" s="19">
        <v>351.0</v>
      </c>
      <c r="B359" s="19" t="s">
        <v>969</v>
      </c>
      <c r="C359" s="20" t="s">
        <v>1009</v>
      </c>
      <c r="D359" s="21" t="s">
        <v>35</v>
      </c>
      <c r="E359" s="21" t="s">
        <v>1010</v>
      </c>
      <c r="F359" s="22">
        <v>0.0</v>
      </c>
      <c r="G359" s="23">
        <v>9000000.0</v>
      </c>
      <c r="H359" s="24">
        <v>2.3450925E7</v>
      </c>
      <c r="I359" s="24" t="str">
        <f>IFERROR(__xludf.DUMMYFUNCTION("REGEXEXTRACT(E359, ""ک\s(\d{16})"")"),"6104338653250742")</f>
        <v>6104338653250742</v>
      </c>
      <c r="J359" s="25" t="s">
        <v>37</v>
      </c>
      <c r="K359" s="20" t="s">
        <v>1011</v>
      </c>
      <c r="L359" s="26" t="s">
        <v>39</v>
      </c>
      <c r="M359" s="26" t="s">
        <v>40</v>
      </c>
      <c r="N359" s="27" t="s">
        <v>40</v>
      </c>
      <c r="O359" s="27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ht="25.5" customHeight="1">
      <c r="A360" s="19">
        <v>352.0</v>
      </c>
      <c r="B360" s="19" t="s">
        <v>969</v>
      </c>
      <c r="C360" s="20" t="s">
        <v>1009</v>
      </c>
      <c r="D360" s="21" t="s">
        <v>35</v>
      </c>
      <c r="E360" s="21" t="s">
        <v>1012</v>
      </c>
      <c r="F360" s="22">
        <v>0.0</v>
      </c>
      <c r="G360" s="23">
        <v>9000.0</v>
      </c>
      <c r="H360" s="24">
        <v>2.3441925E7</v>
      </c>
      <c r="I360" s="24" t="str">
        <f>IFERROR(__xludf.DUMMYFUNCTION("REGEXEXTRACT(E360, ""ک\s(\d{16})"")"),"6219861085979838")</f>
        <v>6219861085979838</v>
      </c>
      <c r="J360" s="25" t="s">
        <v>37</v>
      </c>
      <c r="K360" s="20" t="s">
        <v>1011</v>
      </c>
      <c r="L360" s="26" t="s">
        <v>39</v>
      </c>
      <c r="M360" s="26" t="s">
        <v>40</v>
      </c>
      <c r="N360" s="27" t="s">
        <v>40</v>
      </c>
      <c r="O360" s="27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ht="25.5" customHeight="1">
      <c r="A361" s="19">
        <v>353.0</v>
      </c>
      <c r="B361" s="19" t="s">
        <v>969</v>
      </c>
      <c r="C361" s="20" t="s">
        <v>1013</v>
      </c>
      <c r="D361" s="21" t="s">
        <v>44</v>
      </c>
      <c r="E361" s="21" t="s">
        <v>1014</v>
      </c>
      <c r="F361" s="22">
        <v>0.0</v>
      </c>
      <c r="G361" s="23">
        <v>1574000.0</v>
      </c>
      <c r="H361" s="24">
        <v>2.1867925E7</v>
      </c>
      <c r="I361" s="24" t="str">
        <f>IFERROR(__xludf.DUMMYFUNCTION("REGEXEXTRACT(E361, ""ک\s(\d{16})"")"),"6219861085979838")</f>
        <v>6219861085979838</v>
      </c>
      <c r="J361" s="25" t="s">
        <v>37</v>
      </c>
      <c r="K361" s="20" t="s">
        <v>1015</v>
      </c>
      <c r="L361" s="26" t="s">
        <v>39</v>
      </c>
      <c r="M361" s="26" t="s">
        <v>40</v>
      </c>
      <c r="N361" s="27" t="s">
        <v>40</v>
      </c>
      <c r="O361" s="27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ht="11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ht="11.25" customHeight="1">
      <c r="A363" s="30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ht="18.75" customHeight="1">
      <c r="A364" s="28"/>
      <c r="B364" s="28"/>
      <c r="C364" s="28"/>
      <c r="D364" s="28"/>
      <c r="E364" s="31" t="s">
        <v>1016</v>
      </c>
      <c r="F364" s="32">
        <f t="shared" ref="F364:G364" si="1">SUM(F9:F361:F9:F361)</f>
        <v>3307351016</v>
      </c>
      <c r="G364" s="33">
        <f t="shared" si="1"/>
        <v>3480810150</v>
      </c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ht="11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ht="11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ht="11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ht="11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ht="11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ht="11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ht="11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ht="11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ht="11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ht="11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ht="11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ht="11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ht="11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ht="11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ht="11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ht="11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ht="11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ht="11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ht="11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ht="11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ht="11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ht="11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ht="11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ht="11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ht="11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ht="11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ht="11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ht="11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ht="11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ht="11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ht="11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ht="11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ht="11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ht="11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ht="11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ht="11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ht="11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ht="11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ht="11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ht="11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ht="11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ht="11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ht="11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ht="11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ht="11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ht="11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ht="11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ht="11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ht="11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ht="11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ht="11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ht="11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ht="11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ht="11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ht="11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ht="11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ht="11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ht="11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ht="11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ht="11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ht="11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ht="11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ht="11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ht="11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ht="11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ht="11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ht="11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ht="11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ht="11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ht="11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ht="11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ht="11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ht="11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ht="11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ht="11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ht="11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ht="11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ht="11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ht="11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ht="11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ht="11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ht="11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ht="11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ht="11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ht="11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ht="11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ht="11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ht="11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ht="11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ht="11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ht="11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ht="11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ht="11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ht="11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ht="11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ht="11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ht="11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ht="11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ht="11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ht="11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ht="11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ht="11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ht="11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ht="11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ht="11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ht="11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ht="11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ht="11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ht="11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ht="11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ht="11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ht="11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ht="11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ht="11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ht="11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ht="11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ht="11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ht="11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ht="11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ht="11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ht="11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ht="11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ht="11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ht="11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ht="11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ht="11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ht="11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ht="11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ht="11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ht="11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ht="11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ht="11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ht="11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ht="11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ht="11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ht="11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ht="11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ht="11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ht="11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ht="11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ht="11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ht="11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ht="11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ht="11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ht="11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ht="11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ht="11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ht="11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ht="11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ht="11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ht="11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ht="11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ht="11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ht="11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ht="11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ht="11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ht="11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ht="11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ht="11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ht="11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ht="11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ht="11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ht="11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ht="11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ht="11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ht="11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ht="11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ht="11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ht="11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ht="11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ht="11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ht="11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ht="11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ht="11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ht="11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ht="11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ht="11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ht="11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ht="11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ht="11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ht="11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ht="11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ht="11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ht="11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ht="11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ht="11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ht="11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ht="11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ht="11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ht="11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ht="11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ht="11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ht="11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ht="11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ht="11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ht="11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ht="11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ht="11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ht="11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ht="11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ht="11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ht="11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ht="11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ht="11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ht="11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ht="11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ht="11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ht="11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ht="11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ht="11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ht="11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ht="11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ht="11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ht="11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ht="11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ht="11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ht="11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ht="11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ht="11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ht="11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ht="11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ht="11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ht="11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ht="11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ht="11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ht="11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ht="11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ht="11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ht="11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ht="11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ht="11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ht="11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ht="11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ht="11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ht="11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ht="11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ht="11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ht="11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ht="11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ht="11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ht="11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ht="11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ht="11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ht="11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ht="11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ht="11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ht="11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ht="11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ht="11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ht="11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ht="11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ht="11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ht="11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ht="11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ht="11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ht="11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ht="11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ht="11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ht="11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ht="11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ht="11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ht="11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ht="11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ht="11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ht="11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ht="11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ht="11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ht="11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ht="11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ht="11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ht="11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ht="11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ht="11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ht="11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ht="11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ht="11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ht="11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ht="11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ht="11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ht="11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ht="11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ht="11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ht="11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ht="11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ht="11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ht="11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ht="11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ht="11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ht="11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ht="11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ht="11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ht="11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ht="11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ht="11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ht="11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ht="11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ht="11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ht="11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ht="11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ht="11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ht="11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ht="11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ht="11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ht="11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ht="11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ht="11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ht="11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ht="11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ht="11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ht="11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ht="11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ht="11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ht="11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ht="11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ht="11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ht="11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ht="11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ht="11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ht="11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ht="11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ht="11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ht="11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ht="11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ht="11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ht="11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ht="11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ht="11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ht="11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ht="11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ht="11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ht="11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ht="11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ht="11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ht="11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ht="11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ht="11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ht="11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ht="11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ht="11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ht="11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ht="11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ht="11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ht="11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ht="11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ht="11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ht="11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ht="11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ht="11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ht="11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ht="11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ht="11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ht="11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ht="11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ht="11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ht="11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ht="11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ht="11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ht="11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ht="11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ht="11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ht="11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ht="11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ht="11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ht="11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ht="11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ht="11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ht="11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ht="11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ht="11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ht="11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ht="11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ht="11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ht="11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ht="11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ht="11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ht="11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ht="11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ht="11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ht="11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ht="11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ht="11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ht="11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ht="11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ht="11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ht="11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ht="11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ht="11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ht="11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ht="11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ht="11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ht="11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ht="11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ht="11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ht="11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ht="11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ht="11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ht="11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ht="11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ht="11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ht="11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ht="11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ht="11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ht="11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ht="11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ht="11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ht="11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ht="11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ht="11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ht="11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ht="11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ht="11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ht="11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ht="11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ht="11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ht="11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ht="11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ht="11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ht="11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ht="11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ht="11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ht="11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ht="11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ht="11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ht="11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ht="11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ht="11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ht="11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ht="11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ht="11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ht="11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ht="11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ht="11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ht="11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ht="11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ht="11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ht="11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ht="11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ht="11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ht="11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ht="11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ht="11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ht="11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ht="11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ht="11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ht="11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ht="11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ht="11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ht="11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ht="11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ht="11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ht="11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ht="11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ht="11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ht="11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ht="11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ht="11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ht="11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ht="11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ht="11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ht="11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ht="11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ht="11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ht="11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ht="11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ht="11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ht="11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ht="11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ht="11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ht="11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ht="11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ht="11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ht="11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ht="11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ht="11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ht="11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ht="11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ht="11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ht="11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ht="11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ht="11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ht="11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ht="11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ht="11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ht="11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ht="11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ht="11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ht="11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ht="11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ht="11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ht="11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ht="11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ht="11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ht="11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ht="11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ht="11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ht="11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ht="11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ht="11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ht="11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ht="11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ht="11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ht="11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ht="11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ht="11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ht="11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ht="11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ht="11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ht="11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ht="11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ht="11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ht="11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ht="11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ht="11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ht="11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ht="11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ht="11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ht="11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ht="11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ht="11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ht="11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ht="11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ht="11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ht="11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ht="11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ht="11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ht="11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ht="11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ht="11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ht="11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ht="11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ht="11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ht="11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ht="11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ht="11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ht="11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ht="11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ht="11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ht="11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ht="11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ht="11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ht="11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ht="11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ht="11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ht="11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ht="11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ht="11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ht="11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ht="11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ht="11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ht="11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ht="11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ht="11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ht="11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ht="11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ht="11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ht="11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ht="11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ht="11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ht="11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ht="11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ht="11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ht="11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ht="11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ht="11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ht="11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ht="11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ht="11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ht="11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ht="11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ht="11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ht="11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ht="11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ht="11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ht="11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ht="11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ht="11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ht="11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ht="11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ht="11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ht="11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ht="11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ht="11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ht="11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ht="11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ht="11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ht="11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ht="11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ht="11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ht="11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ht="11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ht="11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ht="11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ht="11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ht="11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ht="11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ht="11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ht="11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ht="11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ht="11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ht="11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ht="11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ht="11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ht="11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ht="11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ht="11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ht="11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ht="11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ht="11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ht="11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ht="11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ht="11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ht="11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ht="11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ht="11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ht="11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ht="11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ht="11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ht="11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ht="11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ht="11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ht="11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ht="11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ht="11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ht="11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ht="11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ht="11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ht="11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ht="11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ht="11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ht="11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ht="11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ht="11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ht="11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ht="11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ht="11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  <row r="1000" ht="11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 t="s">
        <v>1017</v>
      </c>
      <c r="B1" s="35" t="s">
        <v>1018</v>
      </c>
      <c r="C1" s="35" t="s">
        <v>1019</v>
      </c>
      <c r="D1" s="36">
        <v>2.0</v>
      </c>
      <c r="E1" s="37"/>
      <c r="F1" s="37"/>
      <c r="G1" s="37"/>
      <c r="H1" s="37"/>
      <c r="I1" s="34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4" t="s">
        <v>1020</v>
      </c>
      <c r="B2" s="35" t="s">
        <v>1021</v>
      </c>
      <c r="C2" s="35" t="s">
        <v>1022</v>
      </c>
      <c r="D2" s="36">
        <v>1.0</v>
      </c>
      <c r="E2" s="37"/>
      <c r="F2" s="37"/>
      <c r="G2" s="37"/>
      <c r="H2" s="37"/>
      <c r="I2" s="34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4" t="s">
        <v>1023</v>
      </c>
      <c r="B3" s="35" t="s">
        <v>1024</v>
      </c>
      <c r="C3" s="35" t="s">
        <v>1025</v>
      </c>
      <c r="D3" s="36">
        <v>1.0</v>
      </c>
      <c r="E3" s="34"/>
      <c r="F3" s="38"/>
      <c r="G3" s="37"/>
      <c r="H3" s="37"/>
      <c r="I3" s="34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4" t="s">
        <v>1026</v>
      </c>
      <c r="B4" s="35" t="s">
        <v>1027</v>
      </c>
      <c r="C4" s="35" t="s">
        <v>1028</v>
      </c>
      <c r="D4" s="36">
        <v>1.0</v>
      </c>
      <c r="E4" s="37"/>
      <c r="F4" s="37"/>
      <c r="G4" s="37"/>
      <c r="H4" s="37"/>
      <c r="I4" s="34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4" t="s">
        <v>1029</v>
      </c>
      <c r="B5" s="35" t="s">
        <v>1030</v>
      </c>
      <c r="C5" s="35" t="s">
        <v>1031</v>
      </c>
      <c r="D5" s="36">
        <v>1.0</v>
      </c>
      <c r="E5" s="37"/>
      <c r="F5" s="37"/>
      <c r="G5" s="37"/>
      <c r="H5" s="37"/>
      <c r="I5" s="34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4" t="s">
        <v>1032</v>
      </c>
      <c r="B6" s="35" t="s">
        <v>1033</v>
      </c>
      <c r="C6" s="35" t="s">
        <v>1031</v>
      </c>
      <c r="D6" s="36">
        <v>1.0</v>
      </c>
      <c r="E6" s="37"/>
      <c r="F6" s="37"/>
      <c r="G6" s="37"/>
      <c r="H6" s="37"/>
      <c r="I6" s="34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4" t="s">
        <v>1034</v>
      </c>
      <c r="B7" s="35" t="s">
        <v>1035</v>
      </c>
      <c r="C7" s="35" t="s">
        <v>1036</v>
      </c>
      <c r="D7" s="36">
        <v>1.0</v>
      </c>
      <c r="E7" s="37"/>
      <c r="F7" s="37"/>
      <c r="G7" s="37"/>
      <c r="H7" s="37"/>
      <c r="I7" s="34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4" t="s">
        <v>1037</v>
      </c>
      <c r="B8" s="35" t="s">
        <v>1038</v>
      </c>
      <c r="C8" s="35" t="s">
        <v>1039</v>
      </c>
      <c r="D8" s="36">
        <v>1.0</v>
      </c>
      <c r="E8" s="37"/>
      <c r="F8" s="37"/>
      <c r="G8" s="37"/>
      <c r="H8" s="37"/>
      <c r="I8" s="34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4" t="s">
        <v>1040</v>
      </c>
      <c r="B9" s="35" t="s">
        <v>1041</v>
      </c>
      <c r="C9" s="35" t="s">
        <v>1042</v>
      </c>
      <c r="D9" s="36">
        <v>1.0</v>
      </c>
      <c r="E9" s="37"/>
      <c r="F9" s="37"/>
      <c r="G9" s="37"/>
      <c r="H9" s="37"/>
      <c r="I9" s="34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4" t="s">
        <v>1043</v>
      </c>
      <c r="B10" s="35" t="s">
        <v>1044</v>
      </c>
      <c r="C10" s="35" t="s">
        <v>1045</v>
      </c>
      <c r="D10" s="36">
        <v>2.0</v>
      </c>
      <c r="E10" s="37"/>
      <c r="F10" s="37"/>
      <c r="G10" s="37"/>
      <c r="H10" s="37"/>
      <c r="I10" s="3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4" t="s">
        <v>1046</v>
      </c>
      <c r="B11" s="35" t="s">
        <v>1047</v>
      </c>
      <c r="C11" s="35" t="s">
        <v>1048</v>
      </c>
      <c r="D11" s="36">
        <v>1.0</v>
      </c>
      <c r="E11" s="37"/>
      <c r="F11" s="37"/>
      <c r="G11" s="37"/>
      <c r="H11" s="37"/>
      <c r="I11" s="34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4" t="s">
        <v>1049</v>
      </c>
      <c r="B12" s="35" t="s">
        <v>1050</v>
      </c>
      <c r="C12" s="35" t="s">
        <v>1048</v>
      </c>
      <c r="D12" s="36">
        <v>3.0</v>
      </c>
      <c r="E12" s="37"/>
      <c r="F12" s="37"/>
      <c r="G12" s="37"/>
      <c r="H12" s="37"/>
      <c r="I12" s="34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4" t="s">
        <v>1051</v>
      </c>
      <c r="B13" s="35" t="s">
        <v>1052</v>
      </c>
      <c r="C13" s="35" t="s">
        <v>1048</v>
      </c>
      <c r="D13" s="36">
        <v>1.0</v>
      </c>
      <c r="E13" s="34"/>
      <c r="F13" s="38"/>
      <c r="G13" s="38"/>
      <c r="H13" s="37"/>
      <c r="I13" s="34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4" t="s">
        <v>1053</v>
      </c>
      <c r="B14" s="35" t="s">
        <v>1054</v>
      </c>
      <c r="C14" s="35" t="s">
        <v>1048</v>
      </c>
      <c r="D14" s="36">
        <v>1.0</v>
      </c>
      <c r="E14" s="34"/>
      <c r="F14" s="38"/>
      <c r="G14" s="37"/>
      <c r="H14" s="37"/>
      <c r="I14" s="34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4" t="s">
        <v>1055</v>
      </c>
      <c r="B15" s="35" t="s">
        <v>1056</v>
      </c>
      <c r="C15" s="35" t="s">
        <v>1048</v>
      </c>
      <c r="D15" s="36">
        <v>1.0</v>
      </c>
      <c r="E15" s="34"/>
      <c r="F15" s="38"/>
      <c r="G15" s="37"/>
      <c r="H15" s="37"/>
      <c r="I15" s="34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4" t="s">
        <v>1057</v>
      </c>
      <c r="B16" s="35" t="s">
        <v>1058</v>
      </c>
      <c r="C16" s="35" t="s">
        <v>1048</v>
      </c>
      <c r="D16" s="36">
        <v>2.0</v>
      </c>
      <c r="E16" s="34"/>
      <c r="F16" s="38"/>
      <c r="G16" s="38"/>
      <c r="H16" s="37"/>
      <c r="I16" s="34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4" t="s">
        <v>1059</v>
      </c>
      <c r="B17" s="35" t="s">
        <v>1060</v>
      </c>
      <c r="C17" s="35" t="s">
        <v>1048</v>
      </c>
      <c r="D17" s="36">
        <v>1.0</v>
      </c>
      <c r="E17" s="34"/>
      <c r="F17" s="38"/>
      <c r="G17" s="37"/>
      <c r="H17" s="37"/>
      <c r="I17" s="34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4" t="s">
        <v>1061</v>
      </c>
      <c r="B18" s="35" t="s">
        <v>1062</v>
      </c>
      <c r="C18" s="35" t="s">
        <v>1048</v>
      </c>
      <c r="D18" s="36">
        <v>1.0</v>
      </c>
      <c r="E18" s="34"/>
      <c r="F18" s="38"/>
      <c r="G18" s="38"/>
      <c r="H18" s="37"/>
      <c r="I18" s="34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4" t="s">
        <v>1063</v>
      </c>
      <c r="B19" s="34"/>
      <c r="C19" s="35" t="s">
        <v>1048</v>
      </c>
      <c r="D19" s="36">
        <v>1.0</v>
      </c>
      <c r="E19" s="34"/>
      <c r="F19" s="38"/>
      <c r="G19" s="37"/>
      <c r="H19" s="37"/>
      <c r="I19" s="34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4" t="s">
        <v>1064</v>
      </c>
      <c r="B20" s="35" t="s">
        <v>1065</v>
      </c>
      <c r="C20" s="35" t="s">
        <v>1048</v>
      </c>
      <c r="D20" s="36">
        <v>1.0</v>
      </c>
      <c r="E20" s="37"/>
      <c r="F20" s="37"/>
      <c r="G20" s="37"/>
      <c r="H20" s="37"/>
      <c r="I20" s="34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4" t="s">
        <v>1066</v>
      </c>
      <c r="B21" s="35" t="s">
        <v>1067</v>
      </c>
      <c r="C21" s="35" t="s">
        <v>1048</v>
      </c>
      <c r="D21" s="36">
        <v>1.0</v>
      </c>
      <c r="E21" s="37"/>
      <c r="F21" s="37"/>
      <c r="G21" s="37"/>
      <c r="H21" s="37"/>
      <c r="I21" s="34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4" t="s">
        <v>1068</v>
      </c>
      <c r="B22" s="34"/>
      <c r="C22" s="35" t="s">
        <v>1048</v>
      </c>
      <c r="D22" s="36">
        <v>1.0</v>
      </c>
      <c r="E22" s="34"/>
      <c r="F22" s="38"/>
      <c r="G22" s="37"/>
      <c r="H22" s="37"/>
      <c r="I22" s="34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4" t="s">
        <v>1069</v>
      </c>
      <c r="B23" s="35" t="s">
        <v>1070</v>
      </c>
      <c r="C23" s="35" t="s">
        <v>1048</v>
      </c>
      <c r="D23" s="36">
        <v>6.0</v>
      </c>
      <c r="E23" s="37"/>
      <c r="F23" s="37"/>
      <c r="G23" s="37"/>
      <c r="H23" s="37"/>
      <c r="I23" s="34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4" t="s">
        <v>1071</v>
      </c>
      <c r="B24" s="35" t="s">
        <v>1072</v>
      </c>
      <c r="C24" s="35" t="s">
        <v>1048</v>
      </c>
      <c r="D24" s="36">
        <v>1.0</v>
      </c>
      <c r="E24" s="34"/>
      <c r="F24" s="38"/>
      <c r="G24" s="37"/>
      <c r="H24" s="37"/>
      <c r="I24" s="34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4" t="s">
        <v>1073</v>
      </c>
      <c r="B25" s="35" t="s">
        <v>1074</v>
      </c>
      <c r="C25" s="35" t="s">
        <v>1048</v>
      </c>
      <c r="D25" s="36">
        <v>2.0</v>
      </c>
      <c r="E25" s="37"/>
      <c r="F25" s="37"/>
      <c r="G25" s="37"/>
      <c r="H25" s="37"/>
      <c r="I25" s="34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4" t="s">
        <v>1075</v>
      </c>
      <c r="B26" s="35" t="s">
        <v>1076</v>
      </c>
      <c r="C26" s="35" t="s">
        <v>1048</v>
      </c>
      <c r="D26" s="36">
        <v>1.0</v>
      </c>
      <c r="E26" s="34"/>
      <c r="F26" s="38"/>
      <c r="G26" s="38"/>
      <c r="H26" s="37"/>
      <c r="I26" s="34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4" t="s">
        <v>1077</v>
      </c>
      <c r="B27" s="35" t="s">
        <v>1078</v>
      </c>
      <c r="C27" s="35" t="s">
        <v>1048</v>
      </c>
      <c r="D27" s="36">
        <v>1.0</v>
      </c>
      <c r="E27" s="37"/>
      <c r="F27" s="37"/>
      <c r="G27" s="37"/>
      <c r="H27" s="37"/>
      <c r="I27" s="34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4" t="s">
        <v>1079</v>
      </c>
      <c r="B28" s="35" t="s">
        <v>1080</v>
      </c>
      <c r="C28" s="35" t="s">
        <v>1048</v>
      </c>
      <c r="D28" s="36">
        <v>20.0</v>
      </c>
      <c r="E28" s="37"/>
      <c r="F28" s="37"/>
      <c r="G28" s="37"/>
      <c r="H28" s="37"/>
      <c r="I28" s="34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4" t="s">
        <v>1081</v>
      </c>
      <c r="B29" s="35" t="s">
        <v>1082</v>
      </c>
      <c r="C29" s="35" t="s">
        <v>1083</v>
      </c>
      <c r="D29" s="36">
        <v>1.0</v>
      </c>
      <c r="E29" s="34"/>
      <c r="F29" s="38"/>
      <c r="G29" s="37"/>
      <c r="H29" s="37"/>
      <c r="I29" s="34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4" t="s">
        <v>1084</v>
      </c>
      <c r="B30" s="35" t="s">
        <v>1085</v>
      </c>
      <c r="C30" s="35" t="s">
        <v>1083</v>
      </c>
      <c r="D30" s="36">
        <v>1.0</v>
      </c>
      <c r="E30" s="34"/>
      <c r="F30" s="38"/>
      <c r="G30" s="37"/>
      <c r="H30" s="37"/>
      <c r="I30" s="34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4" t="s">
        <v>1086</v>
      </c>
      <c r="B31" s="35" t="s">
        <v>1087</v>
      </c>
      <c r="C31" s="35" t="s">
        <v>1088</v>
      </c>
      <c r="D31" s="36">
        <v>1.0</v>
      </c>
      <c r="E31" s="34"/>
      <c r="F31" s="38"/>
      <c r="G31" s="37"/>
      <c r="H31" s="37"/>
      <c r="I31" s="34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4" t="s">
        <v>1089</v>
      </c>
      <c r="B32" s="35" t="s">
        <v>1090</v>
      </c>
      <c r="C32" s="35" t="s">
        <v>1088</v>
      </c>
      <c r="D32" s="36">
        <v>1.0</v>
      </c>
      <c r="E32" s="37"/>
      <c r="F32" s="37"/>
      <c r="G32" s="37"/>
      <c r="H32" s="37"/>
      <c r="I32" s="34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4" t="s">
        <v>1091</v>
      </c>
      <c r="B33" s="35" t="s">
        <v>1092</v>
      </c>
      <c r="C33" s="35" t="s">
        <v>1088</v>
      </c>
      <c r="D33" s="36">
        <v>4.0</v>
      </c>
      <c r="E33" s="37"/>
      <c r="F33" s="37"/>
      <c r="G33" s="37"/>
      <c r="H33" s="37"/>
      <c r="I33" s="34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4" t="s">
        <v>1093</v>
      </c>
      <c r="B34" s="35" t="s">
        <v>1094</v>
      </c>
      <c r="C34" s="35" t="s">
        <v>1088</v>
      </c>
      <c r="D34" s="36">
        <v>11.0</v>
      </c>
      <c r="E34" s="34"/>
      <c r="F34" s="38"/>
      <c r="G34" s="37"/>
      <c r="H34" s="37"/>
      <c r="I34" s="34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4" t="s">
        <v>1095</v>
      </c>
      <c r="B35" s="35" t="s">
        <v>1096</v>
      </c>
      <c r="C35" s="35" t="s">
        <v>1097</v>
      </c>
      <c r="D35" s="36">
        <v>2.0</v>
      </c>
      <c r="E35" s="34"/>
      <c r="F35" s="38"/>
      <c r="G35" s="37"/>
      <c r="H35" s="37"/>
      <c r="I35" s="34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4" t="s">
        <v>1098</v>
      </c>
      <c r="B36" s="35" t="s">
        <v>1099</v>
      </c>
      <c r="C36" s="35" t="s">
        <v>1097</v>
      </c>
      <c r="D36" s="36">
        <v>1.0</v>
      </c>
      <c r="E36" s="34"/>
      <c r="F36" s="38"/>
      <c r="G36" s="37"/>
      <c r="H36" s="37"/>
      <c r="I36" s="34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4" t="s">
        <v>1100</v>
      </c>
      <c r="B37" s="35" t="s">
        <v>1101</v>
      </c>
      <c r="C37" s="35" t="s">
        <v>1102</v>
      </c>
      <c r="D37" s="36">
        <v>1.0</v>
      </c>
      <c r="E37" s="34"/>
      <c r="F37" s="38"/>
      <c r="G37" s="37"/>
      <c r="H37" s="37"/>
      <c r="I37" s="34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4" t="s">
        <v>1103</v>
      </c>
      <c r="B38" s="35" t="s">
        <v>1104</v>
      </c>
      <c r="C38" s="35" t="s">
        <v>1102</v>
      </c>
      <c r="D38" s="36">
        <v>1.0</v>
      </c>
      <c r="E38" s="37"/>
      <c r="F38" s="37"/>
      <c r="G38" s="37"/>
      <c r="H38" s="37"/>
      <c r="I38" s="34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4" t="s">
        <v>1105</v>
      </c>
      <c r="B39" s="35" t="s">
        <v>1106</v>
      </c>
      <c r="C39" s="35" t="s">
        <v>1102</v>
      </c>
      <c r="D39" s="36">
        <v>1.0</v>
      </c>
      <c r="E39" s="37"/>
      <c r="F39" s="37"/>
      <c r="G39" s="37"/>
      <c r="H39" s="37"/>
      <c r="I39" s="34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4" t="s">
        <v>1107</v>
      </c>
      <c r="B40" s="35" t="s">
        <v>1108</v>
      </c>
      <c r="C40" s="35" t="s">
        <v>1102</v>
      </c>
      <c r="D40" s="36">
        <v>1.0</v>
      </c>
      <c r="E40" s="34"/>
      <c r="F40" s="38"/>
      <c r="G40" s="37"/>
      <c r="H40" s="37"/>
      <c r="I40" s="34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4" t="s">
        <v>1109</v>
      </c>
      <c r="B41" s="35" t="s">
        <v>1110</v>
      </c>
      <c r="C41" s="35" t="s">
        <v>1102</v>
      </c>
      <c r="D41" s="36">
        <v>1.0</v>
      </c>
      <c r="E41" s="37"/>
      <c r="F41" s="37"/>
      <c r="G41" s="37"/>
      <c r="H41" s="37"/>
      <c r="I41" s="34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4" t="s">
        <v>1111</v>
      </c>
      <c r="B42" s="35" t="s">
        <v>1112</v>
      </c>
      <c r="C42" s="35" t="s">
        <v>1102</v>
      </c>
      <c r="D42" s="36">
        <v>1.0</v>
      </c>
      <c r="E42" s="34"/>
      <c r="F42" s="38"/>
      <c r="G42" s="37"/>
      <c r="H42" s="37"/>
      <c r="I42" s="34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4" t="s">
        <v>1113</v>
      </c>
      <c r="B43" s="35" t="s">
        <v>1114</v>
      </c>
      <c r="C43" s="35" t="s">
        <v>1102</v>
      </c>
      <c r="D43" s="36">
        <v>1.0</v>
      </c>
      <c r="E43" s="34"/>
      <c r="F43" s="38"/>
      <c r="G43" s="37"/>
      <c r="H43" s="37"/>
      <c r="I43" s="34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4" t="s">
        <v>1115</v>
      </c>
      <c r="B44" s="35" t="s">
        <v>1116</v>
      </c>
      <c r="C44" s="35" t="s">
        <v>1102</v>
      </c>
      <c r="D44" s="36">
        <v>1.0</v>
      </c>
      <c r="E44" s="34"/>
      <c r="F44" s="38"/>
      <c r="G44" s="37"/>
      <c r="H44" s="37"/>
      <c r="I44" s="34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4" t="s">
        <v>1117</v>
      </c>
      <c r="B45" s="35" t="s">
        <v>1118</v>
      </c>
      <c r="C45" s="35" t="s">
        <v>1102</v>
      </c>
      <c r="D45" s="36">
        <v>1.0</v>
      </c>
      <c r="E45" s="34"/>
      <c r="F45" s="38"/>
      <c r="G45" s="38"/>
      <c r="H45" s="37"/>
      <c r="I45" s="34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4" t="s">
        <v>1119</v>
      </c>
      <c r="B46" s="35" t="s">
        <v>1120</v>
      </c>
      <c r="C46" s="35" t="s">
        <v>1102</v>
      </c>
      <c r="D46" s="36">
        <v>1.0</v>
      </c>
      <c r="E46" s="37"/>
      <c r="F46" s="37"/>
      <c r="G46" s="37"/>
      <c r="H46" s="37"/>
      <c r="I46" s="34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4" t="s">
        <v>1121</v>
      </c>
      <c r="B47" s="35" t="s">
        <v>1122</v>
      </c>
      <c r="C47" s="35" t="s">
        <v>1102</v>
      </c>
      <c r="D47" s="36">
        <v>1.0</v>
      </c>
      <c r="E47" s="37"/>
      <c r="F47" s="37"/>
      <c r="G47" s="37"/>
      <c r="H47" s="37"/>
      <c r="I47" s="34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4" t="s">
        <v>1123</v>
      </c>
      <c r="B48" s="35" t="s">
        <v>1124</v>
      </c>
      <c r="C48" s="35" t="s">
        <v>1102</v>
      </c>
      <c r="D48" s="36">
        <v>1.0</v>
      </c>
      <c r="E48" s="34"/>
      <c r="F48" s="38"/>
      <c r="G48" s="38"/>
      <c r="H48" s="37"/>
      <c r="I48" s="34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4" t="s">
        <v>1125</v>
      </c>
      <c r="B49" s="35" t="s">
        <v>1126</v>
      </c>
      <c r="C49" s="35" t="s">
        <v>1102</v>
      </c>
      <c r="D49" s="36">
        <v>2.0</v>
      </c>
      <c r="E49" s="37"/>
      <c r="F49" s="37"/>
      <c r="G49" s="37"/>
      <c r="H49" s="37"/>
      <c r="I49" s="34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4" t="s">
        <v>1127</v>
      </c>
      <c r="B50" s="35" t="s">
        <v>1128</v>
      </c>
      <c r="C50" s="35" t="s">
        <v>1102</v>
      </c>
      <c r="D50" s="36">
        <v>1.0</v>
      </c>
      <c r="E50" s="34"/>
      <c r="F50" s="38"/>
      <c r="G50" s="37"/>
      <c r="H50" s="37"/>
      <c r="I50" s="34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4" t="s">
        <v>1129</v>
      </c>
      <c r="B51" s="35" t="s">
        <v>1130</v>
      </c>
      <c r="C51" s="35" t="s">
        <v>1131</v>
      </c>
      <c r="D51" s="36">
        <v>1.0</v>
      </c>
      <c r="E51" s="34"/>
      <c r="F51" s="38"/>
      <c r="G51" s="37"/>
      <c r="H51" s="37"/>
      <c r="I51" s="34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4" t="s">
        <v>1132</v>
      </c>
      <c r="B52" s="35" t="s">
        <v>1133</v>
      </c>
      <c r="C52" s="35" t="s">
        <v>1131</v>
      </c>
      <c r="D52" s="36">
        <v>1.0</v>
      </c>
      <c r="E52" s="34"/>
      <c r="F52" s="37"/>
      <c r="G52" s="37"/>
      <c r="H52" s="37"/>
      <c r="I52" s="34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4" t="s">
        <v>1134</v>
      </c>
      <c r="B53" s="35" t="s">
        <v>1135</v>
      </c>
      <c r="C53" s="35" t="s">
        <v>1131</v>
      </c>
      <c r="D53" s="36">
        <v>1.0</v>
      </c>
      <c r="E53" s="34"/>
      <c r="F53" s="37"/>
      <c r="G53" s="37"/>
      <c r="H53" s="37"/>
      <c r="I53" s="34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4" t="s">
        <v>1136</v>
      </c>
      <c r="B54" s="35" t="s">
        <v>1137</v>
      </c>
      <c r="C54" s="35" t="s">
        <v>1131</v>
      </c>
      <c r="D54" s="36">
        <v>1.0</v>
      </c>
      <c r="E54" s="34"/>
      <c r="F54" s="38"/>
      <c r="G54" s="37"/>
      <c r="H54" s="37"/>
      <c r="I54" s="34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4" t="s">
        <v>1138</v>
      </c>
      <c r="B55" s="35" t="s">
        <v>1139</v>
      </c>
      <c r="C55" s="35" t="s">
        <v>1140</v>
      </c>
      <c r="D55" s="36">
        <v>1.0</v>
      </c>
      <c r="E55" s="37"/>
      <c r="F55" s="37"/>
      <c r="G55" s="37"/>
      <c r="H55" s="37"/>
      <c r="I55" s="34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4" t="s">
        <v>1141</v>
      </c>
      <c r="B56" s="35" t="s">
        <v>1142</v>
      </c>
      <c r="C56" s="35" t="s">
        <v>1140</v>
      </c>
      <c r="D56" s="36">
        <v>1.0</v>
      </c>
      <c r="E56" s="34"/>
      <c r="F56" s="38"/>
      <c r="G56" s="37"/>
      <c r="H56" s="37"/>
      <c r="I56" s="34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4" t="s">
        <v>1143</v>
      </c>
      <c r="B57" s="35" t="s">
        <v>1144</v>
      </c>
      <c r="C57" s="35" t="s">
        <v>1140</v>
      </c>
      <c r="D57" s="36">
        <v>1.0</v>
      </c>
      <c r="E57" s="34"/>
      <c r="F57" s="38"/>
      <c r="G57" s="37"/>
      <c r="H57" s="37"/>
      <c r="I57" s="34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4" t="s">
        <v>1145</v>
      </c>
      <c r="B58" s="35" t="s">
        <v>1146</v>
      </c>
      <c r="C58" s="35" t="s">
        <v>1140</v>
      </c>
      <c r="D58" s="36">
        <v>1.0</v>
      </c>
      <c r="E58" s="37"/>
      <c r="F58" s="37"/>
      <c r="G58" s="37"/>
      <c r="H58" s="37"/>
      <c r="I58" s="34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4" t="s">
        <v>1147</v>
      </c>
      <c r="B59" s="35" t="s">
        <v>1148</v>
      </c>
      <c r="C59" s="35" t="s">
        <v>1140</v>
      </c>
      <c r="D59" s="36">
        <v>1.0</v>
      </c>
      <c r="E59" s="37"/>
      <c r="F59" s="37"/>
      <c r="G59" s="37"/>
      <c r="H59" s="37"/>
      <c r="I59" s="34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4" t="s">
        <v>1149</v>
      </c>
      <c r="B60" s="35" t="s">
        <v>1150</v>
      </c>
      <c r="C60" s="35" t="s">
        <v>1140</v>
      </c>
      <c r="D60" s="36">
        <v>20.0</v>
      </c>
      <c r="E60" s="37"/>
      <c r="F60" s="37"/>
      <c r="G60" s="37"/>
      <c r="H60" s="37"/>
      <c r="I60" s="34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4" t="s">
        <v>1151</v>
      </c>
      <c r="B61" s="35" t="s">
        <v>1152</v>
      </c>
      <c r="C61" s="35" t="s">
        <v>1140</v>
      </c>
      <c r="D61" s="36">
        <v>1.0</v>
      </c>
      <c r="E61" s="34"/>
      <c r="F61" s="38"/>
      <c r="G61" s="37"/>
      <c r="H61" s="37"/>
      <c r="I61" s="34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4" t="s">
        <v>1153</v>
      </c>
      <c r="B62" s="35" t="s">
        <v>1154</v>
      </c>
      <c r="C62" s="35" t="s">
        <v>1155</v>
      </c>
      <c r="D62" s="36">
        <v>4.0</v>
      </c>
      <c r="E62" s="37"/>
      <c r="F62" s="37"/>
      <c r="G62" s="37"/>
      <c r="H62" s="37"/>
      <c r="I62" s="34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4" t="s">
        <v>1156</v>
      </c>
      <c r="B63" s="35" t="s">
        <v>1157</v>
      </c>
      <c r="C63" s="35" t="s">
        <v>1155</v>
      </c>
      <c r="D63" s="36">
        <v>1.0</v>
      </c>
      <c r="E63" s="34"/>
      <c r="F63" s="38"/>
      <c r="G63" s="37"/>
      <c r="H63" s="37"/>
      <c r="I63" s="34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4" t="s">
        <v>1158</v>
      </c>
      <c r="B64" s="35" t="s">
        <v>1159</v>
      </c>
      <c r="C64" s="35" t="s">
        <v>1155</v>
      </c>
      <c r="D64" s="36">
        <v>1.0</v>
      </c>
      <c r="E64" s="34"/>
      <c r="F64" s="38"/>
      <c r="G64" s="37"/>
      <c r="H64" s="37"/>
      <c r="I64" s="34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4" t="s">
        <v>1160</v>
      </c>
      <c r="B65" s="35" t="s">
        <v>1161</v>
      </c>
      <c r="C65" s="35" t="s">
        <v>1155</v>
      </c>
      <c r="D65" s="36">
        <v>4.0</v>
      </c>
      <c r="E65" s="37"/>
      <c r="F65" s="37"/>
      <c r="G65" s="37"/>
      <c r="H65" s="37"/>
      <c r="I65" s="34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4" t="s">
        <v>1162</v>
      </c>
      <c r="B66" s="35" t="s">
        <v>1163</v>
      </c>
      <c r="C66" s="35" t="s">
        <v>1155</v>
      </c>
      <c r="D66" s="36">
        <v>2.0</v>
      </c>
      <c r="E66" s="37"/>
      <c r="F66" s="37"/>
      <c r="G66" s="37"/>
      <c r="H66" s="37"/>
      <c r="I66" s="34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4" t="s">
        <v>1164</v>
      </c>
      <c r="B67" s="35" t="s">
        <v>1165</v>
      </c>
      <c r="C67" s="35" t="s">
        <v>1155</v>
      </c>
      <c r="D67" s="36">
        <v>4.0</v>
      </c>
      <c r="E67" s="37"/>
      <c r="F67" s="37"/>
      <c r="G67" s="37"/>
      <c r="H67" s="37"/>
      <c r="I67" s="34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4" t="s">
        <v>1166</v>
      </c>
      <c r="B68" s="35" t="s">
        <v>1167</v>
      </c>
      <c r="C68" s="35" t="s">
        <v>1155</v>
      </c>
      <c r="D68" s="36">
        <v>197.0</v>
      </c>
      <c r="E68" s="37"/>
      <c r="F68" s="37"/>
      <c r="G68" s="37"/>
      <c r="H68" s="37"/>
      <c r="I68" s="34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4" t="s">
        <v>1168</v>
      </c>
      <c r="B69" s="35" t="s">
        <v>1169</v>
      </c>
      <c r="C69" s="35" t="s">
        <v>1155</v>
      </c>
      <c r="D69" s="36">
        <v>1.0</v>
      </c>
      <c r="E69" s="37"/>
      <c r="F69" s="37"/>
      <c r="G69" s="37"/>
      <c r="H69" s="37"/>
      <c r="I69" s="34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4" t="s">
        <v>1170</v>
      </c>
      <c r="B70" s="35" t="s">
        <v>1018</v>
      </c>
      <c r="C70" s="35" t="s">
        <v>1155</v>
      </c>
      <c r="D70" s="36">
        <v>1.0</v>
      </c>
      <c r="E70" s="37"/>
      <c r="F70" s="37"/>
      <c r="G70" s="37"/>
      <c r="H70" s="37"/>
      <c r="I70" s="34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4" t="s">
        <v>1171</v>
      </c>
      <c r="B71" s="35" t="s">
        <v>1172</v>
      </c>
      <c r="C71" s="35" t="s">
        <v>1173</v>
      </c>
      <c r="D71" s="36">
        <v>1.0</v>
      </c>
      <c r="E71" s="34"/>
      <c r="F71" s="38"/>
      <c r="G71" s="37"/>
      <c r="H71" s="37"/>
      <c r="I71" s="34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4" t="s">
        <v>1174</v>
      </c>
      <c r="B72" s="35" t="s">
        <v>1175</v>
      </c>
      <c r="C72" s="35" t="s">
        <v>1176</v>
      </c>
      <c r="D72" s="36">
        <v>1.0</v>
      </c>
      <c r="E72" s="34"/>
      <c r="F72" s="38"/>
      <c r="G72" s="37"/>
      <c r="H72" s="37"/>
      <c r="I72" s="34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4" t="s">
        <v>1177</v>
      </c>
      <c r="B73" s="35" t="s">
        <v>1178</v>
      </c>
      <c r="C73" s="35" t="s">
        <v>1179</v>
      </c>
      <c r="D73" s="36">
        <v>1.0</v>
      </c>
      <c r="E73" s="34"/>
      <c r="F73" s="38"/>
      <c r="G73" s="37"/>
      <c r="H73" s="37"/>
      <c r="I73" s="34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4" t="s">
        <v>1180</v>
      </c>
      <c r="B74" s="35" t="s">
        <v>1181</v>
      </c>
      <c r="C74" s="35" t="s">
        <v>1179</v>
      </c>
      <c r="D74" s="36">
        <v>1.0</v>
      </c>
      <c r="E74" s="37"/>
      <c r="F74" s="37"/>
      <c r="G74" s="37"/>
      <c r="H74" s="37"/>
      <c r="I74" s="34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4" t="s">
        <v>1182</v>
      </c>
      <c r="B75" s="35" t="s">
        <v>1183</v>
      </c>
      <c r="C75" s="35" t="s">
        <v>1184</v>
      </c>
      <c r="D75" s="36">
        <v>1.0</v>
      </c>
      <c r="E75" s="34"/>
      <c r="F75" s="38"/>
      <c r="G75" s="37"/>
      <c r="H75" s="37"/>
      <c r="I75" s="34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4" t="s">
        <v>1185</v>
      </c>
      <c r="B76" s="35" t="s">
        <v>1186</v>
      </c>
      <c r="C76" s="35" t="s">
        <v>1187</v>
      </c>
      <c r="D76" s="36">
        <v>1.0</v>
      </c>
      <c r="E76" s="37"/>
      <c r="F76" s="37"/>
      <c r="G76" s="37"/>
      <c r="H76" s="37"/>
      <c r="I76" s="34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4" t="s">
        <v>1188</v>
      </c>
      <c r="B77" s="35" t="s">
        <v>1189</v>
      </c>
      <c r="C77" s="35" t="s">
        <v>1190</v>
      </c>
      <c r="D77" s="36">
        <v>9.0</v>
      </c>
      <c r="E77" s="37"/>
      <c r="F77" s="37"/>
      <c r="G77" s="37"/>
      <c r="H77" s="37"/>
      <c r="I77" s="34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4" t="s">
        <v>1191</v>
      </c>
      <c r="B78" s="35" t="s">
        <v>1192</v>
      </c>
      <c r="C78" s="35" t="s">
        <v>1190</v>
      </c>
      <c r="D78" s="36">
        <v>1.0</v>
      </c>
      <c r="E78" s="37"/>
      <c r="F78" s="37"/>
      <c r="G78" s="37"/>
      <c r="H78" s="37"/>
      <c r="I78" s="34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4" t="s">
        <v>1193</v>
      </c>
      <c r="B79" s="35" t="s">
        <v>1194</v>
      </c>
      <c r="C79" s="35" t="s">
        <v>1195</v>
      </c>
      <c r="D79" s="36">
        <v>3.0</v>
      </c>
      <c r="E79" s="37"/>
      <c r="F79" s="37"/>
      <c r="G79" s="37"/>
      <c r="H79" s="37"/>
      <c r="I79" s="34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4" t="e">
        <v>#N/A</v>
      </c>
      <c r="B80" s="35" t="e">
        <v>#N/A</v>
      </c>
      <c r="C80" s="35" t="e">
        <v>#N/A</v>
      </c>
      <c r="D80" s="36">
        <v>82.0</v>
      </c>
      <c r="E80" s="37"/>
      <c r="F80" s="37"/>
      <c r="G80" s="37"/>
      <c r="H80" s="37"/>
      <c r="I80" s="34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4"/>
      <c r="C81" s="34"/>
      <c r="D81" s="37"/>
      <c r="E81" s="37"/>
      <c r="F81" s="37"/>
      <c r="G81" s="37"/>
      <c r="H81" s="37"/>
      <c r="I81" s="34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4"/>
      <c r="C82" s="34"/>
      <c r="D82" s="37"/>
      <c r="E82" s="37"/>
      <c r="F82" s="37"/>
      <c r="G82" s="37"/>
      <c r="H82" s="37"/>
      <c r="I82" s="34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4"/>
      <c r="C83" s="34"/>
      <c r="D83" s="37"/>
      <c r="E83" s="37"/>
      <c r="F83" s="37"/>
      <c r="G83" s="37"/>
      <c r="H83" s="37"/>
      <c r="I83" s="34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4"/>
      <c r="C84" s="34"/>
      <c r="D84" s="37"/>
      <c r="E84" s="37"/>
      <c r="F84" s="37"/>
      <c r="G84" s="37"/>
      <c r="H84" s="37"/>
      <c r="I84" s="34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4"/>
      <c r="C85" s="34"/>
      <c r="D85" s="37"/>
      <c r="E85" s="37"/>
      <c r="F85" s="37"/>
      <c r="G85" s="37"/>
      <c r="H85" s="37"/>
      <c r="I85" s="34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4"/>
      <c r="C86" s="34"/>
      <c r="D86" s="37"/>
      <c r="E86" s="37"/>
      <c r="F86" s="37"/>
      <c r="G86" s="37"/>
      <c r="H86" s="37"/>
      <c r="I86" s="34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4"/>
      <c r="C87" s="34"/>
      <c r="D87" s="37"/>
      <c r="E87" s="37"/>
      <c r="F87" s="37"/>
      <c r="G87" s="37"/>
      <c r="H87" s="37"/>
      <c r="I87" s="34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4"/>
      <c r="C88" s="34"/>
      <c r="D88" s="37"/>
      <c r="E88" s="37"/>
      <c r="F88" s="37"/>
      <c r="G88" s="37"/>
      <c r="H88" s="37"/>
      <c r="I88" s="34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4"/>
      <c r="C89" s="34"/>
      <c r="D89" s="37"/>
      <c r="E89" s="37"/>
      <c r="F89" s="37"/>
      <c r="G89" s="37"/>
      <c r="H89" s="37"/>
      <c r="I89" s="34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4"/>
      <c r="C90" s="34"/>
      <c r="D90" s="37"/>
      <c r="E90" s="37"/>
      <c r="F90" s="37"/>
      <c r="G90" s="37"/>
      <c r="H90" s="37"/>
      <c r="I90" s="34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4"/>
      <c r="C91" s="34"/>
      <c r="D91" s="37"/>
      <c r="E91" s="37"/>
      <c r="F91" s="37"/>
      <c r="G91" s="37"/>
      <c r="H91" s="37"/>
      <c r="I91" s="34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4"/>
      <c r="C92" s="34"/>
      <c r="D92" s="37"/>
      <c r="E92" s="37"/>
      <c r="F92" s="37"/>
      <c r="G92" s="37"/>
      <c r="H92" s="37"/>
      <c r="I92" s="34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4"/>
      <c r="C93" s="34"/>
      <c r="D93" s="37"/>
      <c r="E93" s="37"/>
      <c r="F93" s="37"/>
      <c r="G93" s="37"/>
      <c r="H93" s="37"/>
      <c r="I93" s="34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4"/>
      <c r="C94" s="34"/>
      <c r="D94" s="37"/>
      <c r="E94" s="37"/>
      <c r="F94" s="37"/>
      <c r="G94" s="37"/>
      <c r="H94" s="37"/>
      <c r="I94" s="34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4"/>
      <c r="C95" s="34"/>
      <c r="D95" s="37"/>
      <c r="E95" s="37"/>
      <c r="F95" s="37"/>
      <c r="G95" s="37"/>
      <c r="H95" s="37"/>
      <c r="I95" s="34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4"/>
      <c r="C96" s="34"/>
      <c r="D96" s="37"/>
      <c r="E96" s="37"/>
      <c r="F96" s="37"/>
      <c r="G96" s="37"/>
      <c r="H96" s="37"/>
      <c r="I96" s="34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4"/>
      <c r="C97" s="34"/>
      <c r="D97" s="37"/>
      <c r="E97" s="37"/>
      <c r="F97" s="37"/>
      <c r="G97" s="37"/>
      <c r="H97" s="37"/>
      <c r="I97" s="34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4"/>
      <c r="C98" s="34"/>
      <c r="D98" s="37"/>
      <c r="E98" s="37"/>
      <c r="F98" s="37"/>
      <c r="G98" s="37"/>
      <c r="H98" s="37"/>
      <c r="I98" s="34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4"/>
      <c r="C99" s="34"/>
      <c r="D99" s="37"/>
      <c r="E99" s="37"/>
      <c r="F99" s="37"/>
      <c r="G99" s="37"/>
      <c r="H99" s="37"/>
      <c r="I99" s="34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4"/>
      <c r="C100" s="34"/>
      <c r="D100" s="37"/>
      <c r="E100" s="37"/>
      <c r="F100" s="37"/>
      <c r="G100" s="37"/>
      <c r="H100" s="37"/>
      <c r="I100" s="34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4"/>
      <c r="C101" s="34"/>
      <c r="D101" s="37"/>
      <c r="E101" s="37"/>
      <c r="F101" s="37"/>
      <c r="G101" s="37"/>
      <c r="H101" s="37"/>
      <c r="I101" s="34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4"/>
      <c r="C102" s="34"/>
      <c r="D102" s="37"/>
      <c r="E102" s="37"/>
      <c r="F102" s="37"/>
      <c r="G102" s="37"/>
      <c r="H102" s="37"/>
      <c r="I102" s="34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4"/>
      <c r="C103" s="34"/>
      <c r="D103" s="37"/>
      <c r="E103" s="37"/>
      <c r="F103" s="37"/>
      <c r="G103" s="37"/>
      <c r="H103" s="37"/>
      <c r="I103" s="34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4"/>
      <c r="C104" s="34"/>
      <c r="D104" s="37"/>
      <c r="E104" s="37"/>
      <c r="F104" s="37"/>
      <c r="G104" s="37"/>
      <c r="H104" s="37"/>
      <c r="I104" s="34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4"/>
      <c r="C105" s="34"/>
      <c r="D105" s="37"/>
      <c r="E105" s="37"/>
      <c r="F105" s="37"/>
      <c r="G105" s="37"/>
      <c r="H105" s="37"/>
      <c r="I105" s="34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4"/>
      <c r="C106" s="34"/>
      <c r="D106" s="37"/>
      <c r="E106" s="37"/>
      <c r="F106" s="37"/>
      <c r="G106" s="37"/>
      <c r="H106" s="37"/>
      <c r="I106" s="34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4"/>
      <c r="C107" s="34"/>
      <c r="D107" s="37"/>
      <c r="E107" s="37"/>
      <c r="F107" s="37"/>
      <c r="G107" s="37"/>
      <c r="H107" s="37"/>
      <c r="I107" s="34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4"/>
      <c r="C108" s="34"/>
      <c r="D108" s="37"/>
      <c r="E108" s="37"/>
      <c r="F108" s="37"/>
      <c r="G108" s="37"/>
      <c r="H108" s="37"/>
      <c r="I108" s="34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4"/>
      <c r="C109" s="34"/>
      <c r="D109" s="37"/>
      <c r="E109" s="37"/>
      <c r="F109" s="37"/>
      <c r="G109" s="37"/>
      <c r="H109" s="37"/>
      <c r="I109" s="34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4"/>
      <c r="C110" s="34"/>
      <c r="D110" s="37"/>
      <c r="E110" s="37"/>
      <c r="F110" s="37"/>
      <c r="G110" s="37"/>
      <c r="H110" s="37"/>
      <c r="I110" s="34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4"/>
      <c r="C111" s="34"/>
      <c r="D111" s="37"/>
      <c r="E111" s="37"/>
      <c r="F111" s="37"/>
      <c r="G111" s="37"/>
      <c r="H111" s="37"/>
      <c r="I111" s="34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4"/>
      <c r="C112" s="34"/>
      <c r="D112" s="37"/>
      <c r="E112" s="37"/>
      <c r="F112" s="37"/>
      <c r="G112" s="37"/>
      <c r="H112" s="37"/>
      <c r="I112" s="34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4"/>
      <c r="C113" s="34"/>
      <c r="D113" s="37"/>
      <c r="E113" s="37"/>
      <c r="F113" s="37"/>
      <c r="G113" s="37"/>
      <c r="H113" s="37"/>
      <c r="I113" s="34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4"/>
      <c r="C114" s="34"/>
      <c r="D114" s="37"/>
      <c r="E114" s="37"/>
      <c r="F114" s="37"/>
      <c r="G114" s="37"/>
      <c r="H114" s="37"/>
      <c r="I114" s="34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4"/>
      <c r="C115" s="34"/>
      <c r="D115" s="37"/>
      <c r="E115" s="37"/>
      <c r="F115" s="37"/>
      <c r="G115" s="37"/>
      <c r="H115" s="37"/>
      <c r="I115" s="34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4"/>
      <c r="C116" s="34"/>
      <c r="D116" s="37"/>
      <c r="E116" s="37"/>
      <c r="F116" s="37"/>
      <c r="G116" s="37"/>
      <c r="H116" s="37"/>
      <c r="I116" s="34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4"/>
      <c r="C117" s="34"/>
      <c r="D117" s="37"/>
      <c r="E117" s="37"/>
      <c r="F117" s="37"/>
      <c r="G117" s="37"/>
      <c r="H117" s="37"/>
      <c r="I117" s="34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4"/>
      <c r="C118" s="34"/>
      <c r="D118" s="37"/>
      <c r="E118" s="37"/>
      <c r="F118" s="37"/>
      <c r="G118" s="37"/>
      <c r="H118" s="37"/>
      <c r="I118" s="34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4"/>
      <c r="C119" s="34"/>
      <c r="D119" s="37"/>
      <c r="E119" s="37"/>
      <c r="F119" s="37"/>
      <c r="G119" s="37"/>
      <c r="H119" s="37"/>
      <c r="I119" s="34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4"/>
      <c r="C120" s="34"/>
      <c r="D120" s="37"/>
      <c r="E120" s="37"/>
      <c r="F120" s="37"/>
      <c r="G120" s="37"/>
      <c r="H120" s="37"/>
      <c r="I120" s="3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4"/>
      <c r="C121" s="34"/>
      <c r="D121" s="37"/>
      <c r="E121" s="37"/>
      <c r="F121" s="37"/>
      <c r="G121" s="37"/>
      <c r="H121" s="37"/>
      <c r="I121" s="3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4"/>
      <c r="C122" s="34"/>
      <c r="D122" s="37"/>
      <c r="E122" s="37"/>
      <c r="F122" s="37"/>
      <c r="G122" s="37"/>
      <c r="H122" s="37"/>
      <c r="I122" s="3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4"/>
      <c r="C123" s="34"/>
      <c r="D123" s="37"/>
      <c r="E123" s="37"/>
      <c r="F123" s="37"/>
      <c r="G123" s="37"/>
      <c r="H123" s="37"/>
      <c r="I123" s="34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4"/>
      <c r="C124" s="34"/>
      <c r="D124" s="37"/>
      <c r="E124" s="37"/>
      <c r="F124" s="37"/>
      <c r="G124" s="37"/>
      <c r="H124" s="37"/>
      <c r="I124" s="3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4"/>
      <c r="C125" s="34"/>
      <c r="D125" s="37"/>
      <c r="E125" s="37"/>
      <c r="F125" s="37"/>
      <c r="G125" s="37"/>
      <c r="H125" s="37"/>
      <c r="I125" s="3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4"/>
      <c r="C126" s="34"/>
      <c r="D126" s="37"/>
      <c r="E126" s="37"/>
      <c r="F126" s="37"/>
      <c r="G126" s="37"/>
      <c r="H126" s="37"/>
      <c r="I126" s="3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4"/>
      <c r="C127" s="34"/>
      <c r="D127" s="37"/>
      <c r="E127" s="37"/>
      <c r="F127" s="37"/>
      <c r="G127" s="37"/>
      <c r="H127" s="37"/>
      <c r="I127" s="34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4"/>
      <c r="C128" s="34"/>
      <c r="D128" s="37"/>
      <c r="E128" s="37"/>
      <c r="F128" s="37"/>
      <c r="G128" s="37"/>
      <c r="H128" s="37"/>
      <c r="I128" s="3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4"/>
      <c r="C129" s="34"/>
      <c r="D129" s="37"/>
      <c r="E129" s="37"/>
      <c r="F129" s="37"/>
      <c r="G129" s="37"/>
      <c r="H129" s="37"/>
      <c r="I129" s="34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4"/>
      <c r="C130" s="34"/>
      <c r="D130" s="37"/>
      <c r="E130" s="37"/>
      <c r="F130" s="37"/>
      <c r="G130" s="37"/>
      <c r="H130" s="37"/>
      <c r="I130" s="34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4"/>
      <c r="C131" s="34"/>
      <c r="D131" s="37"/>
      <c r="E131" s="37"/>
      <c r="F131" s="37"/>
      <c r="G131" s="37"/>
      <c r="H131" s="37"/>
      <c r="I131" s="34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4"/>
      <c r="C132" s="34"/>
      <c r="D132" s="37"/>
      <c r="E132" s="37"/>
      <c r="F132" s="37"/>
      <c r="G132" s="37"/>
      <c r="H132" s="37"/>
      <c r="I132" s="34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4"/>
      <c r="C133" s="34"/>
      <c r="D133" s="37"/>
      <c r="E133" s="37"/>
      <c r="F133" s="37"/>
      <c r="G133" s="37"/>
      <c r="H133" s="37"/>
      <c r="I133" s="34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4"/>
      <c r="C134" s="34"/>
      <c r="D134" s="37"/>
      <c r="E134" s="37"/>
      <c r="F134" s="37"/>
      <c r="G134" s="37"/>
      <c r="H134" s="37"/>
      <c r="I134" s="34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4"/>
      <c r="C135" s="34"/>
      <c r="D135" s="37"/>
      <c r="E135" s="37"/>
      <c r="F135" s="37"/>
      <c r="G135" s="37"/>
      <c r="H135" s="37"/>
      <c r="I135" s="34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4"/>
      <c r="C136" s="34"/>
      <c r="D136" s="37"/>
      <c r="E136" s="37"/>
      <c r="F136" s="37"/>
      <c r="G136" s="37"/>
      <c r="H136" s="37"/>
      <c r="I136" s="34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4"/>
      <c r="C137" s="34"/>
      <c r="D137" s="37"/>
      <c r="E137" s="37"/>
      <c r="F137" s="37"/>
      <c r="G137" s="37"/>
      <c r="H137" s="37"/>
      <c r="I137" s="34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4"/>
      <c r="C138" s="34"/>
      <c r="D138" s="37"/>
      <c r="E138" s="37"/>
      <c r="F138" s="37"/>
      <c r="G138" s="37"/>
      <c r="H138" s="37"/>
      <c r="I138" s="34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4"/>
      <c r="C139" s="34"/>
      <c r="D139" s="37"/>
      <c r="E139" s="37"/>
      <c r="F139" s="37"/>
      <c r="G139" s="37"/>
      <c r="H139" s="37"/>
      <c r="I139" s="34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4"/>
      <c r="C140" s="34"/>
      <c r="D140" s="37"/>
      <c r="E140" s="37"/>
      <c r="F140" s="37"/>
      <c r="G140" s="37"/>
      <c r="H140" s="37"/>
      <c r="I140" s="34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4"/>
      <c r="C141" s="34"/>
      <c r="D141" s="37"/>
      <c r="E141" s="37"/>
      <c r="F141" s="37"/>
      <c r="G141" s="37"/>
      <c r="H141" s="37"/>
      <c r="I141" s="34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4"/>
      <c r="C142" s="34"/>
      <c r="D142" s="37"/>
      <c r="E142" s="37"/>
      <c r="F142" s="37"/>
      <c r="G142" s="37"/>
      <c r="H142" s="37"/>
      <c r="I142" s="34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4"/>
      <c r="C143" s="34"/>
      <c r="D143" s="37"/>
      <c r="E143" s="37"/>
      <c r="F143" s="37"/>
      <c r="G143" s="37"/>
      <c r="H143" s="37"/>
      <c r="I143" s="34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4"/>
      <c r="C144" s="34"/>
      <c r="D144" s="37"/>
      <c r="E144" s="37"/>
      <c r="F144" s="37"/>
      <c r="G144" s="37"/>
      <c r="H144" s="37"/>
      <c r="I144" s="34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4"/>
      <c r="C145" s="34"/>
      <c r="D145" s="37"/>
      <c r="E145" s="37"/>
      <c r="F145" s="37"/>
      <c r="G145" s="37"/>
      <c r="H145" s="37"/>
      <c r="I145" s="34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4"/>
      <c r="C146" s="34"/>
      <c r="D146" s="37"/>
      <c r="E146" s="37"/>
      <c r="F146" s="37"/>
      <c r="G146" s="37"/>
      <c r="H146" s="37"/>
      <c r="I146" s="34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4"/>
      <c r="C147" s="34"/>
      <c r="D147" s="37"/>
      <c r="E147" s="37"/>
      <c r="F147" s="37"/>
      <c r="G147" s="37"/>
      <c r="H147" s="37"/>
      <c r="I147" s="34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4"/>
      <c r="C148" s="34"/>
      <c r="D148" s="37"/>
      <c r="E148" s="37"/>
      <c r="F148" s="37"/>
      <c r="G148" s="37"/>
      <c r="H148" s="37"/>
      <c r="I148" s="34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4"/>
      <c r="C149" s="34"/>
      <c r="D149" s="37"/>
      <c r="E149" s="37"/>
      <c r="F149" s="37"/>
      <c r="G149" s="37"/>
      <c r="H149" s="37"/>
      <c r="I149" s="34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4"/>
      <c r="C150" s="34"/>
      <c r="D150" s="37"/>
      <c r="E150" s="37"/>
      <c r="F150" s="37"/>
      <c r="G150" s="37"/>
      <c r="H150" s="37"/>
      <c r="I150" s="34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4"/>
      <c r="C151" s="34"/>
      <c r="D151" s="37"/>
      <c r="E151" s="34"/>
      <c r="F151" s="37"/>
      <c r="G151" s="37"/>
      <c r="H151" s="37"/>
      <c r="I151" s="34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4"/>
      <c r="C152" s="34"/>
      <c r="D152" s="37"/>
      <c r="E152" s="34"/>
      <c r="F152" s="37"/>
      <c r="G152" s="37"/>
      <c r="H152" s="37"/>
      <c r="I152" s="34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4"/>
      <c r="C153" s="34"/>
      <c r="D153" s="37"/>
      <c r="E153" s="34"/>
      <c r="F153" s="37"/>
      <c r="G153" s="37"/>
      <c r="H153" s="37"/>
      <c r="I153" s="34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4"/>
      <c r="C154" s="34"/>
      <c r="D154" s="37"/>
      <c r="E154" s="34"/>
      <c r="F154" s="37"/>
      <c r="G154" s="37"/>
      <c r="H154" s="37"/>
      <c r="I154" s="34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4"/>
      <c r="C155" s="34"/>
      <c r="D155" s="37"/>
      <c r="E155" s="34"/>
      <c r="F155" s="37"/>
      <c r="G155" s="37"/>
      <c r="H155" s="37"/>
      <c r="I155" s="34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4"/>
      <c r="C156" s="34"/>
      <c r="D156" s="37"/>
      <c r="E156" s="34"/>
      <c r="F156" s="37"/>
      <c r="G156" s="37"/>
      <c r="H156" s="37"/>
      <c r="I156" s="34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4"/>
      <c r="C157" s="34"/>
      <c r="D157" s="37"/>
      <c r="E157" s="34"/>
      <c r="F157" s="37"/>
      <c r="G157" s="37"/>
      <c r="H157" s="37"/>
      <c r="I157" s="34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4"/>
      <c r="C158" s="34"/>
      <c r="D158" s="37"/>
      <c r="E158" s="34"/>
      <c r="F158" s="37"/>
      <c r="G158" s="37"/>
      <c r="H158" s="37"/>
      <c r="I158" s="34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4"/>
      <c r="C159" s="34"/>
      <c r="D159" s="37"/>
      <c r="E159" s="34"/>
      <c r="F159" s="37"/>
      <c r="G159" s="37"/>
      <c r="H159" s="37"/>
      <c r="I159" s="34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4"/>
      <c r="C160" s="34"/>
      <c r="D160" s="37"/>
      <c r="E160" s="34"/>
      <c r="F160" s="37"/>
      <c r="G160" s="37"/>
      <c r="H160" s="37"/>
      <c r="I160" s="34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4"/>
      <c r="C161" s="34"/>
      <c r="D161" s="37"/>
      <c r="E161" s="34"/>
      <c r="F161" s="37"/>
      <c r="G161" s="37"/>
      <c r="H161" s="37"/>
      <c r="I161" s="34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4"/>
      <c r="C162" s="34"/>
      <c r="D162" s="37"/>
      <c r="E162" s="34"/>
      <c r="F162" s="37"/>
      <c r="G162" s="37"/>
      <c r="H162" s="37"/>
      <c r="I162" s="34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4"/>
      <c r="C163" s="34"/>
      <c r="D163" s="37"/>
      <c r="E163" s="34"/>
      <c r="F163" s="37"/>
      <c r="G163" s="37"/>
      <c r="H163" s="37"/>
      <c r="I163" s="34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4"/>
      <c r="C164" s="34"/>
      <c r="D164" s="37"/>
      <c r="E164" s="34"/>
      <c r="F164" s="37"/>
      <c r="G164" s="37"/>
      <c r="H164" s="37"/>
      <c r="I164" s="34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4"/>
      <c r="C165" s="34"/>
      <c r="D165" s="37"/>
      <c r="E165" s="34"/>
      <c r="F165" s="37"/>
      <c r="G165" s="37"/>
      <c r="H165" s="37"/>
      <c r="I165" s="34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4"/>
      <c r="C166" s="34"/>
      <c r="D166" s="37"/>
      <c r="E166" s="34"/>
      <c r="F166" s="37"/>
      <c r="G166" s="37"/>
      <c r="H166" s="37"/>
      <c r="I166" s="34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4"/>
      <c r="C167" s="34"/>
      <c r="D167" s="37"/>
      <c r="E167" s="34"/>
      <c r="F167" s="37"/>
      <c r="G167" s="37"/>
      <c r="H167" s="37"/>
      <c r="I167" s="34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4"/>
      <c r="C168" s="34"/>
      <c r="D168" s="37"/>
      <c r="E168" s="34"/>
      <c r="F168" s="37"/>
      <c r="G168" s="37"/>
      <c r="H168" s="37"/>
      <c r="I168" s="34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4"/>
      <c r="C169" s="34"/>
      <c r="D169" s="37"/>
      <c r="E169" s="34"/>
      <c r="F169" s="37"/>
      <c r="G169" s="37"/>
      <c r="H169" s="37"/>
      <c r="I169" s="34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4"/>
      <c r="C170" s="34"/>
      <c r="D170" s="37"/>
      <c r="E170" s="34"/>
      <c r="F170" s="37"/>
      <c r="G170" s="37"/>
      <c r="H170" s="37"/>
      <c r="I170" s="34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4"/>
      <c r="C171" s="34"/>
      <c r="D171" s="37"/>
      <c r="E171" s="34"/>
      <c r="F171" s="37"/>
      <c r="G171" s="37"/>
      <c r="H171" s="37"/>
      <c r="I171" s="34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4"/>
      <c r="C172" s="34"/>
      <c r="D172" s="37"/>
      <c r="E172" s="34"/>
      <c r="F172" s="37"/>
      <c r="G172" s="37"/>
      <c r="H172" s="37"/>
      <c r="I172" s="34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4"/>
      <c r="C173" s="34"/>
      <c r="D173" s="37"/>
      <c r="E173" s="34"/>
      <c r="F173" s="37"/>
      <c r="G173" s="37"/>
      <c r="H173" s="37"/>
      <c r="I173" s="34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4"/>
      <c r="C174" s="34"/>
      <c r="D174" s="37"/>
      <c r="E174" s="34"/>
      <c r="F174" s="37"/>
      <c r="G174" s="37"/>
      <c r="H174" s="37"/>
      <c r="I174" s="34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4"/>
      <c r="C175" s="34"/>
      <c r="D175" s="37"/>
      <c r="E175" s="34"/>
      <c r="F175" s="37"/>
      <c r="G175" s="37"/>
      <c r="H175" s="37"/>
      <c r="I175" s="34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4"/>
      <c r="C176" s="34"/>
      <c r="D176" s="37"/>
      <c r="E176" s="34"/>
      <c r="F176" s="37"/>
      <c r="G176" s="37"/>
      <c r="H176" s="37"/>
      <c r="I176" s="34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4"/>
      <c r="C177" s="34"/>
      <c r="D177" s="37"/>
      <c r="E177" s="34"/>
      <c r="F177" s="37"/>
      <c r="G177" s="37"/>
      <c r="H177" s="37"/>
      <c r="I177" s="34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4"/>
      <c r="C178" s="34"/>
      <c r="D178" s="37"/>
      <c r="E178" s="34"/>
      <c r="F178" s="37"/>
      <c r="G178" s="37"/>
      <c r="H178" s="37"/>
      <c r="I178" s="34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4"/>
      <c r="C179" s="34"/>
      <c r="D179" s="37"/>
      <c r="E179" s="34"/>
      <c r="F179" s="37"/>
      <c r="G179" s="37"/>
      <c r="H179" s="37"/>
      <c r="I179" s="34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4"/>
      <c r="C180" s="34"/>
      <c r="D180" s="37"/>
      <c r="E180" s="34"/>
      <c r="F180" s="37"/>
      <c r="G180" s="37"/>
      <c r="H180" s="37"/>
      <c r="I180" s="34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4"/>
      <c r="C181" s="34"/>
      <c r="D181" s="37"/>
      <c r="E181" s="34"/>
      <c r="F181" s="37"/>
      <c r="G181" s="37"/>
      <c r="H181" s="37"/>
      <c r="I181" s="34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4"/>
      <c r="C182" s="34"/>
      <c r="D182" s="37"/>
      <c r="E182" s="34"/>
      <c r="F182" s="37"/>
      <c r="G182" s="37"/>
      <c r="H182" s="37"/>
      <c r="I182" s="34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4"/>
      <c r="C183" s="34"/>
      <c r="D183" s="37"/>
      <c r="E183" s="34"/>
      <c r="F183" s="37"/>
      <c r="G183" s="37"/>
      <c r="H183" s="37"/>
      <c r="I183" s="34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4"/>
      <c r="C184" s="34"/>
      <c r="D184" s="37"/>
      <c r="E184" s="34"/>
      <c r="F184" s="37"/>
      <c r="G184" s="37"/>
      <c r="H184" s="37"/>
      <c r="I184" s="34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4"/>
      <c r="C185" s="34"/>
      <c r="D185" s="37"/>
      <c r="E185" s="34"/>
      <c r="F185" s="37"/>
      <c r="G185" s="37"/>
      <c r="H185" s="37"/>
      <c r="I185" s="34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4"/>
      <c r="C186" s="34"/>
      <c r="D186" s="37"/>
      <c r="E186" s="34"/>
      <c r="F186" s="37"/>
      <c r="G186" s="37"/>
      <c r="H186" s="37"/>
      <c r="I186" s="34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4"/>
      <c r="C187" s="34"/>
      <c r="D187" s="37"/>
      <c r="E187" s="34"/>
      <c r="F187" s="37"/>
      <c r="G187" s="37"/>
      <c r="H187" s="37"/>
      <c r="I187" s="34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4"/>
      <c r="C188" s="34"/>
      <c r="D188" s="37"/>
      <c r="E188" s="34"/>
      <c r="F188" s="37"/>
      <c r="G188" s="37"/>
      <c r="H188" s="37"/>
      <c r="I188" s="34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4"/>
      <c r="C189" s="34"/>
      <c r="D189" s="37"/>
      <c r="E189" s="34"/>
      <c r="F189" s="37"/>
      <c r="G189" s="37"/>
      <c r="H189" s="37"/>
      <c r="I189" s="34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4"/>
      <c r="C190" s="34"/>
      <c r="D190" s="37"/>
      <c r="E190" s="34"/>
      <c r="F190" s="37"/>
      <c r="G190" s="37"/>
      <c r="H190" s="37"/>
      <c r="I190" s="34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4"/>
      <c r="C191" s="34"/>
      <c r="D191" s="37"/>
      <c r="E191" s="34"/>
      <c r="F191" s="37"/>
      <c r="G191" s="37"/>
      <c r="H191" s="37"/>
      <c r="I191" s="34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4"/>
      <c r="C192" s="34"/>
      <c r="D192" s="37"/>
      <c r="E192" s="34"/>
      <c r="F192" s="37"/>
      <c r="G192" s="37"/>
      <c r="H192" s="37"/>
      <c r="I192" s="34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4"/>
      <c r="C193" s="34"/>
      <c r="D193" s="37"/>
      <c r="E193" s="34"/>
      <c r="F193" s="37"/>
      <c r="G193" s="37"/>
      <c r="H193" s="37"/>
      <c r="I193" s="34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4"/>
      <c r="C194" s="34"/>
      <c r="D194" s="37"/>
      <c r="E194" s="34"/>
      <c r="F194" s="37"/>
      <c r="G194" s="37"/>
      <c r="H194" s="37"/>
      <c r="I194" s="34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4"/>
      <c r="C195" s="34"/>
      <c r="D195" s="37"/>
      <c r="E195" s="34"/>
      <c r="F195" s="37"/>
      <c r="G195" s="37"/>
      <c r="H195" s="37"/>
      <c r="I195" s="34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4"/>
      <c r="C196" s="34"/>
      <c r="D196" s="37"/>
      <c r="E196" s="34"/>
      <c r="F196" s="37"/>
      <c r="G196" s="37"/>
      <c r="H196" s="37"/>
      <c r="I196" s="34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4"/>
      <c r="C197" s="34"/>
      <c r="D197" s="37"/>
      <c r="E197" s="34"/>
      <c r="F197" s="37"/>
      <c r="G197" s="37"/>
      <c r="H197" s="37"/>
      <c r="I197" s="34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4"/>
      <c r="C198" s="34"/>
      <c r="D198" s="37"/>
      <c r="E198" s="34"/>
      <c r="F198" s="37"/>
      <c r="G198" s="37"/>
      <c r="H198" s="37"/>
      <c r="I198" s="34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4"/>
      <c r="C199" s="34"/>
      <c r="D199" s="37"/>
      <c r="E199" s="34"/>
      <c r="F199" s="37"/>
      <c r="G199" s="37"/>
      <c r="H199" s="37"/>
      <c r="I199" s="34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4"/>
      <c r="C200" s="34"/>
      <c r="D200" s="37"/>
      <c r="E200" s="34"/>
      <c r="F200" s="37"/>
      <c r="G200" s="37"/>
      <c r="H200" s="37"/>
      <c r="I200" s="34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4"/>
      <c r="C201" s="34"/>
      <c r="D201" s="37"/>
      <c r="E201" s="34"/>
      <c r="F201" s="37"/>
      <c r="G201" s="37"/>
      <c r="H201" s="37"/>
      <c r="I201" s="34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4"/>
      <c r="C202" s="34"/>
      <c r="D202" s="37"/>
      <c r="E202" s="34"/>
      <c r="F202" s="37"/>
      <c r="G202" s="37"/>
      <c r="H202" s="37"/>
      <c r="I202" s="34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4"/>
      <c r="C203" s="34"/>
      <c r="D203" s="37"/>
      <c r="E203" s="34"/>
      <c r="F203" s="37"/>
      <c r="G203" s="37"/>
      <c r="H203" s="37"/>
      <c r="I203" s="34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4"/>
      <c r="C204" s="34"/>
      <c r="D204" s="37"/>
      <c r="E204" s="34"/>
      <c r="F204" s="37"/>
      <c r="G204" s="37"/>
      <c r="H204" s="37"/>
      <c r="I204" s="34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4"/>
      <c r="C205" s="34"/>
      <c r="D205" s="37"/>
      <c r="E205" s="34"/>
      <c r="F205" s="37"/>
      <c r="G205" s="37"/>
      <c r="H205" s="37"/>
      <c r="I205" s="34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4"/>
      <c r="C206" s="34"/>
      <c r="D206" s="37"/>
      <c r="E206" s="34"/>
      <c r="F206" s="37"/>
      <c r="G206" s="37"/>
      <c r="H206" s="37"/>
      <c r="I206" s="34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4"/>
      <c r="C207" s="34"/>
      <c r="D207" s="37"/>
      <c r="E207" s="34"/>
      <c r="F207" s="37"/>
      <c r="G207" s="37"/>
      <c r="H207" s="37"/>
      <c r="I207" s="34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4"/>
      <c r="C208" s="34"/>
      <c r="D208" s="37"/>
      <c r="E208" s="34"/>
      <c r="F208" s="37"/>
      <c r="G208" s="37"/>
      <c r="H208" s="37"/>
      <c r="I208" s="34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4"/>
      <c r="C209" s="34"/>
      <c r="D209" s="37"/>
      <c r="E209" s="34"/>
      <c r="F209" s="37"/>
      <c r="G209" s="37"/>
      <c r="H209" s="37"/>
      <c r="I209" s="34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4"/>
      <c r="C210" s="34"/>
      <c r="D210" s="37"/>
      <c r="E210" s="34"/>
      <c r="F210" s="37"/>
      <c r="G210" s="37"/>
      <c r="H210" s="37"/>
      <c r="I210" s="34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4"/>
      <c r="C211" s="34"/>
      <c r="D211" s="37"/>
      <c r="E211" s="34"/>
      <c r="F211" s="37"/>
      <c r="G211" s="37"/>
      <c r="H211" s="37"/>
      <c r="I211" s="34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4"/>
      <c r="C212" s="34"/>
      <c r="D212" s="37"/>
      <c r="E212" s="34"/>
      <c r="F212" s="37"/>
      <c r="G212" s="37"/>
      <c r="H212" s="37"/>
      <c r="I212" s="34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4"/>
      <c r="C213" s="34"/>
      <c r="D213" s="37"/>
      <c r="E213" s="34"/>
      <c r="F213" s="37"/>
      <c r="G213" s="37"/>
      <c r="H213" s="37"/>
      <c r="I213" s="34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4"/>
      <c r="C214" s="34"/>
      <c r="D214" s="37"/>
      <c r="E214" s="34"/>
      <c r="F214" s="37"/>
      <c r="G214" s="37"/>
      <c r="H214" s="37"/>
      <c r="I214" s="34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4"/>
      <c r="C215" s="34"/>
      <c r="D215" s="37"/>
      <c r="E215" s="34"/>
      <c r="F215" s="37"/>
      <c r="G215" s="37"/>
      <c r="H215" s="37"/>
      <c r="I215" s="34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4"/>
      <c r="C216" s="34"/>
      <c r="D216" s="37"/>
      <c r="E216" s="34"/>
      <c r="F216" s="37"/>
      <c r="G216" s="37"/>
      <c r="H216" s="37"/>
      <c r="I216" s="34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4"/>
      <c r="C217" s="34"/>
      <c r="D217" s="37"/>
      <c r="E217" s="34"/>
      <c r="F217" s="37"/>
      <c r="G217" s="37"/>
      <c r="H217" s="37"/>
      <c r="I217" s="34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4"/>
      <c r="C218" s="34"/>
      <c r="D218" s="37"/>
      <c r="E218" s="34"/>
      <c r="F218" s="37"/>
      <c r="G218" s="37"/>
      <c r="H218" s="37"/>
      <c r="I218" s="34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4"/>
      <c r="C219" s="34"/>
      <c r="D219" s="37"/>
      <c r="E219" s="34"/>
      <c r="F219" s="37"/>
      <c r="G219" s="37"/>
      <c r="H219" s="37"/>
      <c r="I219" s="34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4"/>
      <c r="C220" s="34"/>
      <c r="D220" s="37"/>
      <c r="E220" s="34"/>
      <c r="F220" s="37"/>
      <c r="G220" s="37"/>
      <c r="H220" s="37"/>
      <c r="I220" s="34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4"/>
      <c r="C221" s="34"/>
      <c r="D221" s="37"/>
      <c r="E221" s="34"/>
      <c r="F221" s="37"/>
      <c r="G221" s="37"/>
      <c r="H221" s="37"/>
      <c r="I221" s="34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4"/>
      <c r="C222" s="34"/>
      <c r="D222" s="37"/>
      <c r="E222" s="34"/>
      <c r="F222" s="37"/>
      <c r="G222" s="37"/>
      <c r="H222" s="37"/>
      <c r="I222" s="34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4"/>
      <c r="C223" s="34"/>
      <c r="D223" s="37"/>
      <c r="E223" s="34"/>
      <c r="F223" s="37"/>
      <c r="G223" s="37"/>
      <c r="H223" s="37"/>
      <c r="I223" s="34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4"/>
      <c r="C224" s="34"/>
      <c r="D224" s="37"/>
      <c r="E224" s="34"/>
      <c r="F224" s="37"/>
      <c r="G224" s="37"/>
      <c r="H224" s="37"/>
      <c r="I224" s="34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4"/>
      <c r="C225" s="34"/>
      <c r="D225" s="37"/>
      <c r="E225" s="34"/>
      <c r="F225" s="37"/>
      <c r="G225" s="37"/>
      <c r="H225" s="37"/>
      <c r="I225" s="34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4"/>
      <c r="C226" s="34"/>
      <c r="D226" s="37"/>
      <c r="E226" s="34"/>
      <c r="F226" s="37"/>
      <c r="G226" s="37"/>
      <c r="H226" s="37"/>
      <c r="I226" s="34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4"/>
      <c r="C227" s="34"/>
      <c r="D227" s="37"/>
      <c r="E227" s="34"/>
      <c r="F227" s="37"/>
      <c r="G227" s="37"/>
      <c r="H227" s="37"/>
      <c r="I227" s="34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4"/>
      <c r="C228" s="34"/>
      <c r="D228" s="37"/>
      <c r="E228" s="34"/>
      <c r="F228" s="37"/>
      <c r="G228" s="37"/>
      <c r="H228" s="37"/>
      <c r="I228" s="34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4"/>
      <c r="C229" s="34"/>
      <c r="D229" s="37"/>
      <c r="E229" s="34"/>
      <c r="F229" s="37"/>
      <c r="G229" s="37"/>
      <c r="H229" s="37"/>
      <c r="I229" s="34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4"/>
      <c r="C230" s="34"/>
      <c r="D230" s="37"/>
      <c r="E230" s="34"/>
      <c r="F230" s="37"/>
      <c r="G230" s="37"/>
      <c r="H230" s="37"/>
      <c r="I230" s="34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4"/>
      <c r="C231" s="34"/>
      <c r="D231" s="37"/>
      <c r="E231" s="34"/>
      <c r="F231" s="37"/>
      <c r="G231" s="37"/>
      <c r="H231" s="37"/>
      <c r="I231" s="34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4"/>
      <c r="C232" s="34"/>
      <c r="D232" s="37"/>
      <c r="E232" s="34"/>
      <c r="F232" s="37"/>
      <c r="G232" s="37"/>
      <c r="H232" s="37"/>
      <c r="I232" s="34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4"/>
      <c r="C233" s="34"/>
      <c r="D233" s="37"/>
      <c r="E233" s="34"/>
      <c r="F233" s="37"/>
      <c r="G233" s="37"/>
      <c r="H233" s="37"/>
      <c r="I233" s="34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4"/>
      <c r="C234" s="34"/>
      <c r="D234" s="37"/>
      <c r="E234" s="34"/>
      <c r="F234" s="37"/>
      <c r="G234" s="37"/>
      <c r="H234" s="37"/>
      <c r="I234" s="34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4"/>
      <c r="C235" s="34"/>
      <c r="D235" s="37"/>
      <c r="E235" s="34"/>
      <c r="F235" s="37"/>
      <c r="G235" s="37"/>
      <c r="H235" s="37"/>
      <c r="I235" s="34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4"/>
      <c r="C236" s="34"/>
      <c r="D236" s="37"/>
      <c r="E236" s="34"/>
      <c r="F236" s="37"/>
      <c r="G236" s="37"/>
      <c r="H236" s="37"/>
      <c r="I236" s="34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4"/>
      <c r="C237" s="34"/>
      <c r="D237" s="37"/>
      <c r="E237" s="34"/>
      <c r="F237" s="37"/>
      <c r="G237" s="37"/>
      <c r="H237" s="37"/>
      <c r="I237" s="34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4"/>
      <c r="C238" s="34"/>
      <c r="D238" s="37"/>
      <c r="E238" s="34"/>
      <c r="F238" s="37"/>
      <c r="G238" s="37"/>
      <c r="H238" s="37"/>
      <c r="I238" s="34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4"/>
      <c r="C239" s="34"/>
      <c r="D239" s="37"/>
      <c r="E239" s="34"/>
      <c r="F239" s="37"/>
      <c r="G239" s="37"/>
      <c r="H239" s="37"/>
      <c r="I239" s="34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4"/>
      <c r="C240" s="34"/>
      <c r="D240" s="37"/>
      <c r="E240" s="34"/>
      <c r="F240" s="37"/>
      <c r="G240" s="37"/>
      <c r="H240" s="37"/>
      <c r="I240" s="34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4"/>
      <c r="C241" s="34"/>
      <c r="D241" s="37"/>
      <c r="E241" s="34"/>
      <c r="F241" s="37"/>
      <c r="G241" s="37"/>
      <c r="H241" s="37"/>
      <c r="I241" s="34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4"/>
      <c r="C242" s="34"/>
      <c r="D242" s="37"/>
      <c r="E242" s="34"/>
      <c r="F242" s="37"/>
      <c r="G242" s="37"/>
      <c r="H242" s="37"/>
      <c r="I242" s="34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4"/>
      <c r="C243" s="34"/>
      <c r="D243" s="37"/>
      <c r="E243" s="34"/>
      <c r="F243" s="37"/>
      <c r="G243" s="37"/>
      <c r="H243" s="37"/>
      <c r="I243" s="34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4"/>
      <c r="C244" s="34"/>
      <c r="D244" s="37"/>
      <c r="E244" s="34"/>
      <c r="F244" s="37"/>
      <c r="G244" s="37"/>
      <c r="H244" s="37"/>
      <c r="I244" s="34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4"/>
      <c r="C245" s="34"/>
      <c r="D245" s="37"/>
      <c r="E245" s="34"/>
      <c r="F245" s="37"/>
      <c r="G245" s="37"/>
      <c r="H245" s="37"/>
      <c r="I245" s="34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4"/>
      <c r="C246" s="34"/>
      <c r="D246" s="37"/>
      <c r="E246" s="34"/>
      <c r="F246" s="37"/>
      <c r="G246" s="37"/>
      <c r="H246" s="37"/>
      <c r="I246" s="34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4"/>
      <c r="C247" s="34"/>
      <c r="D247" s="37"/>
      <c r="E247" s="34"/>
      <c r="F247" s="37"/>
      <c r="G247" s="37"/>
      <c r="H247" s="37"/>
      <c r="I247" s="34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4"/>
      <c r="C248" s="34"/>
      <c r="D248" s="37"/>
      <c r="E248" s="34"/>
      <c r="F248" s="37"/>
      <c r="G248" s="37"/>
      <c r="H248" s="37"/>
      <c r="I248" s="34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4"/>
      <c r="C249" s="34"/>
      <c r="D249" s="37"/>
      <c r="E249" s="34"/>
      <c r="F249" s="37"/>
      <c r="G249" s="37"/>
      <c r="H249" s="37"/>
      <c r="I249" s="34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4"/>
      <c r="C250" s="34"/>
      <c r="D250" s="37"/>
      <c r="E250" s="34"/>
      <c r="F250" s="37"/>
      <c r="G250" s="37"/>
      <c r="H250" s="37"/>
      <c r="I250" s="34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4"/>
      <c r="C251" s="34"/>
      <c r="D251" s="37"/>
      <c r="E251" s="34"/>
      <c r="F251" s="37"/>
      <c r="G251" s="37"/>
      <c r="H251" s="37"/>
      <c r="I251" s="34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4"/>
      <c r="C252" s="34"/>
      <c r="D252" s="37"/>
      <c r="E252" s="34"/>
      <c r="F252" s="37"/>
      <c r="G252" s="37"/>
      <c r="H252" s="37"/>
      <c r="I252" s="34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4"/>
      <c r="C253" s="34"/>
      <c r="D253" s="37"/>
      <c r="E253" s="34"/>
      <c r="F253" s="37"/>
      <c r="G253" s="37"/>
      <c r="H253" s="37"/>
      <c r="I253" s="34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4"/>
      <c r="C254" s="34"/>
      <c r="D254" s="37"/>
      <c r="E254" s="34"/>
      <c r="F254" s="37"/>
      <c r="G254" s="37"/>
      <c r="H254" s="37"/>
      <c r="I254" s="34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4"/>
      <c r="C255" s="34"/>
      <c r="D255" s="37"/>
      <c r="E255" s="34"/>
      <c r="F255" s="37"/>
      <c r="G255" s="37"/>
      <c r="H255" s="37"/>
      <c r="I255" s="34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4"/>
      <c r="C256" s="34"/>
      <c r="D256" s="37"/>
      <c r="E256" s="34"/>
      <c r="F256" s="37"/>
      <c r="G256" s="37"/>
      <c r="H256" s="37"/>
      <c r="I256" s="34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4"/>
      <c r="C257" s="34"/>
      <c r="D257" s="37"/>
      <c r="E257" s="34"/>
      <c r="F257" s="37"/>
      <c r="G257" s="37"/>
      <c r="H257" s="37"/>
      <c r="I257" s="34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4"/>
      <c r="C258" s="34"/>
      <c r="D258" s="37"/>
      <c r="E258" s="34"/>
      <c r="F258" s="37"/>
      <c r="G258" s="37"/>
      <c r="H258" s="37"/>
      <c r="I258" s="34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4"/>
      <c r="C259" s="34"/>
      <c r="D259" s="37"/>
      <c r="E259" s="34"/>
      <c r="F259" s="37"/>
      <c r="G259" s="37"/>
      <c r="H259" s="37"/>
      <c r="I259" s="34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4"/>
      <c r="C260" s="34"/>
      <c r="D260" s="37"/>
      <c r="E260" s="34"/>
      <c r="F260" s="37"/>
      <c r="G260" s="37"/>
      <c r="H260" s="37"/>
      <c r="I260" s="34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4"/>
      <c r="C261" s="34"/>
      <c r="D261" s="37"/>
      <c r="E261" s="34"/>
      <c r="F261" s="37"/>
      <c r="G261" s="37"/>
      <c r="H261" s="37"/>
      <c r="I261" s="34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4"/>
      <c r="C262" s="34"/>
      <c r="D262" s="37"/>
      <c r="E262" s="34"/>
      <c r="F262" s="37"/>
      <c r="G262" s="37"/>
      <c r="H262" s="37"/>
      <c r="I262" s="34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4"/>
      <c r="C263" s="34"/>
      <c r="D263" s="37"/>
      <c r="E263" s="34"/>
      <c r="F263" s="37"/>
      <c r="G263" s="37"/>
      <c r="H263" s="37"/>
      <c r="I263" s="34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4"/>
      <c r="C264" s="34"/>
      <c r="D264" s="37"/>
      <c r="E264" s="34"/>
      <c r="F264" s="37"/>
      <c r="G264" s="37"/>
      <c r="H264" s="37"/>
      <c r="I264" s="34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4"/>
      <c r="C265" s="34"/>
      <c r="D265" s="37"/>
      <c r="E265" s="34"/>
      <c r="F265" s="37"/>
      <c r="G265" s="37"/>
      <c r="H265" s="37"/>
      <c r="I265" s="34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4"/>
      <c r="C266" s="34"/>
      <c r="D266" s="37"/>
      <c r="E266" s="34"/>
      <c r="F266" s="37"/>
      <c r="G266" s="37"/>
      <c r="H266" s="37"/>
      <c r="I266" s="34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4"/>
      <c r="C267" s="34"/>
      <c r="D267" s="37"/>
      <c r="E267" s="34"/>
      <c r="F267" s="37"/>
      <c r="G267" s="37"/>
      <c r="H267" s="37"/>
      <c r="I267" s="34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4"/>
      <c r="C268" s="34"/>
      <c r="D268" s="37"/>
      <c r="E268" s="34"/>
      <c r="F268" s="37"/>
      <c r="G268" s="37"/>
      <c r="H268" s="37"/>
      <c r="I268" s="34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4"/>
      <c r="C269" s="34"/>
      <c r="D269" s="37"/>
      <c r="E269" s="34"/>
      <c r="F269" s="37"/>
      <c r="G269" s="37"/>
      <c r="H269" s="37"/>
      <c r="I269" s="34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4"/>
      <c r="C270" s="34"/>
      <c r="D270" s="37"/>
      <c r="E270" s="34"/>
      <c r="F270" s="37"/>
      <c r="G270" s="37"/>
      <c r="H270" s="37"/>
      <c r="I270" s="34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4"/>
      <c r="C271" s="34"/>
      <c r="D271" s="37"/>
      <c r="E271" s="34"/>
      <c r="F271" s="37"/>
      <c r="G271" s="37"/>
      <c r="H271" s="37"/>
      <c r="I271" s="34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4"/>
      <c r="C272" s="34"/>
      <c r="D272" s="37"/>
      <c r="E272" s="34"/>
      <c r="F272" s="37"/>
      <c r="G272" s="37"/>
      <c r="H272" s="37"/>
      <c r="I272" s="34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4"/>
      <c r="C273" s="34"/>
      <c r="D273" s="37"/>
      <c r="E273" s="34"/>
      <c r="F273" s="37"/>
      <c r="G273" s="37"/>
      <c r="H273" s="37"/>
      <c r="I273" s="34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4"/>
      <c r="C274" s="34"/>
      <c r="D274" s="37"/>
      <c r="E274" s="34"/>
      <c r="F274" s="37"/>
      <c r="G274" s="37"/>
      <c r="H274" s="37"/>
      <c r="I274" s="34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4"/>
      <c r="C275" s="34"/>
      <c r="D275" s="37"/>
      <c r="E275" s="34"/>
      <c r="F275" s="37"/>
      <c r="G275" s="37"/>
      <c r="H275" s="37"/>
      <c r="I275" s="34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4"/>
      <c r="C276" s="34"/>
      <c r="D276" s="37"/>
      <c r="E276" s="34"/>
      <c r="F276" s="37"/>
      <c r="G276" s="37"/>
      <c r="H276" s="37"/>
      <c r="I276" s="34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4"/>
      <c r="C277" s="34"/>
      <c r="D277" s="37"/>
      <c r="E277" s="34"/>
      <c r="F277" s="37"/>
      <c r="G277" s="37"/>
      <c r="H277" s="37"/>
      <c r="I277" s="34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4"/>
      <c r="C278" s="34"/>
      <c r="D278" s="37"/>
      <c r="E278" s="34"/>
      <c r="F278" s="37"/>
      <c r="G278" s="37"/>
      <c r="H278" s="37"/>
      <c r="I278" s="34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4"/>
      <c r="C279" s="34"/>
      <c r="D279" s="37"/>
      <c r="E279" s="34"/>
      <c r="F279" s="37"/>
      <c r="G279" s="37"/>
      <c r="H279" s="37"/>
      <c r="I279" s="34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4"/>
      <c r="C280" s="34"/>
      <c r="D280" s="37"/>
      <c r="E280" s="34"/>
      <c r="F280" s="37"/>
      <c r="G280" s="37"/>
      <c r="H280" s="37"/>
      <c r="I280" s="34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4"/>
      <c r="C281" s="34"/>
      <c r="D281" s="37"/>
      <c r="E281" s="34"/>
      <c r="F281" s="37"/>
      <c r="G281" s="37"/>
      <c r="H281" s="37"/>
      <c r="I281" s="34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4"/>
      <c r="C282" s="34"/>
      <c r="D282" s="37"/>
      <c r="E282" s="34"/>
      <c r="F282" s="37"/>
      <c r="G282" s="37"/>
      <c r="H282" s="37"/>
      <c r="I282" s="34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4"/>
      <c r="C283" s="34"/>
      <c r="D283" s="37"/>
      <c r="E283" s="34"/>
      <c r="F283" s="37"/>
      <c r="G283" s="37"/>
      <c r="H283" s="37"/>
      <c r="I283" s="34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4"/>
      <c r="C284" s="34"/>
      <c r="D284" s="37"/>
      <c r="E284" s="34"/>
      <c r="F284" s="37"/>
      <c r="G284" s="37"/>
      <c r="H284" s="37"/>
      <c r="I284" s="34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4"/>
      <c r="C285" s="34"/>
      <c r="D285" s="37"/>
      <c r="E285" s="34"/>
      <c r="F285" s="37"/>
      <c r="G285" s="37"/>
      <c r="H285" s="37"/>
      <c r="I285" s="34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4"/>
      <c r="C286" s="34"/>
      <c r="D286" s="37"/>
      <c r="E286" s="34"/>
      <c r="F286" s="37"/>
      <c r="G286" s="37"/>
      <c r="H286" s="37"/>
      <c r="I286" s="34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4"/>
      <c r="C287" s="34"/>
      <c r="D287" s="37"/>
      <c r="E287" s="34"/>
      <c r="F287" s="37"/>
      <c r="G287" s="37"/>
      <c r="H287" s="37"/>
      <c r="I287" s="34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4"/>
      <c r="C288" s="34"/>
      <c r="D288" s="37"/>
      <c r="E288" s="34"/>
      <c r="F288" s="37"/>
      <c r="G288" s="37"/>
      <c r="H288" s="37"/>
      <c r="I288" s="34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4"/>
      <c r="C289" s="34"/>
      <c r="D289" s="37"/>
      <c r="E289" s="34"/>
      <c r="F289" s="37"/>
      <c r="G289" s="37"/>
      <c r="H289" s="37"/>
      <c r="I289" s="34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4"/>
      <c r="C290" s="34"/>
      <c r="D290" s="37"/>
      <c r="E290" s="34"/>
      <c r="F290" s="37"/>
      <c r="G290" s="37"/>
      <c r="H290" s="37"/>
      <c r="I290" s="34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4"/>
      <c r="C291" s="34"/>
      <c r="D291" s="37"/>
      <c r="E291" s="34"/>
      <c r="F291" s="37"/>
      <c r="G291" s="37"/>
      <c r="H291" s="37"/>
      <c r="I291" s="34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4"/>
      <c r="C292" s="34"/>
      <c r="D292" s="37"/>
      <c r="E292" s="34"/>
      <c r="F292" s="37"/>
      <c r="G292" s="37"/>
      <c r="H292" s="37"/>
      <c r="I292" s="34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4"/>
      <c r="C293" s="34"/>
      <c r="D293" s="37"/>
      <c r="E293" s="34"/>
      <c r="F293" s="37"/>
      <c r="G293" s="37"/>
      <c r="H293" s="37"/>
      <c r="I293" s="34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4"/>
      <c r="C294" s="34"/>
      <c r="D294" s="37"/>
      <c r="E294" s="34"/>
      <c r="F294" s="37"/>
      <c r="G294" s="37"/>
      <c r="H294" s="37"/>
      <c r="I294" s="34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4"/>
      <c r="C295" s="34"/>
      <c r="D295" s="37"/>
      <c r="E295" s="34"/>
      <c r="F295" s="37"/>
      <c r="G295" s="37"/>
      <c r="H295" s="37"/>
      <c r="I295" s="34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4"/>
      <c r="C296" s="34"/>
      <c r="D296" s="37"/>
      <c r="E296" s="34"/>
      <c r="F296" s="37"/>
      <c r="G296" s="37"/>
      <c r="H296" s="37"/>
      <c r="I296" s="34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4"/>
      <c r="C297" s="34"/>
      <c r="D297" s="37"/>
      <c r="E297" s="34"/>
      <c r="F297" s="37"/>
      <c r="G297" s="37"/>
      <c r="H297" s="37"/>
      <c r="I297" s="34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4"/>
      <c r="C298" s="34"/>
      <c r="D298" s="37"/>
      <c r="E298" s="34"/>
      <c r="F298" s="37"/>
      <c r="G298" s="37"/>
      <c r="H298" s="37"/>
      <c r="I298" s="34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4"/>
      <c r="C299" s="34"/>
      <c r="D299" s="37"/>
      <c r="E299" s="34"/>
      <c r="F299" s="37"/>
      <c r="G299" s="37"/>
      <c r="H299" s="37"/>
      <c r="I299" s="34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4"/>
      <c r="C300" s="34"/>
      <c r="D300" s="37"/>
      <c r="E300" s="34"/>
      <c r="F300" s="37"/>
      <c r="G300" s="37"/>
      <c r="H300" s="37"/>
      <c r="I300" s="34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4"/>
      <c r="C301" s="34"/>
      <c r="D301" s="37"/>
      <c r="E301" s="34"/>
      <c r="F301" s="37"/>
      <c r="G301" s="37"/>
      <c r="H301" s="37"/>
      <c r="I301" s="34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4"/>
      <c r="C302" s="34"/>
      <c r="D302" s="37"/>
      <c r="E302" s="34"/>
      <c r="F302" s="37"/>
      <c r="G302" s="37"/>
      <c r="H302" s="37"/>
      <c r="I302" s="34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4"/>
      <c r="C303" s="34"/>
      <c r="D303" s="37"/>
      <c r="E303" s="34"/>
      <c r="F303" s="37"/>
      <c r="G303" s="37"/>
      <c r="H303" s="37"/>
      <c r="I303" s="34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4"/>
      <c r="C304" s="34"/>
      <c r="D304" s="37"/>
      <c r="E304" s="34"/>
      <c r="F304" s="37"/>
      <c r="G304" s="37"/>
      <c r="H304" s="37"/>
      <c r="I304" s="34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4"/>
      <c r="C305" s="34"/>
      <c r="D305" s="37"/>
      <c r="E305" s="34"/>
      <c r="F305" s="37"/>
      <c r="G305" s="37"/>
      <c r="H305" s="37"/>
      <c r="I305" s="34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4"/>
      <c r="C306" s="34"/>
      <c r="D306" s="37"/>
      <c r="E306" s="34"/>
      <c r="F306" s="37"/>
      <c r="G306" s="37"/>
      <c r="H306" s="37"/>
      <c r="I306" s="34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4"/>
      <c r="C307" s="34"/>
      <c r="D307" s="37"/>
      <c r="E307" s="34"/>
      <c r="F307" s="37"/>
      <c r="G307" s="37"/>
      <c r="H307" s="37"/>
      <c r="I307" s="34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4"/>
      <c r="C308" s="34"/>
      <c r="D308" s="37"/>
      <c r="E308" s="34"/>
      <c r="F308" s="37"/>
      <c r="G308" s="37"/>
      <c r="H308" s="37"/>
      <c r="I308" s="34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4"/>
      <c r="C309" s="34"/>
      <c r="D309" s="37"/>
      <c r="E309" s="34"/>
      <c r="F309" s="37"/>
      <c r="G309" s="37"/>
      <c r="H309" s="37"/>
      <c r="I309" s="34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4"/>
      <c r="C310" s="34"/>
      <c r="D310" s="37"/>
      <c r="E310" s="34"/>
      <c r="F310" s="37"/>
      <c r="G310" s="37"/>
      <c r="H310" s="37"/>
      <c r="I310" s="34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4"/>
      <c r="C311" s="34"/>
      <c r="D311" s="37"/>
      <c r="E311" s="34"/>
      <c r="F311" s="37"/>
      <c r="G311" s="37"/>
      <c r="H311" s="37"/>
      <c r="I311" s="34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4"/>
      <c r="C312" s="34"/>
      <c r="D312" s="37"/>
      <c r="E312" s="34"/>
      <c r="F312" s="37"/>
      <c r="G312" s="37"/>
      <c r="H312" s="37"/>
      <c r="I312" s="34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4"/>
      <c r="C313" s="34"/>
      <c r="D313" s="37"/>
      <c r="E313" s="34"/>
      <c r="F313" s="37"/>
      <c r="G313" s="37"/>
      <c r="H313" s="37"/>
      <c r="I313" s="34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4"/>
      <c r="C314" s="34"/>
      <c r="D314" s="37"/>
      <c r="E314" s="34"/>
      <c r="F314" s="37"/>
      <c r="G314" s="37"/>
      <c r="H314" s="37"/>
      <c r="I314" s="34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4"/>
      <c r="C315" s="34"/>
      <c r="D315" s="37"/>
      <c r="E315" s="34"/>
      <c r="F315" s="37"/>
      <c r="G315" s="37"/>
      <c r="H315" s="37"/>
      <c r="I315" s="34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4"/>
      <c r="C316" s="34"/>
      <c r="D316" s="37"/>
      <c r="E316" s="34"/>
      <c r="F316" s="37"/>
      <c r="G316" s="37"/>
      <c r="H316" s="37"/>
      <c r="I316" s="34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4"/>
      <c r="C317" s="34"/>
      <c r="D317" s="37"/>
      <c r="E317" s="34"/>
      <c r="F317" s="37"/>
      <c r="G317" s="37"/>
      <c r="H317" s="37"/>
      <c r="I317" s="34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4"/>
      <c r="C318" s="34"/>
      <c r="D318" s="37"/>
      <c r="E318" s="34"/>
      <c r="F318" s="37"/>
      <c r="G318" s="37"/>
      <c r="H318" s="37"/>
      <c r="I318" s="34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4"/>
      <c r="C319" s="34"/>
      <c r="D319" s="37"/>
      <c r="E319" s="34"/>
      <c r="F319" s="37"/>
      <c r="G319" s="37"/>
      <c r="H319" s="37"/>
      <c r="I319" s="34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4"/>
      <c r="C320" s="34"/>
      <c r="D320" s="37"/>
      <c r="E320" s="34"/>
      <c r="F320" s="37"/>
      <c r="G320" s="37"/>
      <c r="H320" s="37"/>
      <c r="I320" s="34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4"/>
      <c r="C321" s="34"/>
      <c r="D321" s="37"/>
      <c r="E321" s="34"/>
      <c r="F321" s="37"/>
      <c r="G321" s="37"/>
      <c r="H321" s="37"/>
      <c r="I321" s="34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4"/>
      <c r="C322" s="34"/>
      <c r="D322" s="37"/>
      <c r="E322" s="34"/>
      <c r="F322" s="37"/>
      <c r="G322" s="37"/>
      <c r="H322" s="37"/>
      <c r="I322" s="34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4"/>
      <c r="C323" s="34"/>
      <c r="D323" s="37"/>
      <c r="E323" s="34"/>
      <c r="F323" s="37"/>
      <c r="G323" s="37"/>
      <c r="H323" s="37"/>
      <c r="I323" s="34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4"/>
      <c r="C324" s="34"/>
      <c r="D324" s="37"/>
      <c r="E324" s="34"/>
      <c r="F324" s="37"/>
      <c r="G324" s="37"/>
      <c r="H324" s="37"/>
      <c r="I324" s="34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4"/>
      <c r="C325" s="34"/>
      <c r="D325" s="37"/>
      <c r="E325" s="34"/>
      <c r="F325" s="37"/>
      <c r="G325" s="37"/>
      <c r="H325" s="37"/>
      <c r="I325" s="34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4"/>
      <c r="C326" s="34"/>
      <c r="D326" s="37"/>
      <c r="E326" s="34"/>
      <c r="F326" s="37"/>
      <c r="G326" s="37"/>
      <c r="H326" s="37"/>
      <c r="I326" s="34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4"/>
      <c r="C327" s="34"/>
      <c r="D327" s="37"/>
      <c r="E327" s="34"/>
      <c r="F327" s="37"/>
      <c r="G327" s="37"/>
      <c r="H327" s="37"/>
      <c r="I327" s="34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4"/>
      <c r="C328" s="34"/>
      <c r="D328" s="37"/>
      <c r="E328" s="34"/>
      <c r="F328" s="37"/>
      <c r="G328" s="37"/>
      <c r="H328" s="37"/>
      <c r="I328" s="34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4"/>
      <c r="C329" s="34"/>
      <c r="D329" s="37"/>
      <c r="E329" s="34"/>
      <c r="F329" s="37"/>
      <c r="G329" s="37"/>
      <c r="H329" s="37"/>
      <c r="I329" s="34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4"/>
      <c r="C330" s="34"/>
      <c r="D330" s="37"/>
      <c r="E330" s="34"/>
      <c r="F330" s="37"/>
      <c r="G330" s="37"/>
      <c r="H330" s="37"/>
      <c r="I330" s="34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4"/>
      <c r="C331" s="34"/>
      <c r="D331" s="37"/>
      <c r="E331" s="34"/>
      <c r="F331" s="37"/>
      <c r="G331" s="37"/>
      <c r="H331" s="37"/>
      <c r="I331" s="34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4"/>
      <c r="C332" s="34"/>
      <c r="D332" s="37"/>
      <c r="E332" s="34"/>
      <c r="F332" s="37"/>
      <c r="G332" s="37"/>
      <c r="H332" s="37"/>
      <c r="I332" s="34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4"/>
      <c r="C333" s="34"/>
      <c r="D333" s="37"/>
      <c r="E333" s="34"/>
      <c r="F333" s="37"/>
      <c r="G333" s="37"/>
      <c r="H333" s="37"/>
      <c r="I333" s="34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4"/>
      <c r="C334" s="34"/>
      <c r="D334" s="37"/>
      <c r="E334" s="34"/>
      <c r="F334" s="37"/>
      <c r="G334" s="37"/>
      <c r="H334" s="37"/>
      <c r="I334" s="34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4"/>
      <c r="C335" s="34"/>
      <c r="D335" s="37"/>
      <c r="E335" s="34"/>
      <c r="F335" s="37"/>
      <c r="G335" s="37"/>
      <c r="H335" s="37"/>
      <c r="I335" s="34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4"/>
      <c r="C336" s="34"/>
      <c r="D336" s="37"/>
      <c r="E336" s="34"/>
      <c r="F336" s="37"/>
      <c r="G336" s="37"/>
      <c r="H336" s="37"/>
      <c r="I336" s="34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4"/>
      <c r="C337" s="34"/>
      <c r="D337" s="37"/>
      <c r="E337" s="34"/>
      <c r="F337" s="37"/>
      <c r="G337" s="37"/>
      <c r="H337" s="37"/>
      <c r="I337" s="34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4"/>
      <c r="C338" s="34"/>
      <c r="D338" s="37"/>
      <c r="E338" s="34"/>
      <c r="F338" s="37"/>
      <c r="G338" s="37"/>
      <c r="H338" s="37"/>
      <c r="I338" s="34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4"/>
      <c r="C339" s="34"/>
      <c r="D339" s="37"/>
      <c r="E339" s="34"/>
      <c r="F339" s="37"/>
      <c r="G339" s="37"/>
      <c r="H339" s="37"/>
      <c r="I339" s="34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4"/>
      <c r="C340" s="34"/>
      <c r="D340" s="37"/>
      <c r="E340" s="34"/>
      <c r="F340" s="37"/>
      <c r="G340" s="37"/>
      <c r="H340" s="37"/>
      <c r="I340" s="34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4"/>
      <c r="C341" s="34"/>
      <c r="D341" s="37"/>
      <c r="E341" s="34"/>
      <c r="F341" s="37"/>
      <c r="G341" s="37"/>
      <c r="H341" s="37"/>
      <c r="I341" s="34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4"/>
      <c r="C342" s="34"/>
      <c r="D342" s="37"/>
      <c r="E342" s="34"/>
      <c r="F342" s="37"/>
      <c r="G342" s="37"/>
      <c r="H342" s="37"/>
      <c r="I342" s="34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4"/>
      <c r="C343" s="34"/>
      <c r="D343" s="37"/>
      <c r="E343" s="34"/>
      <c r="F343" s="37"/>
      <c r="G343" s="37"/>
      <c r="H343" s="37"/>
      <c r="I343" s="34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4"/>
      <c r="C344" s="34"/>
      <c r="D344" s="37"/>
      <c r="E344" s="34"/>
      <c r="F344" s="37"/>
      <c r="G344" s="37"/>
      <c r="H344" s="37"/>
      <c r="I344" s="34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4"/>
      <c r="C345" s="34"/>
      <c r="D345" s="37"/>
      <c r="E345" s="34"/>
      <c r="F345" s="37"/>
      <c r="G345" s="37"/>
      <c r="H345" s="37"/>
      <c r="I345" s="34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4"/>
      <c r="C346" s="34"/>
      <c r="D346" s="37"/>
      <c r="E346" s="34"/>
      <c r="F346" s="37"/>
      <c r="G346" s="37"/>
      <c r="H346" s="37"/>
      <c r="I346" s="34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4"/>
      <c r="C347" s="34"/>
      <c r="D347" s="37"/>
      <c r="E347" s="34"/>
      <c r="F347" s="37"/>
      <c r="G347" s="37"/>
      <c r="H347" s="37"/>
      <c r="I347" s="34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4"/>
      <c r="C348" s="34"/>
      <c r="D348" s="37"/>
      <c r="E348" s="34"/>
      <c r="F348" s="37"/>
      <c r="G348" s="37"/>
      <c r="H348" s="37"/>
      <c r="I348" s="34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4"/>
      <c r="C349" s="34"/>
      <c r="D349" s="37"/>
      <c r="E349" s="34"/>
      <c r="F349" s="37"/>
      <c r="G349" s="37"/>
      <c r="H349" s="37"/>
      <c r="I349" s="34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4"/>
      <c r="C350" s="34"/>
      <c r="D350" s="37"/>
      <c r="E350" s="34"/>
      <c r="F350" s="37"/>
      <c r="G350" s="37"/>
      <c r="H350" s="37"/>
      <c r="I350" s="34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4"/>
      <c r="C351" s="34"/>
      <c r="D351" s="37"/>
      <c r="E351" s="34"/>
      <c r="F351" s="37"/>
      <c r="G351" s="37"/>
      <c r="H351" s="37"/>
      <c r="I351" s="34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4"/>
      <c r="C352" s="34"/>
      <c r="D352" s="37"/>
      <c r="E352" s="34"/>
      <c r="F352" s="37"/>
      <c r="G352" s="37"/>
      <c r="H352" s="37"/>
      <c r="I352" s="34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4"/>
      <c r="C353" s="34"/>
      <c r="D353" s="37"/>
      <c r="E353" s="34"/>
      <c r="F353" s="37"/>
      <c r="G353" s="37"/>
      <c r="H353" s="37"/>
      <c r="I353" s="34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4"/>
      <c r="C354" s="34"/>
      <c r="D354" s="37"/>
      <c r="E354" s="34"/>
      <c r="F354" s="37"/>
      <c r="G354" s="37"/>
      <c r="H354" s="37"/>
      <c r="I354" s="34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4"/>
      <c r="C355" s="34"/>
      <c r="D355" s="37"/>
      <c r="E355" s="34"/>
      <c r="F355" s="37"/>
      <c r="G355" s="37"/>
      <c r="H355" s="37"/>
      <c r="I355" s="34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4"/>
      <c r="C356" s="34"/>
      <c r="D356" s="37"/>
      <c r="E356" s="34"/>
      <c r="F356" s="37"/>
      <c r="G356" s="37"/>
      <c r="H356" s="37"/>
      <c r="I356" s="34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4"/>
      <c r="C357" s="34"/>
      <c r="D357" s="37"/>
      <c r="E357" s="34"/>
      <c r="F357" s="37"/>
      <c r="G357" s="37"/>
      <c r="H357" s="37"/>
      <c r="I357" s="34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4"/>
      <c r="C358" s="34"/>
      <c r="D358" s="37"/>
      <c r="E358" s="34"/>
      <c r="F358" s="37"/>
      <c r="G358" s="37"/>
      <c r="H358" s="37"/>
      <c r="I358" s="34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4"/>
      <c r="C359" s="34"/>
      <c r="D359" s="37"/>
      <c r="E359" s="34"/>
      <c r="F359" s="37"/>
      <c r="G359" s="37"/>
      <c r="H359" s="37"/>
      <c r="I359" s="34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4"/>
      <c r="C360" s="34"/>
      <c r="D360" s="37"/>
      <c r="E360" s="34"/>
      <c r="F360" s="37"/>
      <c r="G360" s="37"/>
      <c r="H360" s="37"/>
      <c r="I360" s="34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4"/>
      <c r="C361" s="34"/>
      <c r="D361" s="37"/>
      <c r="E361" s="34"/>
      <c r="F361" s="37"/>
      <c r="G361" s="37"/>
      <c r="H361" s="37"/>
      <c r="I361" s="34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4"/>
      <c r="C362" s="34"/>
      <c r="D362" s="37"/>
      <c r="E362" s="34"/>
      <c r="F362" s="37"/>
      <c r="G362" s="37"/>
      <c r="H362" s="37"/>
      <c r="I362" s="34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4"/>
      <c r="C363" s="34"/>
      <c r="D363" s="37"/>
      <c r="E363" s="34"/>
      <c r="F363" s="37"/>
      <c r="G363" s="37"/>
      <c r="H363" s="37"/>
      <c r="I363" s="34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4"/>
      <c r="C364" s="34"/>
      <c r="D364" s="37"/>
      <c r="E364" s="34"/>
      <c r="F364" s="37"/>
      <c r="G364" s="37"/>
      <c r="H364" s="37"/>
      <c r="I364" s="34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4"/>
      <c r="C365" s="34"/>
      <c r="D365" s="37"/>
      <c r="E365" s="34"/>
      <c r="F365" s="37"/>
      <c r="G365" s="37"/>
      <c r="H365" s="37"/>
      <c r="I365" s="34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4"/>
      <c r="C366" s="34"/>
      <c r="D366" s="37"/>
      <c r="E366" s="34"/>
      <c r="F366" s="37"/>
      <c r="G366" s="37"/>
      <c r="H366" s="37"/>
      <c r="I366" s="34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4"/>
      <c r="C367" s="34"/>
      <c r="D367" s="37"/>
      <c r="E367" s="34"/>
      <c r="F367" s="37"/>
      <c r="G367" s="37"/>
      <c r="H367" s="37"/>
      <c r="I367" s="34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4"/>
      <c r="C368" s="34"/>
      <c r="D368" s="37"/>
      <c r="E368" s="34"/>
      <c r="F368" s="37"/>
      <c r="G368" s="37"/>
      <c r="H368" s="37"/>
      <c r="I368" s="34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4"/>
      <c r="C369" s="34"/>
      <c r="D369" s="37"/>
      <c r="E369" s="34"/>
      <c r="F369" s="37"/>
      <c r="G369" s="37"/>
      <c r="H369" s="37"/>
      <c r="I369" s="34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4"/>
      <c r="C370" s="34"/>
      <c r="D370" s="37"/>
      <c r="E370" s="34"/>
      <c r="F370" s="37"/>
      <c r="G370" s="37"/>
      <c r="H370" s="37"/>
      <c r="I370" s="34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4"/>
      <c r="C371" s="34"/>
      <c r="D371" s="37"/>
      <c r="E371" s="34"/>
      <c r="F371" s="37"/>
      <c r="G371" s="37"/>
      <c r="H371" s="37"/>
      <c r="I371" s="34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4"/>
      <c r="C372" s="34"/>
      <c r="D372" s="37"/>
      <c r="E372" s="34"/>
      <c r="F372" s="37"/>
      <c r="G372" s="37"/>
      <c r="H372" s="37"/>
      <c r="I372" s="34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4"/>
      <c r="C373" s="34"/>
      <c r="D373" s="37"/>
      <c r="E373" s="34"/>
      <c r="F373" s="37"/>
      <c r="G373" s="37"/>
      <c r="H373" s="37"/>
      <c r="I373" s="34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4"/>
      <c r="C374" s="34"/>
      <c r="D374" s="37"/>
      <c r="E374" s="34"/>
      <c r="F374" s="37"/>
      <c r="G374" s="37"/>
      <c r="H374" s="37"/>
      <c r="I374" s="34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4"/>
      <c r="C375" s="34"/>
      <c r="D375" s="37"/>
      <c r="E375" s="34"/>
      <c r="F375" s="37"/>
      <c r="G375" s="37"/>
      <c r="H375" s="37"/>
      <c r="I375" s="34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4"/>
      <c r="C376" s="34"/>
      <c r="D376" s="37"/>
      <c r="E376" s="34"/>
      <c r="F376" s="37"/>
      <c r="G376" s="37"/>
      <c r="H376" s="37"/>
      <c r="I376" s="34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4"/>
      <c r="C377" s="34"/>
      <c r="D377" s="37"/>
      <c r="E377" s="34"/>
      <c r="F377" s="37"/>
      <c r="G377" s="37"/>
      <c r="H377" s="37"/>
      <c r="I377" s="34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4"/>
      <c r="C378" s="34"/>
      <c r="D378" s="37"/>
      <c r="E378" s="34"/>
      <c r="F378" s="37"/>
      <c r="G378" s="37"/>
      <c r="H378" s="37"/>
      <c r="I378" s="34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4"/>
      <c r="C379" s="34"/>
      <c r="D379" s="37"/>
      <c r="E379" s="34"/>
      <c r="F379" s="37"/>
      <c r="G379" s="37"/>
      <c r="H379" s="37"/>
      <c r="I379" s="34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4"/>
      <c r="C380" s="34"/>
      <c r="D380" s="37"/>
      <c r="E380" s="34"/>
      <c r="F380" s="37"/>
      <c r="G380" s="37"/>
      <c r="H380" s="37"/>
      <c r="I380" s="34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4"/>
      <c r="C381" s="34"/>
      <c r="D381" s="37"/>
      <c r="E381" s="34"/>
      <c r="F381" s="37"/>
      <c r="G381" s="37"/>
      <c r="H381" s="37"/>
      <c r="I381" s="34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4"/>
      <c r="C382" s="34"/>
      <c r="D382" s="37"/>
      <c r="E382" s="34"/>
      <c r="F382" s="37"/>
      <c r="G382" s="37"/>
      <c r="H382" s="37"/>
      <c r="I382" s="34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4"/>
      <c r="C383" s="34"/>
      <c r="D383" s="37"/>
      <c r="E383" s="34"/>
      <c r="F383" s="37"/>
      <c r="G383" s="37"/>
      <c r="H383" s="37"/>
      <c r="I383" s="34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4"/>
      <c r="C384" s="34"/>
      <c r="D384" s="37"/>
      <c r="E384" s="34"/>
      <c r="F384" s="37"/>
      <c r="G384" s="37"/>
      <c r="H384" s="37"/>
      <c r="I384" s="34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4"/>
      <c r="C385" s="34"/>
      <c r="D385" s="37"/>
      <c r="E385" s="34"/>
      <c r="F385" s="37"/>
      <c r="G385" s="37"/>
      <c r="H385" s="37"/>
      <c r="I385" s="34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4"/>
      <c r="C386" s="34"/>
      <c r="D386" s="37"/>
      <c r="E386" s="34"/>
      <c r="F386" s="37"/>
      <c r="G386" s="37"/>
      <c r="H386" s="37"/>
      <c r="I386" s="34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4"/>
      <c r="C387" s="34"/>
      <c r="D387" s="37"/>
      <c r="E387" s="34"/>
      <c r="F387" s="37"/>
      <c r="G387" s="37"/>
      <c r="H387" s="37"/>
      <c r="I387" s="34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4"/>
      <c r="C388" s="34"/>
      <c r="D388" s="37"/>
      <c r="E388" s="34"/>
      <c r="F388" s="37"/>
      <c r="G388" s="37"/>
      <c r="H388" s="37"/>
      <c r="I388" s="34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4"/>
      <c r="C389" s="34"/>
      <c r="D389" s="37"/>
      <c r="E389" s="34"/>
      <c r="F389" s="37"/>
      <c r="G389" s="37"/>
      <c r="H389" s="37"/>
      <c r="I389" s="34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4"/>
      <c r="C390" s="34"/>
      <c r="D390" s="37"/>
      <c r="E390" s="34"/>
      <c r="F390" s="37"/>
      <c r="G390" s="37"/>
      <c r="H390" s="37"/>
      <c r="I390" s="34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4"/>
      <c r="C391" s="34"/>
      <c r="D391" s="37"/>
      <c r="E391" s="34"/>
      <c r="F391" s="37"/>
      <c r="G391" s="37"/>
      <c r="H391" s="37"/>
      <c r="I391" s="34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4"/>
      <c r="C392" s="34"/>
      <c r="D392" s="37"/>
      <c r="E392" s="34"/>
      <c r="F392" s="37"/>
      <c r="G392" s="37"/>
      <c r="H392" s="37"/>
      <c r="I392" s="34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4"/>
      <c r="C393" s="34"/>
      <c r="D393" s="37"/>
      <c r="E393" s="34"/>
      <c r="F393" s="37"/>
      <c r="G393" s="37"/>
      <c r="H393" s="37"/>
      <c r="I393" s="34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4"/>
      <c r="C394" s="34"/>
      <c r="D394" s="37"/>
      <c r="E394" s="34"/>
      <c r="F394" s="37"/>
      <c r="G394" s="37"/>
      <c r="H394" s="37"/>
      <c r="I394" s="34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4"/>
      <c r="C395" s="34"/>
      <c r="D395" s="37"/>
      <c r="E395" s="34"/>
      <c r="F395" s="37"/>
      <c r="G395" s="37"/>
      <c r="H395" s="37"/>
      <c r="I395" s="34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4"/>
      <c r="C396" s="34"/>
      <c r="D396" s="37"/>
      <c r="E396" s="34"/>
      <c r="F396" s="37"/>
      <c r="G396" s="37"/>
      <c r="H396" s="37"/>
      <c r="I396" s="34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4"/>
      <c r="C397" s="34"/>
      <c r="D397" s="37"/>
      <c r="E397" s="34"/>
      <c r="F397" s="37"/>
      <c r="G397" s="37"/>
      <c r="H397" s="37"/>
      <c r="I397" s="34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4"/>
      <c r="C398" s="34"/>
      <c r="D398" s="37"/>
      <c r="E398" s="34"/>
      <c r="F398" s="37"/>
      <c r="G398" s="37"/>
      <c r="H398" s="37"/>
      <c r="I398" s="34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4"/>
      <c r="C399" s="34"/>
      <c r="D399" s="37"/>
      <c r="E399" s="34"/>
      <c r="F399" s="37"/>
      <c r="G399" s="37"/>
      <c r="H399" s="37"/>
      <c r="I399" s="34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4"/>
      <c r="C400" s="34"/>
      <c r="D400" s="37"/>
      <c r="E400" s="34"/>
      <c r="F400" s="37"/>
      <c r="G400" s="37"/>
      <c r="H400" s="37"/>
      <c r="I400" s="34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4"/>
      <c r="C401" s="34"/>
      <c r="D401" s="37"/>
      <c r="E401" s="34"/>
      <c r="F401" s="37"/>
      <c r="G401" s="37"/>
      <c r="H401" s="37"/>
      <c r="I401" s="34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4"/>
      <c r="C402" s="34"/>
      <c r="D402" s="37"/>
      <c r="E402" s="34"/>
      <c r="F402" s="37"/>
      <c r="G402" s="37"/>
      <c r="H402" s="37"/>
      <c r="I402" s="34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4"/>
      <c r="C403" s="34"/>
      <c r="D403" s="37"/>
      <c r="E403" s="34"/>
      <c r="F403" s="37"/>
      <c r="G403" s="37"/>
      <c r="H403" s="37"/>
      <c r="I403" s="34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4"/>
      <c r="C404" s="34"/>
      <c r="D404" s="37"/>
      <c r="E404" s="34"/>
      <c r="F404" s="37"/>
      <c r="G404" s="37"/>
      <c r="H404" s="37"/>
      <c r="I404" s="34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4"/>
      <c r="C405" s="34"/>
      <c r="D405" s="37"/>
      <c r="E405" s="34"/>
      <c r="F405" s="37"/>
      <c r="G405" s="37"/>
      <c r="H405" s="37"/>
      <c r="I405" s="34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4"/>
      <c r="C406" s="34"/>
      <c r="D406" s="37"/>
      <c r="E406" s="34"/>
      <c r="F406" s="37"/>
      <c r="G406" s="37"/>
      <c r="H406" s="37"/>
      <c r="I406" s="34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4"/>
      <c r="C407" s="34"/>
      <c r="D407" s="37"/>
      <c r="E407" s="34"/>
      <c r="F407" s="37"/>
      <c r="G407" s="37"/>
      <c r="H407" s="37"/>
      <c r="I407" s="34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4"/>
      <c r="C408" s="34"/>
      <c r="D408" s="37"/>
      <c r="E408" s="34"/>
      <c r="F408" s="37"/>
      <c r="G408" s="37"/>
      <c r="H408" s="37"/>
      <c r="I408" s="34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4"/>
      <c r="C409" s="34"/>
      <c r="D409" s="37"/>
      <c r="E409" s="34"/>
      <c r="F409" s="37"/>
      <c r="G409" s="37"/>
      <c r="H409" s="37"/>
      <c r="I409" s="34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4"/>
      <c r="C410" s="34"/>
      <c r="D410" s="37"/>
      <c r="E410" s="34"/>
      <c r="F410" s="37"/>
      <c r="G410" s="37"/>
      <c r="H410" s="37"/>
      <c r="I410" s="34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4"/>
      <c r="C411" s="34"/>
      <c r="D411" s="37"/>
      <c r="E411" s="34"/>
      <c r="F411" s="37"/>
      <c r="G411" s="37"/>
      <c r="H411" s="37"/>
      <c r="I411" s="34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4"/>
      <c r="C412" s="34"/>
      <c r="D412" s="37"/>
      <c r="E412" s="34"/>
      <c r="F412" s="37"/>
      <c r="G412" s="37"/>
      <c r="H412" s="37"/>
      <c r="I412" s="34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4"/>
      <c r="C413" s="34"/>
      <c r="D413" s="37"/>
      <c r="E413" s="34"/>
      <c r="F413" s="37"/>
      <c r="G413" s="37"/>
      <c r="H413" s="37"/>
      <c r="I413" s="34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4"/>
      <c r="C414" s="34"/>
      <c r="D414" s="37"/>
      <c r="E414" s="34"/>
      <c r="F414" s="37"/>
      <c r="G414" s="37"/>
      <c r="H414" s="37"/>
      <c r="I414" s="34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4"/>
      <c r="C415" s="34"/>
      <c r="D415" s="37"/>
      <c r="E415" s="34"/>
      <c r="F415" s="37"/>
      <c r="G415" s="37"/>
      <c r="H415" s="37"/>
      <c r="I415" s="34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4"/>
      <c r="C416" s="34"/>
      <c r="D416" s="37"/>
      <c r="E416" s="34"/>
      <c r="F416" s="37"/>
      <c r="G416" s="37"/>
      <c r="H416" s="37"/>
      <c r="I416" s="34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4"/>
      <c r="C417" s="34"/>
      <c r="D417" s="37"/>
      <c r="E417" s="34"/>
      <c r="F417" s="37"/>
      <c r="G417" s="37"/>
      <c r="H417" s="37"/>
      <c r="I417" s="34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4"/>
      <c r="C418" s="34"/>
      <c r="D418" s="37"/>
      <c r="E418" s="34"/>
      <c r="F418" s="37"/>
      <c r="G418" s="37"/>
      <c r="H418" s="37"/>
      <c r="I418" s="34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4"/>
      <c r="C419" s="34"/>
      <c r="D419" s="37"/>
      <c r="E419" s="34"/>
      <c r="F419" s="37"/>
      <c r="G419" s="37"/>
      <c r="H419" s="37"/>
      <c r="I419" s="34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4"/>
      <c r="C420" s="34"/>
      <c r="D420" s="37"/>
      <c r="E420" s="34"/>
      <c r="F420" s="37"/>
      <c r="G420" s="37"/>
      <c r="H420" s="37"/>
      <c r="I420" s="34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4"/>
      <c r="C421" s="34"/>
      <c r="D421" s="37"/>
      <c r="E421" s="34"/>
      <c r="F421" s="37"/>
      <c r="G421" s="37"/>
      <c r="H421" s="37"/>
      <c r="I421" s="34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4"/>
      <c r="C422" s="34"/>
      <c r="D422" s="37"/>
      <c r="E422" s="34"/>
      <c r="F422" s="37"/>
      <c r="G422" s="37"/>
      <c r="H422" s="37"/>
      <c r="I422" s="34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4"/>
      <c r="C423" s="34"/>
      <c r="D423" s="37"/>
      <c r="E423" s="34"/>
      <c r="F423" s="37"/>
      <c r="G423" s="37"/>
      <c r="H423" s="37"/>
      <c r="I423" s="34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4"/>
      <c r="C424" s="34"/>
      <c r="D424" s="37"/>
      <c r="E424" s="34"/>
      <c r="F424" s="37"/>
      <c r="G424" s="37"/>
      <c r="H424" s="37"/>
      <c r="I424" s="34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4"/>
      <c r="C425" s="34"/>
      <c r="D425" s="37"/>
      <c r="E425" s="34"/>
      <c r="F425" s="37"/>
      <c r="G425" s="37"/>
      <c r="H425" s="37"/>
      <c r="I425" s="34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4"/>
      <c r="C426" s="34"/>
      <c r="D426" s="37"/>
      <c r="E426" s="34"/>
      <c r="F426" s="37"/>
      <c r="G426" s="37"/>
      <c r="H426" s="37"/>
      <c r="I426" s="34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4"/>
      <c r="C427" s="34"/>
      <c r="D427" s="37"/>
      <c r="E427" s="34"/>
      <c r="F427" s="37"/>
      <c r="G427" s="37"/>
      <c r="H427" s="37"/>
      <c r="I427" s="34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4"/>
      <c r="C428" s="34"/>
      <c r="D428" s="37"/>
      <c r="E428" s="34"/>
      <c r="F428" s="37"/>
      <c r="G428" s="37"/>
      <c r="H428" s="37"/>
      <c r="I428" s="34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4"/>
      <c r="C429" s="34"/>
      <c r="D429" s="37"/>
      <c r="E429" s="34"/>
      <c r="F429" s="37"/>
      <c r="G429" s="37"/>
      <c r="H429" s="37"/>
      <c r="I429" s="34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4"/>
      <c r="C430" s="34"/>
      <c r="D430" s="37"/>
      <c r="E430" s="34"/>
      <c r="F430" s="37"/>
      <c r="G430" s="37"/>
      <c r="H430" s="37"/>
      <c r="I430" s="34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4"/>
      <c r="C431" s="34"/>
      <c r="D431" s="37"/>
      <c r="E431" s="34"/>
      <c r="F431" s="37"/>
      <c r="G431" s="37"/>
      <c r="H431" s="37"/>
      <c r="I431" s="34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4"/>
      <c r="C432" s="34"/>
      <c r="D432" s="37"/>
      <c r="E432" s="34"/>
      <c r="F432" s="37"/>
      <c r="G432" s="37"/>
      <c r="H432" s="37"/>
      <c r="I432" s="34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4"/>
      <c r="C433" s="34"/>
      <c r="D433" s="37"/>
      <c r="E433" s="34"/>
      <c r="F433" s="37"/>
      <c r="G433" s="37"/>
      <c r="H433" s="37"/>
      <c r="I433" s="34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4"/>
      <c r="C434" s="34"/>
      <c r="D434" s="37"/>
      <c r="E434" s="34"/>
      <c r="F434" s="37"/>
      <c r="G434" s="37"/>
      <c r="H434" s="37"/>
      <c r="I434" s="34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4"/>
      <c r="C435" s="34"/>
      <c r="D435" s="37"/>
      <c r="E435" s="34"/>
      <c r="F435" s="37"/>
      <c r="G435" s="37"/>
      <c r="H435" s="37"/>
      <c r="I435" s="34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4"/>
      <c r="C436" s="34"/>
      <c r="D436" s="37"/>
      <c r="E436" s="34"/>
      <c r="F436" s="37"/>
      <c r="G436" s="37"/>
      <c r="H436" s="37"/>
      <c r="I436" s="34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4"/>
      <c r="C437" s="34"/>
      <c r="D437" s="37"/>
      <c r="E437" s="34"/>
      <c r="F437" s="37"/>
      <c r="G437" s="37"/>
      <c r="H437" s="37"/>
      <c r="I437" s="34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4"/>
      <c r="C438" s="34"/>
      <c r="D438" s="37"/>
      <c r="E438" s="34"/>
      <c r="F438" s="37"/>
      <c r="G438" s="37"/>
      <c r="H438" s="37"/>
      <c r="I438" s="34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4"/>
      <c r="C439" s="34"/>
      <c r="D439" s="37"/>
      <c r="E439" s="34"/>
      <c r="F439" s="37"/>
      <c r="G439" s="37"/>
      <c r="H439" s="37"/>
      <c r="I439" s="34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4"/>
      <c r="C440" s="34"/>
      <c r="D440" s="37"/>
      <c r="E440" s="34"/>
      <c r="F440" s="37"/>
      <c r="G440" s="37"/>
      <c r="H440" s="37"/>
      <c r="I440" s="34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4"/>
      <c r="C441" s="34"/>
      <c r="D441" s="37"/>
      <c r="E441" s="34"/>
      <c r="F441" s="37"/>
      <c r="G441" s="37"/>
      <c r="H441" s="37"/>
      <c r="I441" s="34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4"/>
      <c r="C442" s="34"/>
      <c r="D442" s="37"/>
      <c r="E442" s="34"/>
      <c r="F442" s="37"/>
      <c r="G442" s="37"/>
      <c r="H442" s="37"/>
      <c r="I442" s="34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4"/>
      <c r="C443" s="34"/>
      <c r="D443" s="37"/>
      <c r="E443" s="34"/>
      <c r="F443" s="37"/>
      <c r="G443" s="37"/>
      <c r="H443" s="37"/>
      <c r="I443" s="34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4"/>
      <c r="C444" s="34"/>
      <c r="D444" s="37"/>
      <c r="E444" s="34"/>
      <c r="F444" s="37"/>
      <c r="G444" s="37"/>
      <c r="H444" s="37"/>
      <c r="I444" s="34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4"/>
      <c r="C445" s="34"/>
      <c r="D445" s="37"/>
      <c r="E445" s="34"/>
      <c r="F445" s="37"/>
      <c r="G445" s="37"/>
      <c r="H445" s="37"/>
      <c r="I445" s="34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4"/>
      <c r="C446" s="34"/>
      <c r="D446" s="37"/>
      <c r="E446" s="34"/>
      <c r="F446" s="37"/>
      <c r="G446" s="37"/>
      <c r="H446" s="37"/>
      <c r="I446" s="34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4"/>
      <c r="C447" s="34"/>
      <c r="D447" s="37"/>
      <c r="E447" s="34"/>
      <c r="F447" s="37"/>
      <c r="G447" s="37"/>
      <c r="H447" s="37"/>
      <c r="I447" s="34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4"/>
      <c r="C448" s="34"/>
      <c r="D448" s="37"/>
      <c r="E448" s="34"/>
      <c r="F448" s="37"/>
      <c r="G448" s="37"/>
      <c r="H448" s="37"/>
      <c r="I448" s="34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4"/>
      <c r="C449" s="34"/>
      <c r="D449" s="37"/>
      <c r="E449" s="34"/>
      <c r="F449" s="37"/>
      <c r="G449" s="37"/>
      <c r="H449" s="37"/>
      <c r="I449" s="34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4"/>
      <c r="C450" s="34"/>
      <c r="D450" s="37"/>
      <c r="E450" s="34"/>
      <c r="F450" s="37"/>
      <c r="G450" s="37"/>
      <c r="H450" s="37"/>
      <c r="I450" s="34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4"/>
      <c r="C451" s="34"/>
      <c r="D451" s="37"/>
      <c r="E451" s="34"/>
      <c r="F451" s="37"/>
      <c r="G451" s="37"/>
      <c r="H451" s="37"/>
      <c r="I451" s="34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4"/>
      <c r="C452" s="34"/>
      <c r="D452" s="37"/>
      <c r="E452" s="34"/>
      <c r="F452" s="37"/>
      <c r="G452" s="37"/>
      <c r="H452" s="37"/>
      <c r="I452" s="34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4"/>
      <c r="C453" s="34"/>
      <c r="D453" s="37"/>
      <c r="E453" s="34"/>
      <c r="F453" s="37"/>
      <c r="G453" s="37"/>
      <c r="H453" s="37"/>
      <c r="I453" s="34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4"/>
      <c r="C454" s="34"/>
      <c r="D454" s="37"/>
      <c r="E454" s="34"/>
      <c r="F454" s="37"/>
      <c r="G454" s="37"/>
      <c r="H454" s="37"/>
      <c r="I454" s="34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4"/>
      <c r="C455" s="34"/>
      <c r="D455" s="37"/>
      <c r="E455" s="34"/>
      <c r="F455" s="37"/>
      <c r="G455" s="37"/>
      <c r="H455" s="37"/>
      <c r="I455" s="34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4"/>
      <c r="C456" s="34"/>
      <c r="D456" s="37"/>
      <c r="E456" s="34"/>
      <c r="F456" s="37"/>
      <c r="G456" s="37"/>
      <c r="H456" s="37"/>
      <c r="I456" s="34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4"/>
      <c r="C457" s="34"/>
      <c r="D457" s="37"/>
      <c r="E457" s="34"/>
      <c r="F457" s="37"/>
      <c r="G457" s="37"/>
      <c r="H457" s="37"/>
      <c r="I457" s="34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4"/>
      <c r="C458" s="34"/>
      <c r="D458" s="37"/>
      <c r="E458" s="34"/>
      <c r="F458" s="37"/>
      <c r="G458" s="37"/>
      <c r="H458" s="37"/>
      <c r="I458" s="34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4"/>
      <c r="C459" s="34"/>
      <c r="D459" s="37"/>
      <c r="E459" s="34"/>
      <c r="F459" s="37"/>
      <c r="G459" s="37"/>
      <c r="H459" s="37"/>
      <c r="I459" s="34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4"/>
      <c r="C460" s="34"/>
      <c r="D460" s="37"/>
      <c r="E460" s="34"/>
      <c r="F460" s="37"/>
      <c r="G460" s="37"/>
      <c r="H460" s="37"/>
      <c r="I460" s="34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4"/>
      <c r="C461" s="34"/>
      <c r="D461" s="37"/>
      <c r="E461" s="34"/>
      <c r="F461" s="37"/>
      <c r="G461" s="37"/>
      <c r="H461" s="37"/>
      <c r="I461" s="34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4"/>
      <c r="C462" s="34"/>
      <c r="D462" s="37"/>
      <c r="E462" s="34"/>
      <c r="F462" s="37"/>
      <c r="G462" s="37"/>
      <c r="H462" s="37"/>
      <c r="I462" s="34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4"/>
      <c r="C463" s="34"/>
      <c r="D463" s="37"/>
      <c r="E463" s="34"/>
      <c r="F463" s="37"/>
      <c r="G463" s="37"/>
      <c r="H463" s="37"/>
      <c r="I463" s="34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4"/>
      <c r="C464" s="34"/>
      <c r="D464" s="37"/>
      <c r="E464" s="34"/>
      <c r="F464" s="37"/>
      <c r="G464" s="37"/>
      <c r="H464" s="37"/>
      <c r="I464" s="34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4"/>
      <c r="C465" s="34"/>
      <c r="D465" s="37"/>
      <c r="E465" s="34"/>
      <c r="F465" s="37"/>
      <c r="G465" s="37"/>
      <c r="H465" s="37"/>
      <c r="I465" s="34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4"/>
      <c r="C466" s="34"/>
      <c r="D466" s="37"/>
      <c r="E466" s="34"/>
      <c r="F466" s="37"/>
      <c r="G466" s="37"/>
      <c r="H466" s="37"/>
      <c r="I466" s="34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4"/>
      <c r="C467" s="34"/>
      <c r="D467" s="37"/>
      <c r="E467" s="34"/>
      <c r="F467" s="37"/>
      <c r="G467" s="37"/>
      <c r="H467" s="37"/>
      <c r="I467" s="34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4"/>
      <c r="C468" s="34"/>
      <c r="D468" s="37"/>
      <c r="E468" s="34"/>
      <c r="F468" s="37"/>
      <c r="G468" s="37"/>
      <c r="H468" s="37"/>
      <c r="I468" s="34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4"/>
      <c r="C469" s="34"/>
      <c r="D469" s="37"/>
      <c r="E469" s="34"/>
      <c r="F469" s="37"/>
      <c r="G469" s="37"/>
      <c r="H469" s="37"/>
      <c r="I469" s="34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4"/>
      <c r="C470" s="34"/>
      <c r="D470" s="37"/>
      <c r="E470" s="34"/>
      <c r="F470" s="37"/>
      <c r="G470" s="37"/>
      <c r="H470" s="37"/>
      <c r="I470" s="34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4"/>
      <c r="C471" s="34"/>
      <c r="D471" s="37"/>
      <c r="E471" s="34"/>
      <c r="F471" s="37"/>
      <c r="G471" s="37"/>
      <c r="H471" s="37"/>
      <c r="I471" s="34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4"/>
      <c r="C472" s="34"/>
      <c r="D472" s="37"/>
      <c r="E472" s="34"/>
      <c r="F472" s="37"/>
      <c r="G472" s="37"/>
      <c r="H472" s="37"/>
      <c r="I472" s="34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4"/>
      <c r="C473" s="34"/>
      <c r="D473" s="37"/>
      <c r="E473" s="34"/>
      <c r="F473" s="37"/>
      <c r="G473" s="37"/>
      <c r="H473" s="37"/>
      <c r="I473" s="34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4"/>
      <c r="C474" s="34"/>
      <c r="D474" s="37"/>
      <c r="E474" s="34"/>
      <c r="F474" s="37"/>
      <c r="G474" s="37"/>
      <c r="H474" s="37"/>
      <c r="I474" s="34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4"/>
      <c r="C475" s="34"/>
      <c r="D475" s="37"/>
      <c r="E475" s="34"/>
      <c r="F475" s="37"/>
      <c r="G475" s="37"/>
      <c r="H475" s="37"/>
      <c r="I475" s="34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4"/>
      <c r="C476" s="34"/>
      <c r="D476" s="37"/>
      <c r="E476" s="34"/>
      <c r="F476" s="37"/>
      <c r="G476" s="37"/>
      <c r="H476" s="37"/>
      <c r="I476" s="34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4"/>
      <c r="C477" s="34"/>
      <c r="D477" s="37"/>
      <c r="E477" s="34"/>
      <c r="F477" s="37"/>
      <c r="G477" s="37"/>
      <c r="H477" s="37"/>
      <c r="I477" s="34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4"/>
      <c r="C478" s="34"/>
      <c r="D478" s="37"/>
      <c r="E478" s="34"/>
      <c r="F478" s="37"/>
      <c r="G478" s="37"/>
      <c r="H478" s="37"/>
      <c r="I478" s="34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4"/>
      <c r="C479" s="34"/>
      <c r="D479" s="37"/>
      <c r="E479" s="34"/>
      <c r="F479" s="37"/>
      <c r="G479" s="37"/>
      <c r="H479" s="37"/>
      <c r="I479" s="34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4"/>
      <c r="C480" s="34"/>
      <c r="D480" s="37"/>
      <c r="E480" s="34"/>
      <c r="F480" s="37"/>
      <c r="G480" s="37"/>
      <c r="H480" s="37"/>
      <c r="I480" s="34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4"/>
      <c r="C481" s="34"/>
      <c r="D481" s="37"/>
      <c r="E481" s="34"/>
      <c r="F481" s="37"/>
      <c r="G481" s="37"/>
      <c r="H481" s="37"/>
      <c r="I481" s="34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4"/>
      <c r="C482" s="34"/>
      <c r="D482" s="37"/>
      <c r="E482" s="34"/>
      <c r="F482" s="37"/>
      <c r="G482" s="37"/>
      <c r="H482" s="37"/>
      <c r="I482" s="34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4"/>
      <c r="C483" s="34"/>
      <c r="D483" s="37"/>
      <c r="E483" s="34"/>
      <c r="F483" s="37"/>
      <c r="G483" s="37"/>
      <c r="H483" s="37"/>
      <c r="I483" s="34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4"/>
      <c r="C484" s="34"/>
      <c r="D484" s="37"/>
      <c r="E484" s="34"/>
      <c r="F484" s="37"/>
      <c r="G484" s="37"/>
      <c r="H484" s="37"/>
      <c r="I484" s="34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4"/>
      <c r="C485" s="34"/>
      <c r="D485" s="37"/>
      <c r="E485" s="34"/>
      <c r="F485" s="37"/>
      <c r="G485" s="37"/>
      <c r="H485" s="37"/>
      <c r="I485" s="34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4"/>
      <c r="C486" s="34"/>
      <c r="D486" s="37"/>
      <c r="E486" s="34"/>
      <c r="F486" s="37"/>
      <c r="G486" s="37"/>
      <c r="H486" s="37"/>
      <c r="I486" s="34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4"/>
      <c r="C487" s="34"/>
      <c r="D487" s="37"/>
      <c r="E487" s="34"/>
      <c r="F487" s="37"/>
      <c r="G487" s="37"/>
      <c r="H487" s="37"/>
      <c r="I487" s="34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4"/>
      <c r="C488" s="34"/>
      <c r="D488" s="37"/>
      <c r="E488" s="34"/>
      <c r="F488" s="37"/>
      <c r="G488" s="37"/>
      <c r="H488" s="37"/>
      <c r="I488" s="34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4"/>
      <c r="C489" s="34"/>
      <c r="D489" s="37"/>
      <c r="E489" s="34"/>
      <c r="F489" s="37"/>
      <c r="G489" s="37"/>
      <c r="H489" s="37"/>
      <c r="I489" s="34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4"/>
      <c r="C490" s="34"/>
      <c r="D490" s="37"/>
      <c r="E490" s="34"/>
      <c r="F490" s="37"/>
      <c r="G490" s="37"/>
      <c r="H490" s="37"/>
      <c r="I490" s="34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4"/>
      <c r="C491" s="34"/>
      <c r="D491" s="37"/>
      <c r="E491" s="34"/>
      <c r="F491" s="37"/>
      <c r="G491" s="37"/>
      <c r="H491" s="37"/>
      <c r="I491" s="34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4"/>
      <c r="C492" s="34"/>
      <c r="D492" s="37"/>
      <c r="E492" s="34"/>
      <c r="F492" s="37"/>
      <c r="G492" s="37"/>
      <c r="H492" s="37"/>
      <c r="I492" s="34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4"/>
      <c r="C493" s="34"/>
      <c r="D493" s="37"/>
      <c r="E493" s="34"/>
      <c r="F493" s="37"/>
      <c r="G493" s="37"/>
      <c r="H493" s="37"/>
      <c r="I493" s="34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4"/>
      <c r="C494" s="34"/>
      <c r="D494" s="37"/>
      <c r="E494" s="34"/>
      <c r="F494" s="37"/>
      <c r="G494" s="37"/>
      <c r="H494" s="37"/>
      <c r="I494" s="34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4"/>
      <c r="C495" s="34"/>
      <c r="D495" s="37"/>
      <c r="E495" s="34"/>
      <c r="F495" s="37"/>
      <c r="G495" s="37"/>
      <c r="H495" s="37"/>
      <c r="I495" s="34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4"/>
      <c r="C496" s="34"/>
      <c r="D496" s="37"/>
      <c r="E496" s="34"/>
      <c r="F496" s="37"/>
      <c r="G496" s="37"/>
      <c r="H496" s="37"/>
      <c r="I496" s="34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4"/>
      <c r="C497" s="34"/>
      <c r="D497" s="37"/>
      <c r="E497" s="34"/>
      <c r="F497" s="37"/>
      <c r="G497" s="37"/>
      <c r="H497" s="37"/>
      <c r="I497" s="34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4"/>
      <c r="C498" s="34"/>
      <c r="D498" s="37"/>
      <c r="E498" s="34"/>
      <c r="F498" s="37"/>
      <c r="G498" s="37"/>
      <c r="H498" s="37"/>
      <c r="I498" s="34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4"/>
      <c r="C499" s="34"/>
      <c r="D499" s="37"/>
      <c r="E499" s="34"/>
      <c r="F499" s="37"/>
      <c r="G499" s="37"/>
      <c r="H499" s="37"/>
      <c r="I499" s="34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4"/>
      <c r="C500" s="34"/>
      <c r="D500" s="37"/>
      <c r="E500" s="34"/>
      <c r="F500" s="37"/>
      <c r="G500" s="37"/>
      <c r="H500" s="37"/>
      <c r="I500" s="34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4"/>
      <c r="C501" s="34"/>
      <c r="D501" s="37"/>
      <c r="E501" s="34"/>
      <c r="F501" s="37"/>
      <c r="G501" s="37"/>
      <c r="H501" s="37"/>
      <c r="I501" s="34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4"/>
      <c r="C502" s="34"/>
      <c r="D502" s="37"/>
      <c r="E502" s="34"/>
      <c r="F502" s="37"/>
      <c r="G502" s="37"/>
      <c r="H502" s="37"/>
      <c r="I502" s="34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4"/>
      <c r="C503" s="34"/>
      <c r="D503" s="37"/>
      <c r="E503" s="34"/>
      <c r="F503" s="37"/>
      <c r="G503" s="37"/>
      <c r="H503" s="37"/>
      <c r="I503" s="34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4"/>
      <c r="C504" s="34"/>
      <c r="D504" s="37"/>
      <c r="E504" s="34"/>
      <c r="F504" s="37"/>
      <c r="G504" s="37"/>
      <c r="H504" s="37"/>
      <c r="I504" s="34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4"/>
      <c r="C505" s="34"/>
      <c r="D505" s="37"/>
      <c r="E505" s="34"/>
      <c r="F505" s="37"/>
      <c r="G505" s="37"/>
      <c r="H505" s="37"/>
      <c r="I505" s="34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4"/>
      <c r="C506" s="34"/>
      <c r="D506" s="37"/>
      <c r="E506" s="34"/>
      <c r="F506" s="37"/>
      <c r="G506" s="37"/>
      <c r="H506" s="37"/>
      <c r="I506" s="34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4"/>
      <c r="C507" s="34"/>
      <c r="D507" s="37"/>
      <c r="E507" s="34"/>
      <c r="F507" s="37"/>
      <c r="G507" s="37"/>
      <c r="H507" s="37"/>
      <c r="I507" s="34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4"/>
      <c r="C508" s="34"/>
      <c r="D508" s="37"/>
      <c r="E508" s="34"/>
      <c r="F508" s="37"/>
      <c r="G508" s="37"/>
      <c r="H508" s="37"/>
      <c r="I508" s="34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4"/>
      <c r="C509" s="34"/>
      <c r="D509" s="37"/>
      <c r="E509" s="34"/>
      <c r="F509" s="37"/>
      <c r="G509" s="37"/>
      <c r="H509" s="37"/>
      <c r="I509" s="34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4"/>
      <c r="C510" s="34"/>
      <c r="D510" s="37"/>
      <c r="E510" s="34"/>
      <c r="F510" s="37"/>
      <c r="G510" s="37"/>
      <c r="H510" s="37"/>
      <c r="I510" s="34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4"/>
      <c r="C511" s="34"/>
      <c r="D511" s="37"/>
      <c r="E511" s="34"/>
      <c r="F511" s="37"/>
      <c r="G511" s="37"/>
      <c r="H511" s="37"/>
      <c r="I511" s="34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4"/>
      <c r="C512" s="34"/>
      <c r="D512" s="37"/>
      <c r="E512" s="34"/>
      <c r="F512" s="37"/>
      <c r="G512" s="37"/>
      <c r="H512" s="37"/>
      <c r="I512" s="34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4"/>
      <c r="C513" s="34"/>
      <c r="D513" s="37"/>
      <c r="E513" s="34"/>
      <c r="F513" s="37"/>
      <c r="G513" s="37"/>
      <c r="H513" s="37"/>
      <c r="I513" s="34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4"/>
      <c r="C514" s="34"/>
      <c r="D514" s="37"/>
      <c r="E514" s="34"/>
      <c r="F514" s="37"/>
      <c r="G514" s="37"/>
      <c r="H514" s="37"/>
      <c r="I514" s="34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4"/>
      <c r="C515" s="34"/>
      <c r="D515" s="37"/>
      <c r="E515" s="34"/>
      <c r="F515" s="37"/>
      <c r="G515" s="37"/>
      <c r="H515" s="37"/>
      <c r="I515" s="34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4"/>
      <c r="C516" s="34"/>
      <c r="D516" s="37"/>
      <c r="E516" s="34"/>
      <c r="F516" s="37"/>
      <c r="G516" s="37"/>
      <c r="H516" s="37"/>
      <c r="I516" s="34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4"/>
      <c r="C517" s="34"/>
      <c r="D517" s="37"/>
      <c r="E517" s="34"/>
      <c r="F517" s="37"/>
      <c r="G517" s="37"/>
      <c r="H517" s="37"/>
      <c r="I517" s="34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4"/>
      <c r="C518" s="34"/>
      <c r="D518" s="37"/>
      <c r="E518" s="34"/>
      <c r="F518" s="37"/>
      <c r="G518" s="37"/>
      <c r="H518" s="37"/>
      <c r="I518" s="34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4"/>
      <c r="C519" s="34"/>
      <c r="D519" s="37"/>
      <c r="E519" s="34"/>
      <c r="F519" s="37"/>
      <c r="G519" s="37"/>
      <c r="H519" s="37"/>
      <c r="I519" s="34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4"/>
      <c r="C520" s="34"/>
      <c r="D520" s="37"/>
      <c r="E520" s="34"/>
      <c r="F520" s="37"/>
      <c r="G520" s="37"/>
      <c r="H520" s="37"/>
      <c r="I520" s="34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4"/>
      <c r="C521" s="34"/>
      <c r="D521" s="37"/>
      <c r="E521" s="34"/>
      <c r="F521" s="37"/>
      <c r="G521" s="37"/>
      <c r="H521" s="37"/>
      <c r="I521" s="34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4"/>
      <c r="C522" s="34"/>
      <c r="D522" s="37"/>
      <c r="E522" s="34"/>
      <c r="F522" s="37"/>
      <c r="G522" s="37"/>
      <c r="H522" s="37"/>
      <c r="I522" s="34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4"/>
      <c r="C523" s="34"/>
      <c r="D523" s="37"/>
      <c r="E523" s="34"/>
      <c r="F523" s="37"/>
      <c r="G523" s="37"/>
      <c r="H523" s="37"/>
      <c r="I523" s="34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4"/>
      <c r="C524" s="34"/>
      <c r="D524" s="37"/>
      <c r="E524" s="34"/>
      <c r="F524" s="37"/>
      <c r="G524" s="37"/>
      <c r="H524" s="37"/>
      <c r="I524" s="34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4"/>
      <c r="C525" s="34"/>
      <c r="D525" s="37"/>
      <c r="E525" s="34"/>
      <c r="F525" s="37"/>
      <c r="G525" s="37"/>
      <c r="H525" s="37"/>
      <c r="I525" s="34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4"/>
      <c r="C526" s="34"/>
      <c r="D526" s="37"/>
      <c r="E526" s="34"/>
      <c r="F526" s="37"/>
      <c r="G526" s="37"/>
      <c r="H526" s="37"/>
      <c r="I526" s="34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4"/>
      <c r="C527" s="34"/>
      <c r="D527" s="37"/>
      <c r="E527" s="34"/>
      <c r="F527" s="37"/>
      <c r="G527" s="37"/>
      <c r="H527" s="37"/>
      <c r="I527" s="34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4"/>
      <c r="C528" s="34"/>
      <c r="D528" s="37"/>
      <c r="E528" s="34"/>
      <c r="F528" s="37"/>
      <c r="G528" s="37"/>
      <c r="H528" s="37"/>
      <c r="I528" s="34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4"/>
      <c r="C529" s="34"/>
      <c r="D529" s="37"/>
      <c r="E529" s="34"/>
      <c r="F529" s="37"/>
      <c r="G529" s="37"/>
      <c r="H529" s="37"/>
      <c r="I529" s="34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4"/>
      <c r="C530" s="34"/>
      <c r="D530" s="37"/>
      <c r="E530" s="34"/>
      <c r="F530" s="37"/>
      <c r="G530" s="37"/>
      <c r="H530" s="37"/>
      <c r="I530" s="34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4"/>
      <c r="C531" s="34"/>
      <c r="D531" s="37"/>
      <c r="E531" s="34"/>
      <c r="F531" s="37"/>
      <c r="G531" s="37"/>
      <c r="H531" s="37"/>
      <c r="I531" s="34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4"/>
      <c r="C532" s="34"/>
      <c r="D532" s="37"/>
      <c r="E532" s="34"/>
      <c r="F532" s="37"/>
      <c r="G532" s="37"/>
      <c r="H532" s="37"/>
      <c r="I532" s="34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4"/>
      <c r="C533" s="34"/>
      <c r="D533" s="37"/>
      <c r="E533" s="34"/>
      <c r="F533" s="37"/>
      <c r="G533" s="37"/>
      <c r="H533" s="37"/>
      <c r="I533" s="34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4"/>
      <c r="C534" s="34"/>
      <c r="D534" s="37"/>
      <c r="E534" s="34"/>
      <c r="F534" s="37"/>
      <c r="G534" s="37"/>
      <c r="H534" s="37"/>
      <c r="I534" s="34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4"/>
      <c r="C535" s="34"/>
      <c r="D535" s="37"/>
      <c r="E535" s="34"/>
      <c r="F535" s="37"/>
      <c r="G535" s="37"/>
      <c r="H535" s="37"/>
      <c r="I535" s="34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4"/>
      <c r="C536" s="34"/>
      <c r="D536" s="37"/>
      <c r="E536" s="34"/>
      <c r="F536" s="37"/>
      <c r="G536" s="37"/>
      <c r="H536" s="37"/>
      <c r="I536" s="34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4"/>
      <c r="C537" s="34"/>
      <c r="D537" s="37"/>
      <c r="E537" s="34"/>
      <c r="F537" s="37"/>
      <c r="G537" s="37"/>
      <c r="H537" s="37"/>
      <c r="I537" s="34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4"/>
      <c r="C538" s="34"/>
      <c r="D538" s="37"/>
      <c r="E538" s="34"/>
      <c r="F538" s="37"/>
      <c r="G538" s="37"/>
      <c r="H538" s="37"/>
      <c r="I538" s="34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4"/>
      <c r="C539" s="34"/>
      <c r="D539" s="37"/>
      <c r="E539" s="34"/>
      <c r="F539" s="37"/>
      <c r="G539" s="37"/>
      <c r="H539" s="37"/>
      <c r="I539" s="34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4"/>
      <c r="C540" s="34"/>
      <c r="D540" s="37"/>
      <c r="E540" s="34"/>
      <c r="F540" s="37"/>
      <c r="G540" s="37"/>
      <c r="H540" s="37"/>
      <c r="I540" s="34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4"/>
      <c r="C541" s="34"/>
      <c r="D541" s="37"/>
      <c r="E541" s="34"/>
      <c r="F541" s="37"/>
      <c r="G541" s="37"/>
      <c r="H541" s="37"/>
      <c r="I541" s="34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4"/>
      <c r="C542" s="34"/>
      <c r="D542" s="37"/>
      <c r="E542" s="34"/>
      <c r="F542" s="37"/>
      <c r="G542" s="37"/>
      <c r="H542" s="37"/>
      <c r="I542" s="34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4"/>
      <c r="C543" s="34"/>
      <c r="D543" s="37"/>
      <c r="E543" s="34"/>
      <c r="F543" s="37"/>
      <c r="G543" s="37"/>
      <c r="H543" s="37"/>
      <c r="I543" s="34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4"/>
      <c r="C544" s="34"/>
      <c r="D544" s="37"/>
      <c r="E544" s="34"/>
      <c r="F544" s="37"/>
      <c r="G544" s="37"/>
      <c r="H544" s="37"/>
      <c r="I544" s="34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4"/>
      <c r="C545" s="34"/>
      <c r="D545" s="37"/>
      <c r="E545" s="34"/>
      <c r="F545" s="37"/>
      <c r="G545" s="37"/>
      <c r="H545" s="37"/>
      <c r="I545" s="34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4"/>
      <c r="C546" s="34"/>
      <c r="D546" s="37"/>
      <c r="E546" s="34"/>
      <c r="F546" s="37"/>
      <c r="G546" s="37"/>
      <c r="H546" s="37"/>
      <c r="I546" s="34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4"/>
      <c r="C547" s="34"/>
      <c r="D547" s="37"/>
      <c r="E547" s="34"/>
      <c r="F547" s="37"/>
      <c r="G547" s="37"/>
      <c r="H547" s="37"/>
      <c r="I547" s="34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4"/>
      <c r="C548" s="34"/>
      <c r="D548" s="37"/>
      <c r="E548" s="34"/>
      <c r="F548" s="37"/>
      <c r="G548" s="37"/>
      <c r="H548" s="37"/>
      <c r="I548" s="34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4"/>
      <c r="C549" s="34"/>
      <c r="D549" s="37"/>
      <c r="E549" s="34"/>
      <c r="F549" s="37"/>
      <c r="G549" s="37"/>
      <c r="H549" s="37"/>
      <c r="I549" s="34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4"/>
      <c r="C550" s="34"/>
      <c r="D550" s="37"/>
      <c r="E550" s="34"/>
      <c r="F550" s="37"/>
      <c r="G550" s="37"/>
      <c r="H550" s="37"/>
      <c r="I550" s="34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4"/>
      <c r="C551" s="34"/>
      <c r="D551" s="37"/>
      <c r="E551" s="34"/>
      <c r="F551" s="37"/>
      <c r="G551" s="37"/>
      <c r="H551" s="37"/>
      <c r="I551" s="34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4"/>
      <c r="C552" s="34"/>
      <c r="D552" s="37"/>
      <c r="E552" s="34"/>
      <c r="F552" s="37"/>
      <c r="G552" s="37"/>
      <c r="H552" s="37"/>
      <c r="I552" s="34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4"/>
      <c r="C553" s="34"/>
      <c r="D553" s="37"/>
      <c r="E553" s="34"/>
      <c r="F553" s="37"/>
      <c r="G553" s="37"/>
      <c r="H553" s="37"/>
      <c r="I553" s="34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4"/>
      <c r="C554" s="34"/>
      <c r="D554" s="37"/>
      <c r="E554" s="34"/>
      <c r="F554" s="37"/>
      <c r="G554" s="37"/>
      <c r="H554" s="37"/>
      <c r="I554" s="34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4"/>
      <c r="C555" s="34"/>
      <c r="D555" s="37"/>
      <c r="E555" s="34"/>
      <c r="F555" s="37"/>
      <c r="G555" s="37"/>
      <c r="H555" s="37"/>
      <c r="I555" s="34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4"/>
      <c r="C556" s="34"/>
      <c r="D556" s="37"/>
      <c r="E556" s="34"/>
      <c r="F556" s="37"/>
      <c r="G556" s="37"/>
      <c r="H556" s="37"/>
      <c r="I556" s="34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4"/>
      <c r="C557" s="34"/>
      <c r="D557" s="37"/>
      <c r="E557" s="34"/>
      <c r="F557" s="37"/>
      <c r="G557" s="37"/>
      <c r="H557" s="37"/>
      <c r="I557" s="34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4"/>
      <c r="C558" s="34"/>
      <c r="D558" s="37"/>
      <c r="E558" s="34"/>
      <c r="F558" s="37"/>
      <c r="G558" s="37"/>
      <c r="H558" s="37"/>
      <c r="I558" s="34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4"/>
      <c r="C559" s="34"/>
      <c r="D559" s="37"/>
      <c r="E559" s="34"/>
      <c r="F559" s="37"/>
      <c r="G559" s="37"/>
      <c r="H559" s="37"/>
      <c r="I559" s="34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4"/>
      <c r="C560" s="34"/>
      <c r="D560" s="37"/>
      <c r="E560" s="34"/>
      <c r="F560" s="37"/>
      <c r="G560" s="37"/>
      <c r="H560" s="37"/>
      <c r="I560" s="34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4"/>
      <c r="C561" s="34"/>
      <c r="D561" s="37"/>
      <c r="E561" s="34"/>
      <c r="F561" s="37"/>
      <c r="G561" s="37"/>
      <c r="H561" s="37"/>
      <c r="I561" s="34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4"/>
      <c r="C562" s="34"/>
      <c r="D562" s="37"/>
      <c r="E562" s="34"/>
      <c r="F562" s="37"/>
      <c r="G562" s="37"/>
      <c r="H562" s="37"/>
      <c r="I562" s="34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4"/>
      <c r="C563" s="34"/>
      <c r="D563" s="37"/>
      <c r="E563" s="34"/>
      <c r="F563" s="37"/>
      <c r="G563" s="37"/>
      <c r="H563" s="37"/>
      <c r="I563" s="34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4"/>
      <c r="C564" s="34"/>
      <c r="D564" s="37"/>
      <c r="E564" s="34"/>
      <c r="F564" s="37"/>
      <c r="G564" s="37"/>
      <c r="H564" s="37"/>
      <c r="I564" s="34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4"/>
      <c r="C565" s="34"/>
      <c r="D565" s="37"/>
      <c r="E565" s="34"/>
      <c r="F565" s="37"/>
      <c r="G565" s="37"/>
      <c r="H565" s="37"/>
      <c r="I565" s="34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4"/>
      <c r="C566" s="34"/>
      <c r="D566" s="37"/>
      <c r="E566" s="34"/>
      <c r="F566" s="37"/>
      <c r="G566" s="37"/>
      <c r="H566" s="37"/>
      <c r="I566" s="34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4"/>
      <c r="C567" s="34"/>
      <c r="D567" s="37"/>
      <c r="E567" s="34"/>
      <c r="F567" s="37"/>
      <c r="G567" s="37"/>
      <c r="H567" s="37"/>
      <c r="I567" s="34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4"/>
      <c r="C568" s="34"/>
      <c r="D568" s="37"/>
      <c r="E568" s="34"/>
      <c r="F568" s="37"/>
      <c r="G568" s="37"/>
      <c r="H568" s="37"/>
      <c r="I568" s="34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4"/>
      <c r="C569" s="34"/>
      <c r="D569" s="37"/>
      <c r="E569" s="34"/>
      <c r="F569" s="37"/>
      <c r="G569" s="37"/>
      <c r="H569" s="37"/>
      <c r="I569" s="34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4"/>
      <c r="C570" s="34"/>
      <c r="D570" s="37"/>
      <c r="E570" s="34"/>
      <c r="F570" s="37"/>
      <c r="G570" s="37"/>
      <c r="H570" s="37"/>
      <c r="I570" s="34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4"/>
      <c r="C571" s="34"/>
      <c r="D571" s="37"/>
      <c r="E571" s="34"/>
      <c r="F571" s="37"/>
      <c r="G571" s="37"/>
      <c r="H571" s="37"/>
      <c r="I571" s="34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4"/>
      <c r="C572" s="34"/>
      <c r="D572" s="37"/>
      <c r="E572" s="34"/>
      <c r="F572" s="37"/>
      <c r="G572" s="37"/>
      <c r="H572" s="37"/>
      <c r="I572" s="34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4"/>
      <c r="C573" s="34"/>
      <c r="D573" s="37"/>
      <c r="E573" s="34"/>
      <c r="F573" s="37"/>
      <c r="G573" s="37"/>
      <c r="H573" s="37"/>
      <c r="I573" s="34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4"/>
      <c r="C574" s="34"/>
      <c r="D574" s="37"/>
      <c r="E574" s="34"/>
      <c r="F574" s="37"/>
      <c r="G574" s="37"/>
      <c r="H574" s="37"/>
      <c r="I574" s="34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4"/>
      <c r="C575" s="34"/>
      <c r="D575" s="37"/>
      <c r="E575" s="34"/>
      <c r="F575" s="37"/>
      <c r="G575" s="37"/>
      <c r="H575" s="37"/>
      <c r="I575" s="34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4"/>
      <c r="C576" s="34"/>
      <c r="D576" s="37"/>
      <c r="E576" s="34"/>
      <c r="F576" s="37"/>
      <c r="G576" s="37"/>
      <c r="H576" s="37"/>
      <c r="I576" s="34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4"/>
      <c r="C577" s="34"/>
      <c r="D577" s="37"/>
      <c r="E577" s="34"/>
      <c r="F577" s="37"/>
      <c r="G577" s="37"/>
      <c r="H577" s="37"/>
      <c r="I577" s="34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4"/>
      <c r="C578" s="34"/>
      <c r="D578" s="37"/>
      <c r="E578" s="34"/>
      <c r="F578" s="37"/>
      <c r="G578" s="37"/>
      <c r="H578" s="37"/>
      <c r="I578" s="34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4"/>
      <c r="C579" s="34"/>
      <c r="D579" s="37"/>
      <c r="E579" s="34"/>
      <c r="F579" s="37"/>
      <c r="G579" s="37"/>
      <c r="H579" s="37"/>
      <c r="I579" s="34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4"/>
      <c r="C580" s="34"/>
      <c r="D580" s="37"/>
      <c r="E580" s="34"/>
      <c r="F580" s="37"/>
      <c r="G580" s="37"/>
      <c r="H580" s="37"/>
      <c r="I580" s="34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4"/>
      <c r="C581" s="34"/>
      <c r="D581" s="37"/>
      <c r="E581" s="34"/>
      <c r="F581" s="37"/>
      <c r="G581" s="37"/>
      <c r="H581" s="37"/>
      <c r="I581" s="34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4"/>
      <c r="C582" s="34"/>
      <c r="D582" s="37"/>
      <c r="E582" s="34"/>
      <c r="F582" s="37"/>
      <c r="G582" s="37"/>
      <c r="H582" s="37"/>
      <c r="I582" s="34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4"/>
      <c r="C583" s="34"/>
      <c r="D583" s="37"/>
      <c r="E583" s="34"/>
      <c r="F583" s="37"/>
      <c r="G583" s="37"/>
      <c r="H583" s="37"/>
      <c r="I583" s="34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4"/>
      <c r="C584" s="34"/>
      <c r="D584" s="37"/>
      <c r="E584" s="34"/>
      <c r="F584" s="37"/>
      <c r="G584" s="37"/>
      <c r="H584" s="37"/>
      <c r="I584" s="34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4"/>
      <c r="C585" s="34"/>
      <c r="D585" s="37"/>
      <c r="E585" s="34"/>
      <c r="F585" s="37"/>
      <c r="G585" s="37"/>
      <c r="H585" s="37"/>
      <c r="I585" s="34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4"/>
      <c r="C586" s="34"/>
      <c r="D586" s="37"/>
      <c r="E586" s="34"/>
      <c r="F586" s="37"/>
      <c r="G586" s="37"/>
      <c r="H586" s="37"/>
      <c r="I586" s="34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4"/>
      <c r="C587" s="34"/>
      <c r="D587" s="37"/>
      <c r="E587" s="34"/>
      <c r="F587" s="37"/>
      <c r="G587" s="37"/>
      <c r="H587" s="37"/>
      <c r="I587" s="34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4"/>
      <c r="C588" s="34"/>
      <c r="D588" s="37"/>
      <c r="E588" s="34"/>
      <c r="F588" s="37"/>
      <c r="G588" s="37"/>
      <c r="H588" s="37"/>
      <c r="I588" s="34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4"/>
      <c r="C589" s="34"/>
      <c r="D589" s="37"/>
      <c r="E589" s="34"/>
      <c r="F589" s="37"/>
      <c r="G589" s="37"/>
      <c r="H589" s="37"/>
      <c r="I589" s="34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4"/>
      <c r="C590" s="34"/>
      <c r="D590" s="37"/>
      <c r="E590" s="34"/>
      <c r="F590" s="37"/>
      <c r="G590" s="37"/>
      <c r="H590" s="37"/>
      <c r="I590" s="34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4"/>
      <c r="C591" s="34"/>
      <c r="D591" s="37"/>
      <c r="E591" s="34"/>
      <c r="F591" s="37"/>
      <c r="G591" s="37"/>
      <c r="H591" s="37"/>
      <c r="I591" s="34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4"/>
      <c r="C592" s="34"/>
      <c r="D592" s="37"/>
      <c r="E592" s="34"/>
      <c r="F592" s="37"/>
      <c r="G592" s="37"/>
      <c r="H592" s="37"/>
      <c r="I592" s="34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4"/>
      <c r="C593" s="34"/>
      <c r="D593" s="37"/>
      <c r="E593" s="34"/>
      <c r="F593" s="37"/>
      <c r="G593" s="37"/>
      <c r="H593" s="37"/>
      <c r="I593" s="34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4"/>
      <c r="C594" s="34"/>
      <c r="D594" s="37"/>
      <c r="E594" s="34"/>
      <c r="F594" s="37"/>
      <c r="G594" s="37"/>
      <c r="H594" s="37"/>
      <c r="I594" s="34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4"/>
      <c r="C595" s="34"/>
      <c r="D595" s="37"/>
      <c r="E595" s="34"/>
      <c r="F595" s="37"/>
      <c r="G595" s="37"/>
      <c r="H595" s="37"/>
      <c r="I595" s="34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4"/>
      <c r="C596" s="34"/>
      <c r="D596" s="37"/>
      <c r="E596" s="34"/>
      <c r="F596" s="37"/>
      <c r="G596" s="37"/>
      <c r="H596" s="37"/>
      <c r="I596" s="34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4"/>
      <c r="C597" s="34"/>
      <c r="D597" s="37"/>
      <c r="E597" s="34"/>
      <c r="F597" s="37"/>
      <c r="G597" s="37"/>
      <c r="H597" s="37"/>
      <c r="I597" s="34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4"/>
      <c r="C598" s="34"/>
      <c r="D598" s="37"/>
      <c r="E598" s="34"/>
      <c r="F598" s="37"/>
      <c r="G598" s="37"/>
      <c r="H598" s="37"/>
      <c r="I598" s="34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4"/>
      <c r="C599" s="34"/>
      <c r="D599" s="37"/>
      <c r="E599" s="34"/>
      <c r="F599" s="37"/>
      <c r="G599" s="37"/>
      <c r="H599" s="37"/>
      <c r="I599" s="34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4"/>
      <c r="C600" s="34"/>
      <c r="D600" s="37"/>
      <c r="E600" s="34"/>
      <c r="F600" s="37"/>
      <c r="G600" s="37"/>
      <c r="H600" s="37"/>
      <c r="I600" s="34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4"/>
      <c r="C601" s="34"/>
      <c r="D601" s="37"/>
      <c r="E601" s="34"/>
      <c r="F601" s="37"/>
      <c r="G601" s="37"/>
      <c r="H601" s="37"/>
      <c r="I601" s="34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4"/>
      <c r="C602" s="34"/>
      <c r="D602" s="37"/>
      <c r="E602" s="34"/>
      <c r="F602" s="37"/>
      <c r="G602" s="37"/>
      <c r="H602" s="37"/>
      <c r="I602" s="34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4"/>
      <c r="C603" s="34"/>
      <c r="D603" s="37"/>
      <c r="E603" s="34"/>
      <c r="F603" s="37"/>
      <c r="G603" s="37"/>
      <c r="H603" s="37"/>
      <c r="I603" s="34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4"/>
      <c r="C604" s="34"/>
      <c r="D604" s="37"/>
      <c r="E604" s="34"/>
      <c r="F604" s="37"/>
      <c r="G604" s="37"/>
      <c r="H604" s="37"/>
      <c r="I604" s="34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4"/>
      <c r="C605" s="34"/>
      <c r="D605" s="37"/>
      <c r="E605" s="34"/>
      <c r="F605" s="37"/>
      <c r="G605" s="37"/>
      <c r="H605" s="37"/>
      <c r="I605" s="34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4"/>
      <c r="C606" s="34"/>
      <c r="D606" s="37"/>
      <c r="E606" s="34"/>
      <c r="F606" s="37"/>
      <c r="G606" s="37"/>
      <c r="H606" s="37"/>
      <c r="I606" s="34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4"/>
      <c r="C607" s="34"/>
      <c r="D607" s="37"/>
      <c r="E607" s="34"/>
      <c r="F607" s="37"/>
      <c r="G607" s="37"/>
      <c r="H607" s="37"/>
      <c r="I607" s="34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4"/>
      <c r="C608" s="34"/>
      <c r="D608" s="37"/>
      <c r="E608" s="34"/>
      <c r="F608" s="37"/>
      <c r="G608" s="37"/>
      <c r="H608" s="37"/>
      <c r="I608" s="34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4"/>
      <c r="C609" s="34"/>
      <c r="D609" s="37"/>
      <c r="E609" s="34"/>
      <c r="F609" s="37"/>
      <c r="G609" s="37"/>
      <c r="H609" s="37"/>
      <c r="I609" s="34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4"/>
      <c r="C610" s="34"/>
      <c r="D610" s="37"/>
      <c r="E610" s="34"/>
      <c r="F610" s="37"/>
      <c r="G610" s="37"/>
      <c r="H610" s="37"/>
      <c r="I610" s="34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4"/>
      <c r="C611" s="34"/>
      <c r="D611" s="37"/>
      <c r="E611" s="34"/>
      <c r="F611" s="37"/>
      <c r="G611" s="37"/>
      <c r="H611" s="37"/>
      <c r="I611" s="34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4"/>
      <c r="C612" s="34"/>
      <c r="D612" s="37"/>
      <c r="E612" s="34"/>
      <c r="F612" s="37"/>
      <c r="G612" s="37"/>
      <c r="H612" s="37"/>
      <c r="I612" s="34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4"/>
      <c r="C613" s="34"/>
      <c r="D613" s="37"/>
      <c r="E613" s="34"/>
      <c r="F613" s="37"/>
      <c r="G613" s="37"/>
      <c r="H613" s="37"/>
      <c r="I613" s="34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4"/>
      <c r="C614" s="34"/>
      <c r="D614" s="37"/>
      <c r="E614" s="34"/>
      <c r="F614" s="37"/>
      <c r="G614" s="37"/>
      <c r="H614" s="37"/>
      <c r="I614" s="34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4"/>
      <c r="C615" s="34"/>
      <c r="D615" s="37"/>
      <c r="E615" s="34"/>
      <c r="F615" s="37"/>
      <c r="G615" s="37"/>
      <c r="H615" s="37"/>
      <c r="I615" s="34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4"/>
      <c r="C616" s="34"/>
      <c r="D616" s="37"/>
      <c r="E616" s="34"/>
      <c r="F616" s="37"/>
      <c r="G616" s="37"/>
      <c r="H616" s="37"/>
      <c r="I616" s="34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4"/>
      <c r="C617" s="34"/>
      <c r="D617" s="37"/>
      <c r="E617" s="34"/>
      <c r="F617" s="37"/>
      <c r="G617" s="37"/>
      <c r="H617" s="37"/>
      <c r="I617" s="34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4"/>
      <c r="C618" s="34"/>
      <c r="D618" s="37"/>
      <c r="E618" s="34"/>
      <c r="F618" s="37"/>
      <c r="G618" s="37"/>
      <c r="H618" s="37"/>
      <c r="I618" s="34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4"/>
      <c r="C619" s="34"/>
      <c r="D619" s="37"/>
      <c r="E619" s="34"/>
      <c r="F619" s="37"/>
      <c r="G619" s="37"/>
      <c r="H619" s="37"/>
      <c r="I619" s="34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4"/>
      <c r="C620" s="34"/>
      <c r="D620" s="37"/>
      <c r="E620" s="34"/>
      <c r="F620" s="37"/>
      <c r="G620" s="37"/>
      <c r="H620" s="37"/>
      <c r="I620" s="34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4"/>
      <c r="C621" s="34"/>
      <c r="D621" s="37"/>
      <c r="E621" s="34"/>
      <c r="F621" s="37"/>
      <c r="G621" s="37"/>
      <c r="H621" s="37"/>
      <c r="I621" s="34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4"/>
      <c r="C622" s="34"/>
      <c r="D622" s="37"/>
      <c r="E622" s="34"/>
      <c r="F622" s="37"/>
      <c r="G622" s="37"/>
      <c r="H622" s="37"/>
      <c r="I622" s="34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4"/>
      <c r="C623" s="34"/>
      <c r="D623" s="37"/>
      <c r="E623" s="34"/>
      <c r="F623" s="37"/>
      <c r="G623" s="37"/>
      <c r="H623" s="37"/>
      <c r="I623" s="34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4"/>
      <c r="C624" s="34"/>
      <c r="D624" s="37"/>
      <c r="E624" s="34"/>
      <c r="F624" s="37"/>
      <c r="G624" s="37"/>
      <c r="H624" s="37"/>
      <c r="I624" s="34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4"/>
      <c r="C625" s="34"/>
      <c r="D625" s="37"/>
      <c r="E625" s="34"/>
      <c r="F625" s="37"/>
      <c r="G625" s="37"/>
      <c r="H625" s="37"/>
      <c r="I625" s="34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4"/>
      <c r="C626" s="34"/>
      <c r="D626" s="37"/>
      <c r="E626" s="34"/>
      <c r="F626" s="37"/>
      <c r="G626" s="37"/>
      <c r="H626" s="37"/>
      <c r="I626" s="34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4"/>
      <c r="C627" s="34"/>
      <c r="D627" s="37"/>
      <c r="E627" s="34"/>
      <c r="F627" s="37"/>
      <c r="G627" s="37"/>
      <c r="H627" s="37"/>
      <c r="I627" s="34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4"/>
      <c r="C628" s="34"/>
      <c r="D628" s="37"/>
      <c r="E628" s="34"/>
      <c r="F628" s="37"/>
      <c r="G628" s="37"/>
      <c r="H628" s="37"/>
      <c r="I628" s="34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4"/>
      <c r="C629" s="34"/>
      <c r="D629" s="37"/>
      <c r="E629" s="34"/>
      <c r="F629" s="37"/>
      <c r="G629" s="37"/>
      <c r="H629" s="37"/>
      <c r="I629" s="34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4"/>
      <c r="C630" s="34"/>
      <c r="D630" s="37"/>
      <c r="E630" s="34"/>
      <c r="F630" s="37"/>
      <c r="G630" s="37"/>
      <c r="H630" s="37"/>
      <c r="I630" s="34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4"/>
      <c r="C631" s="34"/>
      <c r="D631" s="37"/>
      <c r="E631" s="34"/>
      <c r="F631" s="37"/>
      <c r="G631" s="37"/>
      <c r="H631" s="37"/>
      <c r="I631" s="34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4"/>
      <c r="C632" s="34"/>
      <c r="D632" s="37"/>
      <c r="E632" s="34"/>
      <c r="F632" s="37"/>
      <c r="G632" s="37"/>
      <c r="H632" s="37"/>
      <c r="I632" s="34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4"/>
      <c r="C633" s="34"/>
      <c r="D633" s="37"/>
      <c r="E633" s="34"/>
      <c r="F633" s="37"/>
      <c r="G633" s="37"/>
      <c r="H633" s="37"/>
      <c r="I633" s="34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4"/>
      <c r="C634" s="34"/>
      <c r="D634" s="37"/>
      <c r="E634" s="34"/>
      <c r="F634" s="37"/>
      <c r="G634" s="37"/>
      <c r="H634" s="37"/>
      <c r="I634" s="34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4"/>
      <c r="C635" s="34"/>
      <c r="D635" s="37"/>
      <c r="E635" s="34"/>
      <c r="F635" s="37"/>
      <c r="G635" s="37"/>
      <c r="H635" s="37"/>
      <c r="I635" s="34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4"/>
      <c r="C636" s="34"/>
      <c r="D636" s="37"/>
      <c r="E636" s="34"/>
      <c r="F636" s="37"/>
      <c r="G636" s="37"/>
      <c r="H636" s="37"/>
      <c r="I636" s="34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4"/>
      <c r="C637" s="34"/>
      <c r="D637" s="37"/>
      <c r="E637" s="34"/>
      <c r="F637" s="37"/>
      <c r="G637" s="37"/>
      <c r="H637" s="37"/>
      <c r="I637" s="34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4"/>
      <c r="C638" s="34"/>
      <c r="D638" s="37"/>
      <c r="E638" s="34"/>
      <c r="F638" s="37"/>
      <c r="G638" s="37"/>
      <c r="H638" s="37"/>
      <c r="I638" s="34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4"/>
      <c r="C639" s="34"/>
      <c r="D639" s="37"/>
      <c r="E639" s="34"/>
      <c r="F639" s="37"/>
      <c r="G639" s="37"/>
      <c r="H639" s="37"/>
      <c r="I639" s="34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4"/>
      <c r="C640" s="34"/>
      <c r="D640" s="37"/>
      <c r="E640" s="34"/>
      <c r="F640" s="37"/>
      <c r="G640" s="37"/>
      <c r="H640" s="37"/>
      <c r="I640" s="34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4"/>
      <c r="C641" s="34"/>
      <c r="D641" s="37"/>
      <c r="E641" s="34"/>
      <c r="F641" s="37"/>
      <c r="G641" s="37"/>
      <c r="H641" s="37"/>
      <c r="I641" s="34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4"/>
      <c r="C642" s="34"/>
      <c r="D642" s="37"/>
      <c r="E642" s="34"/>
      <c r="F642" s="37"/>
      <c r="G642" s="37"/>
      <c r="H642" s="37"/>
      <c r="I642" s="34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4"/>
      <c r="C643" s="34"/>
      <c r="D643" s="37"/>
      <c r="E643" s="34"/>
      <c r="F643" s="37"/>
      <c r="G643" s="37"/>
      <c r="H643" s="37"/>
      <c r="I643" s="34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4"/>
      <c r="C644" s="34"/>
      <c r="D644" s="37"/>
      <c r="E644" s="34"/>
      <c r="F644" s="37"/>
      <c r="G644" s="37"/>
      <c r="H644" s="37"/>
      <c r="I644" s="34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4"/>
      <c r="C645" s="34"/>
      <c r="D645" s="37"/>
      <c r="E645" s="34"/>
      <c r="F645" s="37"/>
      <c r="G645" s="37"/>
      <c r="H645" s="37"/>
      <c r="I645" s="34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4"/>
      <c r="C646" s="34"/>
      <c r="D646" s="37"/>
      <c r="E646" s="34"/>
      <c r="F646" s="37"/>
      <c r="G646" s="37"/>
      <c r="H646" s="37"/>
      <c r="I646" s="34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4"/>
      <c r="C647" s="34"/>
      <c r="D647" s="37"/>
      <c r="E647" s="34"/>
      <c r="F647" s="37"/>
      <c r="G647" s="37"/>
      <c r="H647" s="37"/>
      <c r="I647" s="34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4"/>
      <c r="C648" s="34"/>
      <c r="D648" s="37"/>
      <c r="E648" s="34"/>
      <c r="F648" s="37"/>
      <c r="G648" s="37"/>
      <c r="H648" s="37"/>
      <c r="I648" s="34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4"/>
      <c r="C649" s="34"/>
      <c r="D649" s="37"/>
      <c r="E649" s="34"/>
      <c r="F649" s="37"/>
      <c r="G649" s="37"/>
      <c r="H649" s="37"/>
      <c r="I649" s="34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4"/>
      <c r="C650" s="34"/>
      <c r="D650" s="37"/>
      <c r="E650" s="34"/>
      <c r="F650" s="37"/>
      <c r="G650" s="37"/>
      <c r="H650" s="37"/>
      <c r="I650" s="34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4"/>
      <c r="C651" s="34"/>
      <c r="D651" s="37"/>
      <c r="E651" s="34"/>
      <c r="F651" s="37"/>
      <c r="G651" s="37"/>
      <c r="H651" s="37"/>
      <c r="I651" s="34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4"/>
      <c r="C652" s="34"/>
      <c r="D652" s="37"/>
      <c r="E652" s="34"/>
      <c r="F652" s="37"/>
      <c r="G652" s="37"/>
      <c r="H652" s="37"/>
      <c r="I652" s="34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4"/>
      <c r="C653" s="34"/>
      <c r="D653" s="37"/>
      <c r="E653" s="34"/>
      <c r="F653" s="37"/>
      <c r="G653" s="37"/>
      <c r="H653" s="37"/>
      <c r="I653" s="34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4"/>
      <c r="C654" s="34"/>
      <c r="D654" s="37"/>
      <c r="E654" s="34"/>
      <c r="F654" s="37"/>
      <c r="G654" s="37"/>
      <c r="H654" s="37"/>
      <c r="I654" s="34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4"/>
      <c r="C655" s="34"/>
      <c r="D655" s="37"/>
      <c r="E655" s="34"/>
      <c r="F655" s="37"/>
      <c r="G655" s="37"/>
      <c r="H655" s="37"/>
      <c r="I655" s="34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4"/>
      <c r="C656" s="34"/>
      <c r="D656" s="37"/>
      <c r="E656" s="34"/>
      <c r="F656" s="37"/>
      <c r="G656" s="37"/>
      <c r="H656" s="37"/>
      <c r="I656" s="34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4"/>
      <c r="C657" s="34"/>
      <c r="D657" s="37"/>
      <c r="E657" s="34"/>
      <c r="F657" s="37"/>
      <c r="G657" s="37"/>
      <c r="H657" s="37"/>
      <c r="I657" s="34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4"/>
      <c r="C658" s="34"/>
      <c r="D658" s="37"/>
      <c r="E658" s="34"/>
      <c r="F658" s="37"/>
      <c r="G658" s="37"/>
      <c r="H658" s="37"/>
      <c r="I658" s="34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4"/>
      <c r="C659" s="34"/>
      <c r="D659" s="37"/>
      <c r="E659" s="34"/>
      <c r="F659" s="37"/>
      <c r="G659" s="37"/>
      <c r="H659" s="37"/>
      <c r="I659" s="34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4"/>
      <c r="C660" s="34"/>
      <c r="D660" s="37"/>
      <c r="E660" s="34"/>
      <c r="F660" s="37"/>
      <c r="G660" s="37"/>
      <c r="H660" s="37"/>
      <c r="I660" s="34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4"/>
      <c r="C661" s="34"/>
      <c r="D661" s="37"/>
      <c r="E661" s="34"/>
      <c r="F661" s="37"/>
      <c r="G661" s="37"/>
      <c r="H661" s="37"/>
      <c r="I661" s="34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4"/>
      <c r="C662" s="34"/>
      <c r="D662" s="37"/>
      <c r="E662" s="34"/>
      <c r="F662" s="37"/>
      <c r="G662" s="37"/>
      <c r="H662" s="37"/>
      <c r="I662" s="34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4"/>
      <c r="C663" s="34"/>
      <c r="D663" s="37"/>
      <c r="E663" s="34"/>
      <c r="F663" s="37"/>
      <c r="G663" s="37"/>
      <c r="H663" s="37"/>
      <c r="I663" s="34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4"/>
      <c r="C664" s="34"/>
      <c r="D664" s="37"/>
      <c r="E664" s="34"/>
      <c r="F664" s="37"/>
      <c r="G664" s="37"/>
      <c r="H664" s="37"/>
      <c r="I664" s="34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4"/>
      <c r="C665" s="34"/>
      <c r="D665" s="37"/>
      <c r="E665" s="34"/>
      <c r="F665" s="37"/>
      <c r="G665" s="37"/>
      <c r="H665" s="37"/>
      <c r="I665" s="34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4"/>
      <c r="C666" s="34"/>
      <c r="D666" s="37"/>
      <c r="E666" s="34"/>
      <c r="F666" s="37"/>
      <c r="G666" s="37"/>
      <c r="H666" s="37"/>
      <c r="I666" s="34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4"/>
      <c r="C667" s="34"/>
      <c r="D667" s="37"/>
      <c r="E667" s="34"/>
      <c r="F667" s="37"/>
      <c r="G667" s="37"/>
      <c r="H667" s="37"/>
      <c r="I667" s="34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4"/>
      <c r="C668" s="34"/>
      <c r="D668" s="37"/>
      <c r="E668" s="34"/>
      <c r="F668" s="37"/>
      <c r="G668" s="37"/>
      <c r="H668" s="37"/>
      <c r="I668" s="34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4"/>
      <c r="C669" s="34"/>
      <c r="D669" s="37"/>
      <c r="E669" s="34"/>
      <c r="F669" s="37"/>
      <c r="G669" s="37"/>
      <c r="H669" s="37"/>
      <c r="I669" s="34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4"/>
      <c r="C670" s="34"/>
      <c r="D670" s="37"/>
      <c r="E670" s="34"/>
      <c r="F670" s="37"/>
      <c r="G670" s="37"/>
      <c r="H670" s="37"/>
      <c r="I670" s="34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4"/>
      <c r="C671" s="34"/>
      <c r="D671" s="37"/>
      <c r="E671" s="34"/>
      <c r="F671" s="37"/>
      <c r="G671" s="37"/>
      <c r="H671" s="37"/>
      <c r="I671" s="34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4"/>
      <c r="C672" s="34"/>
      <c r="D672" s="37"/>
      <c r="E672" s="34"/>
      <c r="F672" s="37"/>
      <c r="G672" s="37"/>
      <c r="H672" s="37"/>
      <c r="I672" s="34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4"/>
      <c r="C673" s="34"/>
      <c r="D673" s="37"/>
      <c r="E673" s="34"/>
      <c r="F673" s="37"/>
      <c r="G673" s="37"/>
      <c r="H673" s="37"/>
      <c r="I673" s="34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4"/>
      <c r="C674" s="34"/>
      <c r="D674" s="37"/>
      <c r="E674" s="34"/>
      <c r="F674" s="37"/>
      <c r="G674" s="37"/>
      <c r="H674" s="37"/>
      <c r="I674" s="34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4"/>
      <c r="C675" s="34"/>
      <c r="D675" s="37"/>
      <c r="E675" s="34"/>
      <c r="F675" s="37"/>
      <c r="G675" s="37"/>
      <c r="H675" s="37"/>
      <c r="I675" s="34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4"/>
      <c r="C676" s="34"/>
      <c r="D676" s="37"/>
      <c r="E676" s="34"/>
      <c r="F676" s="37"/>
      <c r="G676" s="37"/>
      <c r="H676" s="37"/>
      <c r="I676" s="34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4"/>
      <c r="C677" s="34"/>
      <c r="D677" s="37"/>
      <c r="E677" s="34"/>
      <c r="F677" s="37"/>
      <c r="G677" s="37"/>
      <c r="H677" s="37"/>
      <c r="I677" s="34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4"/>
      <c r="C678" s="34"/>
      <c r="D678" s="37"/>
      <c r="E678" s="34"/>
      <c r="F678" s="37"/>
      <c r="G678" s="37"/>
      <c r="H678" s="37"/>
      <c r="I678" s="34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4"/>
      <c r="C679" s="34"/>
      <c r="D679" s="37"/>
      <c r="E679" s="34"/>
      <c r="F679" s="37"/>
      <c r="G679" s="37"/>
      <c r="H679" s="37"/>
      <c r="I679" s="34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4"/>
      <c r="C680" s="34"/>
      <c r="D680" s="37"/>
      <c r="E680" s="34"/>
      <c r="F680" s="37"/>
      <c r="G680" s="37"/>
      <c r="H680" s="37"/>
      <c r="I680" s="34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4"/>
      <c r="C681" s="34"/>
      <c r="D681" s="37"/>
      <c r="E681" s="34"/>
      <c r="F681" s="37"/>
      <c r="G681" s="37"/>
      <c r="H681" s="37"/>
      <c r="I681" s="34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4"/>
      <c r="C682" s="34"/>
      <c r="D682" s="37"/>
      <c r="E682" s="34"/>
      <c r="F682" s="37"/>
      <c r="G682" s="37"/>
      <c r="H682" s="37"/>
      <c r="I682" s="34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4"/>
      <c r="C683" s="34"/>
      <c r="D683" s="37"/>
      <c r="E683" s="34"/>
      <c r="F683" s="37"/>
      <c r="G683" s="37"/>
      <c r="H683" s="37"/>
      <c r="I683" s="34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4"/>
      <c r="C684" s="34"/>
      <c r="D684" s="37"/>
      <c r="E684" s="34"/>
      <c r="F684" s="37"/>
      <c r="G684" s="37"/>
      <c r="H684" s="37"/>
      <c r="I684" s="34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4"/>
      <c r="C685" s="34"/>
      <c r="D685" s="37"/>
      <c r="E685" s="34"/>
      <c r="F685" s="37"/>
      <c r="G685" s="37"/>
      <c r="H685" s="37"/>
      <c r="I685" s="34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4"/>
      <c r="C686" s="34"/>
      <c r="D686" s="37"/>
      <c r="E686" s="34"/>
      <c r="F686" s="37"/>
      <c r="G686" s="37"/>
      <c r="H686" s="37"/>
      <c r="I686" s="34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4"/>
      <c r="C687" s="34"/>
      <c r="D687" s="37"/>
      <c r="E687" s="34"/>
      <c r="F687" s="37"/>
      <c r="G687" s="37"/>
      <c r="H687" s="37"/>
      <c r="I687" s="34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4"/>
      <c r="C688" s="34"/>
      <c r="D688" s="37"/>
      <c r="E688" s="34"/>
      <c r="F688" s="37"/>
      <c r="G688" s="37"/>
      <c r="H688" s="37"/>
      <c r="I688" s="34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4"/>
      <c r="C689" s="34"/>
      <c r="D689" s="37"/>
      <c r="E689" s="34"/>
      <c r="F689" s="37"/>
      <c r="G689" s="37"/>
      <c r="H689" s="37"/>
      <c r="I689" s="34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4"/>
      <c r="C690" s="34"/>
      <c r="D690" s="37"/>
      <c r="E690" s="34"/>
      <c r="F690" s="37"/>
      <c r="G690" s="37"/>
      <c r="H690" s="37"/>
      <c r="I690" s="34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4"/>
      <c r="C691" s="34"/>
      <c r="D691" s="37"/>
      <c r="E691" s="34"/>
      <c r="F691" s="37"/>
      <c r="G691" s="37"/>
      <c r="H691" s="37"/>
      <c r="I691" s="34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4"/>
      <c r="C692" s="34"/>
      <c r="D692" s="37"/>
      <c r="E692" s="34"/>
      <c r="F692" s="37"/>
      <c r="G692" s="37"/>
      <c r="H692" s="37"/>
      <c r="I692" s="34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4"/>
      <c r="C693" s="34"/>
      <c r="D693" s="37"/>
      <c r="E693" s="34"/>
      <c r="F693" s="37"/>
      <c r="G693" s="37"/>
      <c r="H693" s="37"/>
      <c r="I693" s="34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4"/>
      <c r="C694" s="34"/>
      <c r="D694" s="37"/>
      <c r="E694" s="34"/>
      <c r="F694" s="37"/>
      <c r="G694" s="37"/>
      <c r="H694" s="37"/>
      <c r="I694" s="34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4"/>
      <c r="C695" s="34"/>
      <c r="D695" s="37"/>
      <c r="E695" s="34"/>
      <c r="F695" s="37"/>
      <c r="G695" s="37"/>
      <c r="H695" s="37"/>
      <c r="I695" s="34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4"/>
      <c r="C696" s="34"/>
      <c r="D696" s="37"/>
      <c r="E696" s="34"/>
      <c r="F696" s="37"/>
      <c r="G696" s="37"/>
      <c r="H696" s="37"/>
      <c r="I696" s="34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4"/>
      <c r="C697" s="34"/>
      <c r="D697" s="37"/>
      <c r="E697" s="34"/>
      <c r="F697" s="37"/>
      <c r="G697" s="37"/>
      <c r="H697" s="37"/>
      <c r="I697" s="34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4"/>
      <c r="C698" s="34"/>
      <c r="D698" s="37"/>
      <c r="E698" s="34"/>
      <c r="F698" s="37"/>
      <c r="G698" s="37"/>
      <c r="H698" s="37"/>
      <c r="I698" s="34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4"/>
      <c r="C699" s="34"/>
      <c r="D699" s="37"/>
      <c r="E699" s="34"/>
      <c r="F699" s="37"/>
      <c r="G699" s="37"/>
      <c r="H699" s="37"/>
      <c r="I699" s="34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4"/>
      <c r="C700" s="34"/>
      <c r="D700" s="37"/>
      <c r="E700" s="34"/>
      <c r="F700" s="37"/>
      <c r="G700" s="37"/>
      <c r="H700" s="37"/>
      <c r="I700" s="34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4"/>
      <c r="C701" s="34"/>
      <c r="D701" s="37"/>
      <c r="E701" s="34"/>
      <c r="F701" s="37"/>
      <c r="G701" s="37"/>
      <c r="H701" s="37"/>
      <c r="I701" s="34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4"/>
      <c r="C702" s="34"/>
      <c r="D702" s="37"/>
      <c r="E702" s="34"/>
      <c r="F702" s="37"/>
      <c r="G702" s="37"/>
      <c r="H702" s="37"/>
      <c r="I702" s="34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4"/>
      <c r="C703" s="34"/>
      <c r="D703" s="37"/>
      <c r="E703" s="34"/>
      <c r="F703" s="37"/>
      <c r="G703" s="37"/>
      <c r="H703" s="37"/>
      <c r="I703" s="34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4"/>
      <c r="C704" s="34"/>
      <c r="D704" s="37"/>
      <c r="E704" s="34"/>
      <c r="F704" s="37"/>
      <c r="G704" s="37"/>
      <c r="H704" s="37"/>
      <c r="I704" s="34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4"/>
      <c r="C705" s="34"/>
      <c r="D705" s="37"/>
      <c r="E705" s="34"/>
      <c r="F705" s="37"/>
      <c r="G705" s="37"/>
      <c r="H705" s="37"/>
      <c r="I705" s="34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4"/>
      <c r="C706" s="34"/>
      <c r="D706" s="37"/>
      <c r="E706" s="34"/>
      <c r="F706" s="37"/>
      <c r="G706" s="37"/>
      <c r="H706" s="37"/>
      <c r="I706" s="34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4"/>
      <c r="C707" s="34"/>
      <c r="D707" s="37"/>
      <c r="E707" s="34"/>
      <c r="F707" s="37"/>
      <c r="G707" s="37"/>
      <c r="H707" s="37"/>
      <c r="I707" s="34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4"/>
      <c r="C708" s="34"/>
      <c r="D708" s="37"/>
      <c r="E708" s="34"/>
      <c r="F708" s="37"/>
      <c r="G708" s="37"/>
      <c r="H708" s="37"/>
      <c r="I708" s="34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4"/>
      <c r="C709" s="34"/>
      <c r="D709" s="37"/>
      <c r="E709" s="34"/>
      <c r="F709" s="37"/>
      <c r="G709" s="37"/>
      <c r="H709" s="37"/>
      <c r="I709" s="34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4"/>
      <c r="C710" s="34"/>
      <c r="D710" s="37"/>
      <c r="E710" s="34"/>
      <c r="F710" s="37"/>
      <c r="G710" s="37"/>
      <c r="H710" s="37"/>
      <c r="I710" s="34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4"/>
      <c r="C711" s="34"/>
      <c r="D711" s="37"/>
      <c r="E711" s="34"/>
      <c r="F711" s="37"/>
      <c r="G711" s="37"/>
      <c r="H711" s="37"/>
      <c r="I711" s="34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4"/>
      <c r="C712" s="34"/>
      <c r="D712" s="37"/>
      <c r="E712" s="34"/>
      <c r="F712" s="37"/>
      <c r="G712" s="37"/>
      <c r="H712" s="37"/>
      <c r="I712" s="34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4"/>
      <c r="C713" s="34"/>
      <c r="D713" s="37"/>
      <c r="E713" s="34"/>
      <c r="F713" s="37"/>
      <c r="G713" s="37"/>
      <c r="H713" s="37"/>
      <c r="I713" s="34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4"/>
      <c r="C714" s="34"/>
      <c r="D714" s="37"/>
      <c r="E714" s="34"/>
      <c r="F714" s="37"/>
      <c r="G714" s="37"/>
      <c r="H714" s="37"/>
      <c r="I714" s="34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4"/>
      <c r="C715" s="34"/>
      <c r="D715" s="37"/>
      <c r="E715" s="34"/>
      <c r="F715" s="37"/>
      <c r="G715" s="37"/>
      <c r="H715" s="37"/>
      <c r="I715" s="34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4"/>
      <c r="C716" s="34"/>
      <c r="D716" s="37"/>
      <c r="E716" s="34"/>
      <c r="F716" s="37"/>
      <c r="G716" s="37"/>
      <c r="H716" s="37"/>
      <c r="I716" s="34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4"/>
      <c r="C717" s="34"/>
      <c r="D717" s="37"/>
      <c r="E717" s="34"/>
      <c r="F717" s="37"/>
      <c r="G717" s="37"/>
      <c r="H717" s="37"/>
      <c r="I717" s="34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4"/>
      <c r="C718" s="34"/>
      <c r="D718" s="37"/>
      <c r="E718" s="34"/>
      <c r="F718" s="37"/>
      <c r="G718" s="37"/>
      <c r="H718" s="37"/>
      <c r="I718" s="34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4"/>
      <c r="C719" s="34"/>
      <c r="D719" s="37"/>
      <c r="E719" s="34"/>
      <c r="F719" s="37"/>
      <c r="G719" s="37"/>
      <c r="H719" s="37"/>
      <c r="I719" s="34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4"/>
      <c r="C720" s="34"/>
      <c r="D720" s="37"/>
      <c r="E720" s="34"/>
      <c r="F720" s="37"/>
      <c r="G720" s="37"/>
      <c r="H720" s="37"/>
      <c r="I720" s="34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4"/>
      <c r="C721" s="34"/>
      <c r="D721" s="37"/>
      <c r="E721" s="34"/>
      <c r="F721" s="37"/>
      <c r="G721" s="37"/>
      <c r="H721" s="37"/>
      <c r="I721" s="34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4"/>
      <c r="C722" s="34"/>
      <c r="D722" s="37"/>
      <c r="E722" s="34"/>
      <c r="F722" s="37"/>
      <c r="G722" s="37"/>
      <c r="H722" s="37"/>
      <c r="I722" s="34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4"/>
      <c r="C723" s="34"/>
      <c r="D723" s="37"/>
      <c r="E723" s="34"/>
      <c r="F723" s="37"/>
      <c r="G723" s="37"/>
      <c r="H723" s="37"/>
      <c r="I723" s="34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4"/>
      <c r="C724" s="34"/>
      <c r="D724" s="37"/>
      <c r="E724" s="34"/>
      <c r="F724" s="37"/>
      <c r="G724" s="37"/>
      <c r="H724" s="37"/>
      <c r="I724" s="34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4"/>
      <c r="C725" s="34"/>
      <c r="D725" s="37"/>
      <c r="E725" s="34"/>
      <c r="F725" s="37"/>
      <c r="G725" s="37"/>
      <c r="H725" s="37"/>
      <c r="I725" s="34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4"/>
      <c r="C726" s="34"/>
      <c r="D726" s="37"/>
      <c r="E726" s="34"/>
      <c r="F726" s="37"/>
      <c r="G726" s="37"/>
      <c r="H726" s="37"/>
      <c r="I726" s="34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4"/>
      <c r="C727" s="34"/>
      <c r="D727" s="37"/>
      <c r="E727" s="34"/>
      <c r="F727" s="37"/>
      <c r="G727" s="37"/>
      <c r="H727" s="37"/>
      <c r="I727" s="34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4"/>
      <c r="C728" s="34"/>
      <c r="D728" s="37"/>
      <c r="E728" s="34"/>
      <c r="F728" s="37"/>
      <c r="G728" s="37"/>
      <c r="H728" s="37"/>
      <c r="I728" s="34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4"/>
      <c r="C729" s="34"/>
      <c r="D729" s="37"/>
      <c r="E729" s="34"/>
      <c r="F729" s="37"/>
      <c r="G729" s="37"/>
      <c r="H729" s="37"/>
      <c r="I729" s="34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4"/>
      <c r="C730" s="34"/>
      <c r="D730" s="37"/>
      <c r="E730" s="34"/>
      <c r="F730" s="37"/>
      <c r="G730" s="37"/>
      <c r="H730" s="37"/>
      <c r="I730" s="34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4"/>
      <c r="C731" s="34"/>
      <c r="D731" s="37"/>
      <c r="E731" s="34"/>
      <c r="F731" s="37"/>
      <c r="G731" s="37"/>
      <c r="H731" s="37"/>
      <c r="I731" s="34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4"/>
      <c r="C732" s="34"/>
      <c r="D732" s="37"/>
      <c r="E732" s="34"/>
      <c r="F732" s="37"/>
      <c r="G732" s="37"/>
      <c r="H732" s="37"/>
      <c r="I732" s="34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4"/>
      <c r="C733" s="34"/>
      <c r="D733" s="37"/>
      <c r="E733" s="34"/>
      <c r="F733" s="37"/>
      <c r="G733" s="37"/>
      <c r="H733" s="37"/>
      <c r="I733" s="34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4"/>
      <c r="C734" s="34"/>
      <c r="D734" s="37"/>
      <c r="E734" s="34"/>
      <c r="F734" s="37"/>
      <c r="G734" s="37"/>
      <c r="H734" s="37"/>
      <c r="I734" s="34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4"/>
      <c r="C735" s="34"/>
      <c r="D735" s="37"/>
      <c r="E735" s="34"/>
      <c r="F735" s="37"/>
      <c r="G735" s="37"/>
      <c r="H735" s="37"/>
      <c r="I735" s="34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4"/>
      <c r="C736" s="34"/>
      <c r="D736" s="37"/>
      <c r="E736" s="34"/>
      <c r="F736" s="37"/>
      <c r="G736" s="37"/>
      <c r="H736" s="37"/>
      <c r="I736" s="34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4"/>
      <c r="C737" s="34"/>
      <c r="D737" s="37"/>
      <c r="E737" s="34"/>
      <c r="F737" s="37"/>
      <c r="G737" s="37"/>
      <c r="H737" s="37"/>
      <c r="I737" s="34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4"/>
      <c r="C738" s="34"/>
      <c r="D738" s="37"/>
      <c r="E738" s="34"/>
      <c r="F738" s="37"/>
      <c r="G738" s="37"/>
      <c r="H738" s="37"/>
      <c r="I738" s="34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4"/>
      <c r="C739" s="34"/>
      <c r="D739" s="37"/>
      <c r="E739" s="34"/>
      <c r="F739" s="37"/>
      <c r="G739" s="37"/>
      <c r="H739" s="37"/>
      <c r="I739" s="34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4"/>
      <c r="C740" s="34"/>
      <c r="D740" s="37"/>
      <c r="E740" s="34"/>
      <c r="F740" s="37"/>
      <c r="G740" s="37"/>
      <c r="H740" s="37"/>
      <c r="I740" s="34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4"/>
      <c r="C741" s="34"/>
      <c r="D741" s="37"/>
      <c r="E741" s="34"/>
      <c r="F741" s="37"/>
      <c r="G741" s="37"/>
      <c r="H741" s="37"/>
      <c r="I741" s="34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4"/>
      <c r="C742" s="34"/>
      <c r="D742" s="37"/>
      <c r="E742" s="34"/>
      <c r="F742" s="37"/>
      <c r="G742" s="37"/>
      <c r="H742" s="37"/>
      <c r="I742" s="34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4"/>
      <c r="C743" s="34"/>
      <c r="D743" s="37"/>
      <c r="E743" s="34"/>
      <c r="F743" s="37"/>
      <c r="G743" s="37"/>
      <c r="H743" s="37"/>
      <c r="I743" s="34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4"/>
      <c r="C744" s="34"/>
      <c r="D744" s="37"/>
      <c r="E744" s="34"/>
      <c r="F744" s="37"/>
      <c r="G744" s="37"/>
      <c r="H744" s="37"/>
      <c r="I744" s="34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4"/>
      <c r="C745" s="34"/>
      <c r="D745" s="37"/>
      <c r="E745" s="34"/>
      <c r="F745" s="37"/>
      <c r="G745" s="37"/>
      <c r="H745" s="37"/>
      <c r="I745" s="34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4"/>
      <c r="C746" s="34"/>
      <c r="D746" s="37"/>
      <c r="E746" s="34"/>
      <c r="F746" s="37"/>
      <c r="G746" s="37"/>
      <c r="H746" s="37"/>
      <c r="I746" s="34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4"/>
      <c r="C747" s="34"/>
      <c r="D747" s="37"/>
      <c r="E747" s="34"/>
      <c r="F747" s="37"/>
      <c r="G747" s="37"/>
      <c r="H747" s="37"/>
      <c r="I747" s="34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4"/>
      <c r="C748" s="34"/>
      <c r="D748" s="37"/>
      <c r="E748" s="34"/>
      <c r="F748" s="37"/>
      <c r="G748" s="37"/>
      <c r="H748" s="37"/>
      <c r="I748" s="34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4"/>
      <c r="C749" s="34"/>
      <c r="D749" s="37"/>
      <c r="E749" s="34"/>
      <c r="F749" s="37"/>
      <c r="G749" s="37"/>
      <c r="H749" s="37"/>
      <c r="I749" s="34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4"/>
      <c r="C750" s="34"/>
      <c r="D750" s="37"/>
      <c r="E750" s="34"/>
      <c r="F750" s="37"/>
      <c r="G750" s="37"/>
      <c r="H750" s="37"/>
      <c r="I750" s="34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4"/>
      <c r="C751" s="34"/>
      <c r="D751" s="37"/>
      <c r="E751" s="34"/>
      <c r="F751" s="37"/>
      <c r="G751" s="37"/>
      <c r="H751" s="37"/>
      <c r="I751" s="34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4"/>
      <c r="C752" s="34"/>
      <c r="D752" s="37"/>
      <c r="E752" s="34"/>
      <c r="F752" s="37"/>
      <c r="G752" s="37"/>
      <c r="H752" s="37"/>
      <c r="I752" s="34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4"/>
      <c r="C753" s="34"/>
      <c r="D753" s="37"/>
      <c r="E753" s="34"/>
      <c r="F753" s="37"/>
      <c r="G753" s="37"/>
      <c r="H753" s="37"/>
      <c r="I753" s="34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4"/>
      <c r="C754" s="34"/>
      <c r="D754" s="37"/>
      <c r="E754" s="34"/>
      <c r="F754" s="37"/>
      <c r="G754" s="37"/>
      <c r="H754" s="37"/>
      <c r="I754" s="34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4"/>
      <c r="C755" s="34"/>
      <c r="D755" s="37"/>
      <c r="E755" s="34"/>
      <c r="F755" s="37"/>
      <c r="G755" s="37"/>
      <c r="H755" s="37"/>
      <c r="I755" s="34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4"/>
      <c r="C756" s="34"/>
      <c r="D756" s="37"/>
      <c r="E756" s="34"/>
      <c r="F756" s="37"/>
      <c r="G756" s="37"/>
      <c r="H756" s="37"/>
      <c r="I756" s="34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4"/>
      <c r="C757" s="34"/>
      <c r="D757" s="37"/>
      <c r="E757" s="34"/>
      <c r="F757" s="37"/>
      <c r="G757" s="37"/>
      <c r="H757" s="37"/>
      <c r="I757" s="34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4"/>
      <c r="C758" s="34"/>
      <c r="D758" s="37"/>
      <c r="E758" s="34"/>
      <c r="F758" s="37"/>
      <c r="G758" s="37"/>
      <c r="H758" s="37"/>
      <c r="I758" s="34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4"/>
      <c r="C759" s="34"/>
      <c r="D759" s="37"/>
      <c r="E759" s="34"/>
      <c r="F759" s="37"/>
      <c r="G759" s="37"/>
      <c r="H759" s="37"/>
      <c r="I759" s="34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4"/>
      <c r="C760" s="34"/>
      <c r="D760" s="37"/>
      <c r="E760" s="34"/>
      <c r="F760" s="37"/>
      <c r="G760" s="37"/>
      <c r="H760" s="37"/>
      <c r="I760" s="34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4"/>
      <c r="C761" s="34"/>
      <c r="D761" s="37"/>
      <c r="E761" s="34"/>
      <c r="F761" s="37"/>
      <c r="G761" s="37"/>
      <c r="H761" s="37"/>
      <c r="I761" s="34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4"/>
      <c r="C762" s="34"/>
      <c r="D762" s="37"/>
      <c r="E762" s="34"/>
      <c r="F762" s="37"/>
      <c r="G762" s="37"/>
      <c r="H762" s="37"/>
      <c r="I762" s="34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4"/>
      <c r="C763" s="34"/>
      <c r="D763" s="37"/>
      <c r="E763" s="34"/>
      <c r="F763" s="37"/>
      <c r="G763" s="37"/>
      <c r="H763" s="37"/>
      <c r="I763" s="34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4"/>
      <c r="C764" s="34"/>
      <c r="D764" s="37"/>
      <c r="E764" s="34"/>
      <c r="F764" s="37"/>
      <c r="G764" s="37"/>
      <c r="H764" s="37"/>
      <c r="I764" s="34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4"/>
      <c r="C765" s="34"/>
      <c r="D765" s="37"/>
      <c r="E765" s="34"/>
      <c r="F765" s="37"/>
      <c r="G765" s="37"/>
      <c r="H765" s="37"/>
      <c r="I765" s="34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4"/>
      <c r="C766" s="34"/>
      <c r="D766" s="37"/>
      <c r="E766" s="34"/>
      <c r="F766" s="37"/>
      <c r="G766" s="37"/>
      <c r="H766" s="37"/>
      <c r="I766" s="34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4"/>
      <c r="C767" s="34"/>
      <c r="D767" s="37"/>
      <c r="E767" s="34"/>
      <c r="F767" s="37"/>
      <c r="G767" s="37"/>
      <c r="H767" s="37"/>
      <c r="I767" s="34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4"/>
      <c r="C768" s="34"/>
      <c r="D768" s="37"/>
      <c r="E768" s="34"/>
      <c r="F768" s="37"/>
      <c r="G768" s="37"/>
      <c r="H768" s="37"/>
      <c r="I768" s="34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4"/>
      <c r="C769" s="34"/>
      <c r="D769" s="37"/>
      <c r="E769" s="34"/>
      <c r="F769" s="37"/>
      <c r="G769" s="37"/>
      <c r="H769" s="37"/>
      <c r="I769" s="34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4"/>
      <c r="C770" s="34"/>
      <c r="D770" s="37"/>
      <c r="E770" s="34"/>
      <c r="F770" s="37"/>
      <c r="G770" s="37"/>
      <c r="H770" s="37"/>
      <c r="I770" s="34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4"/>
      <c r="C771" s="34"/>
      <c r="D771" s="37"/>
      <c r="E771" s="34"/>
      <c r="F771" s="37"/>
      <c r="G771" s="37"/>
      <c r="H771" s="37"/>
      <c r="I771" s="34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4"/>
      <c r="C772" s="34"/>
      <c r="D772" s="37"/>
      <c r="E772" s="34"/>
      <c r="F772" s="37"/>
      <c r="G772" s="37"/>
      <c r="H772" s="37"/>
      <c r="I772" s="34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4"/>
      <c r="C773" s="34"/>
      <c r="D773" s="37"/>
      <c r="E773" s="34"/>
      <c r="F773" s="37"/>
      <c r="G773" s="37"/>
      <c r="H773" s="37"/>
      <c r="I773" s="34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4"/>
      <c r="C774" s="34"/>
      <c r="D774" s="37"/>
      <c r="E774" s="34"/>
      <c r="F774" s="37"/>
      <c r="G774" s="37"/>
      <c r="H774" s="37"/>
      <c r="I774" s="34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4"/>
      <c r="C775" s="34"/>
      <c r="D775" s="37"/>
      <c r="E775" s="34"/>
      <c r="F775" s="37"/>
      <c r="G775" s="37"/>
      <c r="H775" s="37"/>
      <c r="I775" s="34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4"/>
      <c r="C776" s="34"/>
      <c r="D776" s="37"/>
      <c r="E776" s="34"/>
      <c r="F776" s="37"/>
      <c r="G776" s="37"/>
      <c r="H776" s="37"/>
      <c r="I776" s="34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4"/>
      <c r="C777" s="34"/>
      <c r="D777" s="37"/>
      <c r="E777" s="34"/>
      <c r="F777" s="37"/>
      <c r="G777" s="37"/>
      <c r="H777" s="37"/>
      <c r="I777" s="34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4"/>
      <c r="C778" s="34"/>
      <c r="D778" s="37"/>
      <c r="E778" s="34"/>
      <c r="F778" s="37"/>
      <c r="G778" s="37"/>
      <c r="H778" s="37"/>
      <c r="I778" s="34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4"/>
      <c r="C779" s="34"/>
      <c r="D779" s="37"/>
      <c r="E779" s="34"/>
      <c r="F779" s="37"/>
      <c r="G779" s="37"/>
      <c r="H779" s="37"/>
      <c r="I779" s="34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4"/>
      <c r="C780" s="34"/>
      <c r="D780" s="37"/>
      <c r="E780" s="34"/>
      <c r="F780" s="37"/>
      <c r="G780" s="37"/>
      <c r="H780" s="37"/>
      <c r="I780" s="34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4"/>
      <c r="C781" s="34"/>
      <c r="D781" s="37"/>
      <c r="E781" s="34"/>
      <c r="F781" s="37"/>
      <c r="G781" s="37"/>
      <c r="H781" s="37"/>
      <c r="I781" s="34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4"/>
      <c r="C782" s="34"/>
      <c r="D782" s="37"/>
      <c r="E782" s="34"/>
      <c r="F782" s="37"/>
      <c r="G782" s="37"/>
      <c r="H782" s="37"/>
      <c r="I782" s="34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4"/>
      <c r="C783" s="34"/>
      <c r="D783" s="37"/>
      <c r="E783" s="34"/>
      <c r="F783" s="37"/>
      <c r="G783" s="37"/>
      <c r="H783" s="37"/>
      <c r="I783" s="34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4"/>
      <c r="C784" s="34"/>
      <c r="D784" s="37"/>
      <c r="E784" s="34"/>
      <c r="F784" s="37"/>
      <c r="G784" s="37"/>
      <c r="H784" s="37"/>
      <c r="I784" s="34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4"/>
      <c r="C785" s="34"/>
      <c r="D785" s="37"/>
      <c r="E785" s="34"/>
      <c r="F785" s="37"/>
      <c r="G785" s="37"/>
      <c r="H785" s="37"/>
      <c r="I785" s="34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4"/>
      <c r="C786" s="34"/>
      <c r="D786" s="37"/>
      <c r="E786" s="34"/>
      <c r="F786" s="37"/>
      <c r="G786" s="37"/>
      <c r="H786" s="37"/>
      <c r="I786" s="34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4"/>
      <c r="C787" s="34"/>
      <c r="D787" s="37"/>
      <c r="E787" s="34"/>
      <c r="F787" s="37"/>
      <c r="G787" s="37"/>
      <c r="H787" s="37"/>
      <c r="I787" s="34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4"/>
      <c r="C788" s="34"/>
      <c r="D788" s="37"/>
      <c r="E788" s="34"/>
      <c r="F788" s="37"/>
      <c r="G788" s="37"/>
      <c r="H788" s="37"/>
      <c r="I788" s="34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4"/>
      <c r="C789" s="34"/>
      <c r="D789" s="37"/>
      <c r="E789" s="34"/>
      <c r="F789" s="37"/>
      <c r="G789" s="37"/>
      <c r="H789" s="37"/>
      <c r="I789" s="34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4"/>
      <c r="C790" s="34"/>
      <c r="D790" s="37"/>
      <c r="E790" s="34"/>
      <c r="F790" s="37"/>
      <c r="G790" s="37"/>
      <c r="H790" s="37"/>
      <c r="I790" s="34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4"/>
      <c r="C791" s="34"/>
      <c r="D791" s="37"/>
      <c r="E791" s="34"/>
      <c r="F791" s="37"/>
      <c r="G791" s="37"/>
      <c r="H791" s="37"/>
      <c r="I791" s="34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4"/>
      <c r="C792" s="34"/>
      <c r="D792" s="37"/>
      <c r="E792" s="34"/>
      <c r="F792" s="37"/>
      <c r="G792" s="37"/>
      <c r="H792" s="37"/>
      <c r="I792" s="34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4"/>
      <c r="C793" s="34"/>
      <c r="D793" s="37"/>
      <c r="E793" s="34"/>
      <c r="F793" s="37"/>
      <c r="G793" s="37"/>
      <c r="H793" s="37"/>
      <c r="I793" s="34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4"/>
      <c r="C794" s="34"/>
      <c r="D794" s="37"/>
      <c r="E794" s="34"/>
      <c r="F794" s="37"/>
      <c r="G794" s="37"/>
      <c r="H794" s="37"/>
      <c r="I794" s="34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4"/>
      <c r="C795" s="34"/>
      <c r="D795" s="37"/>
      <c r="E795" s="34"/>
      <c r="F795" s="37"/>
      <c r="G795" s="37"/>
      <c r="H795" s="37"/>
      <c r="I795" s="34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4"/>
      <c r="C796" s="34"/>
      <c r="D796" s="37"/>
      <c r="E796" s="34"/>
      <c r="F796" s="37"/>
      <c r="G796" s="37"/>
      <c r="H796" s="37"/>
      <c r="I796" s="34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4"/>
      <c r="C797" s="34"/>
      <c r="D797" s="37"/>
      <c r="E797" s="34"/>
      <c r="F797" s="37"/>
      <c r="G797" s="37"/>
      <c r="H797" s="37"/>
      <c r="I797" s="34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4"/>
      <c r="C798" s="34"/>
      <c r="D798" s="37"/>
      <c r="E798" s="34"/>
      <c r="F798" s="37"/>
      <c r="G798" s="37"/>
      <c r="H798" s="37"/>
      <c r="I798" s="34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4"/>
      <c r="C799" s="34"/>
      <c r="D799" s="37"/>
      <c r="E799" s="34"/>
      <c r="F799" s="37"/>
      <c r="G799" s="37"/>
      <c r="H799" s="37"/>
      <c r="I799" s="34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4"/>
      <c r="C800" s="34"/>
      <c r="D800" s="37"/>
      <c r="E800" s="34"/>
      <c r="F800" s="37"/>
      <c r="G800" s="37"/>
      <c r="H800" s="37"/>
      <c r="I800" s="34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4"/>
      <c r="C801" s="34"/>
      <c r="D801" s="37"/>
      <c r="E801" s="34"/>
      <c r="F801" s="37"/>
      <c r="G801" s="37"/>
      <c r="H801" s="37"/>
      <c r="I801" s="34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4"/>
      <c r="C802" s="34"/>
      <c r="D802" s="37"/>
      <c r="E802" s="34"/>
      <c r="F802" s="37"/>
      <c r="G802" s="37"/>
      <c r="H802" s="37"/>
      <c r="I802" s="34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4"/>
      <c r="C803" s="34"/>
      <c r="D803" s="37"/>
      <c r="E803" s="34"/>
      <c r="F803" s="37"/>
      <c r="G803" s="37"/>
      <c r="H803" s="37"/>
      <c r="I803" s="34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4"/>
      <c r="C804" s="34"/>
      <c r="D804" s="37"/>
      <c r="E804" s="34"/>
      <c r="F804" s="37"/>
      <c r="G804" s="37"/>
      <c r="H804" s="37"/>
      <c r="I804" s="34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4"/>
      <c r="C805" s="34"/>
      <c r="D805" s="37"/>
      <c r="E805" s="34"/>
      <c r="F805" s="37"/>
      <c r="G805" s="37"/>
      <c r="H805" s="37"/>
      <c r="I805" s="34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4"/>
      <c r="C806" s="34"/>
      <c r="D806" s="37"/>
      <c r="E806" s="34"/>
      <c r="F806" s="37"/>
      <c r="G806" s="37"/>
      <c r="H806" s="37"/>
      <c r="I806" s="34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4"/>
      <c r="C807" s="34"/>
      <c r="D807" s="37"/>
      <c r="E807" s="34"/>
      <c r="F807" s="37"/>
      <c r="G807" s="37"/>
      <c r="H807" s="37"/>
      <c r="I807" s="34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4"/>
      <c r="C808" s="34"/>
      <c r="D808" s="37"/>
      <c r="E808" s="34"/>
      <c r="F808" s="37"/>
      <c r="G808" s="37"/>
      <c r="H808" s="37"/>
      <c r="I808" s="34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4"/>
      <c r="C809" s="34"/>
      <c r="D809" s="37"/>
      <c r="E809" s="34"/>
      <c r="F809" s="37"/>
      <c r="G809" s="37"/>
      <c r="H809" s="37"/>
      <c r="I809" s="34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4"/>
      <c r="C810" s="34"/>
      <c r="D810" s="37"/>
      <c r="E810" s="34"/>
      <c r="F810" s="37"/>
      <c r="G810" s="37"/>
      <c r="H810" s="37"/>
      <c r="I810" s="34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4"/>
      <c r="C811" s="34"/>
      <c r="D811" s="37"/>
      <c r="E811" s="34"/>
      <c r="F811" s="37"/>
      <c r="G811" s="37"/>
      <c r="H811" s="37"/>
      <c r="I811" s="34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4"/>
      <c r="C812" s="34"/>
      <c r="D812" s="37"/>
      <c r="E812" s="34"/>
      <c r="F812" s="37"/>
      <c r="G812" s="37"/>
      <c r="H812" s="37"/>
      <c r="I812" s="34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4"/>
      <c r="C813" s="34"/>
      <c r="D813" s="37"/>
      <c r="E813" s="34"/>
      <c r="F813" s="37"/>
      <c r="G813" s="37"/>
      <c r="H813" s="37"/>
      <c r="I813" s="34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4"/>
      <c r="C814" s="34"/>
      <c r="D814" s="37"/>
      <c r="E814" s="34"/>
      <c r="F814" s="37"/>
      <c r="G814" s="37"/>
      <c r="H814" s="37"/>
      <c r="I814" s="34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4"/>
      <c r="C815" s="34"/>
      <c r="D815" s="37"/>
      <c r="E815" s="34"/>
      <c r="F815" s="37"/>
      <c r="G815" s="37"/>
      <c r="H815" s="37"/>
      <c r="I815" s="34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4"/>
      <c r="C816" s="34"/>
      <c r="D816" s="37"/>
      <c r="E816" s="34"/>
      <c r="F816" s="37"/>
      <c r="G816" s="37"/>
      <c r="H816" s="37"/>
      <c r="I816" s="34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4"/>
      <c r="C817" s="34"/>
      <c r="D817" s="37"/>
      <c r="E817" s="34"/>
      <c r="F817" s="37"/>
      <c r="G817" s="37"/>
      <c r="H817" s="37"/>
      <c r="I817" s="34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4"/>
      <c r="C818" s="34"/>
      <c r="D818" s="37"/>
      <c r="E818" s="34"/>
      <c r="F818" s="37"/>
      <c r="G818" s="37"/>
      <c r="H818" s="37"/>
      <c r="I818" s="34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4"/>
      <c r="C819" s="34"/>
      <c r="D819" s="37"/>
      <c r="E819" s="34"/>
      <c r="F819" s="37"/>
      <c r="G819" s="37"/>
      <c r="H819" s="37"/>
      <c r="I819" s="34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4"/>
      <c r="C820" s="34"/>
      <c r="D820" s="37"/>
      <c r="E820" s="34"/>
      <c r="F820" s="37"/>
      <c r="G820" s="37"/>
      <c r="H820" s="37"/>
      <c r="I820" s="34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4"/>
      <c r="C821" s="34"/>
      <c r="D821" s="37"/>
      <c r="E821" s="34"/>
      <c r="F821" s="37"/>
      <c r="G821" s="37"/>
      <c r="H821" s="37"/>
      <c r="I821" s="34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4"/>
      <c r="C822" s="34"/>
      <c r="D822" s="37"/>
      <c r="E822" s="34"/>
      <c r="F822" s="37"/>
      <c r="G822" s="37"/>
      <c r="H822" s="37"/>
      <c r="I822" s="34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4"/>
      <c r="C823" s="34"/>
      <c r="D823" s="37"/>
      <c r="E823" s="34"/>
      <c r="F823" s="37"/>
      <c r="G823" s="37"/>
      <c r="H823" s="37"/>
      <c r="I823" s="34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4"/>
      <c r="C824" s="34"/>
      <c r="D824" s="37"/>
      <c r="E824" s="34"/>
      <c r="F824" s="37"/>
      <c r="G824" s="37"/>
      <c r="H824" s="37"/>
      <c r="I824" s="34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4"/>
      <c r="C825" s="34"/>
      <c r="D825" s="37"/>
      <c r="E825" s="34"/>
      <c r="F825" s="37"/>
      <c r="G825" s="37"/>
      <c r="H825" s="37"/>
      <c r="I825" s="34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4"/>
      <c r="C826" s="34"/>
      <c r="D826" s="37"/>
      <c r="E826" s="34"/>
      <c r="F826" s="37"/>
      <c r="G826" s="37"/>
      <c r="H826" s="37"/>
      <c r="I826" s="34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4"/>
      <c r="C827" s="34"/>
      <c r="D827" s="37"/>
      <c r="E827" s="34"/>
      <c r="F827" s="37"/>
      <c r="G827" s="37"/>
      <c r="H827" s="37"/>
      <c r="I827" s="34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4"/>
      <c r="C828" s="34"/>
      <c r="D828" s="37"/>
      <c r="E828" s="34"/>
      <c r="F828" s="37"/>
      <c r="G828" s="37"/>
      <c r="H828" s="37"/>
      <c r="I828" s="34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4"/>
      <c r="C829" s="34"/>
      <c r="D829" s="37"/>
      <c r="E829" s="34"/>
      <c r="F829" s="37"/>
      <c r="G829" s="37"/>
      <c r="H829" s="37"/>
      <c r="I829" s="34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4"/>
      <c r="C830" s="34"/>
      <c r="D830" s="37"/>
      <c r="E830" s="34"/>
      <c r="F830" s="37"/>
      <c r="G830" s="37"/>
      <c r="H830" s="37"/>
      <c r="I830" s="34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4"/>
      <c r="C831" s="34"/>
      <c r="D831" s="37"/>
      <c r="E831" s="34"/>
      <c r="F831" s="37"/>
      <c r="G831" s="37"/>
      <c r="H831" s="37"/>
      <c r="I831" s="34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4"/>
      <c r="C832" s="34"/>
      <c r="D832" s="37"/>
      <c r="E832" s="34"/>
      <c r="F832" s="37"/>
      <c r="G832" s="37"/>
      <c r="H832" s="37"/>
      <c r="I832" s="34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4"/>
      <c r="C833" s="34"/>
      <c r="D833" s="37"/>
      <c r="E833" s="34"/>
      <c r="F833" s="37"/>
      <c r="G833" s="37"/>
      <c r="H833" s="37"/>
      <c r="I833" s="34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4"/>
      <c r="C834" s="34"/>
      <c r="D834" s="37"/>
      <c r="E834" s="34"/>
      <c r="F834" s="37"/>
      <c r="G834" s="37"/>
      <c r="H834" s="37"/>
      <c r="I834" s="34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4"/>
      <c r="C835" s="34"/>
      <c r="D835" s="37"/>
      <c r="E835" s="34"/>
      <c r="F835" s="37"/>
      <c r="G835" s="37"/>
      <c r="H835" s="37"/>
      <c r="I835" s="34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4"/>
      <c r="C836" s="34"/>
      <c r="D836" s="37"/>
      <c r="E836" s="34"/>
      <c r="F836" s="37"/>
      <c r="G836" s="37"/>
      <c r="H836" s="37"/>
      <c r="I836" s="34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4"/>
      <c r="C837" s="34"/>
      <c r="D837" s="37"/>
      <c r="E837" s="34"/>
      <c r="F837" s="37"/>
      <c r="G837" s="37"/>
      <c r="H837" s="37"/>
      <c r="I837" s="34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4"/>
      <c r="C838" s="34"/>
      <c r="D838" s="37"/>
      <c r="E838" s="34"/>
      <c r="F838" s="37"/>
      <c r="G838" s="37"/>
      <c r="H838" s="37"/>
      <c r="I838" s="34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4"/>
      <c r="C839" s="34"/>
      <c r="D839" s="37"/>
      <c r="E839" s="34"/>
      <c r="F839" s="37"/>
      <c r="G839" s="37"/>
      <c r="H839" s="37"/>
      <c r="I839" s="34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4"/>
      <c r="C840" s="34"/>
      <c r="D840" s="37"/>
      <c r="E840" s="34"/>
      <c r="F840" s="37"/>
      <c r="G840" s="37"/>
      <c r="H840" s="37"/>
      <c r="I840" s="34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4"/>
      <c r="C841" s="34"/>
      <c r="D841" s="37"/>
      <c r="E841" s="34"/>
      <c r="F841" s="37"/>
      <c r="G841" s="37"/>
      <c r="H841" s="37"/>
      <c r="I841" s="34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4"/>
      <c r="C842" s="34"/>
      <c r="D842" s="37"/>
      <c r="E842" s="34"/>
      <c r="F842" s="37"/>
      <c r="G842" s="37"/>
      <c r="H842" s="37"/>
      <c r="I842" s="34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4"/>
      <c r="C843" s="34"/>
      <c r="D843" s="37"/>
      <c r="E843" s="34"/>
      <c r="F843" s="37"/>
      <c r="G843" s="37"/>
      <c r="H843" s="37"/>
      <c r="I843" s="34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4"/>
      <c r="C844" s="34"/>
      <c r="D844" s="37"/>
      <c r="E844" s="34"/>
      <c r="F844" s="37"/>
      <c r="G844" s="37"/>
      <c r="H844" s="37"/>
      <c r="I844" s="34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4"/>
      <c r="C845" s="34"/>
      <c r="D845" s="37"/>
      <c r="E845" s="34"/>
      <c r="F845" s="37"/>
      <c r="G845" s="37"/>
      <c r="H845" s="37"/>
      <c r="I845" s="34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4"/>
      <c r="C846" s="34"/>
      <c r="D846" s="37"/>
      <c r="E846" s="34"/>
      <c r="F846" s="37"/>
      <c r="G846" s="37"/>
      <c r="H846" s="37"/>
      <c r="I846" s="34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4"/>
      <c r="C847" s="34"/>
      <c r="D847" s="37"/>
      <c r="E847" s="34"/>
      <c r="F847" s="37"/>
      <c r="G847" s="37"/>
      <c r="H847" s="37"/>
      <c r="I847" s="34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4"/>
      <c r="C848" s="34"/>
      <c r="D848" s="37"/>
      <c r="E848" s="34"/>
      <c r="F848" s="37"/>
      <c r="G848" s="37"/>
      <c r="H848" s="37"/>
      <c r="I848" s="34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4"/>
      <c r="C849" s="34"/>
      <c r="D849" s="37"/>
      <c r="E849" s="34"/>
      <c r="F849" s="37"/>
      <c r="G849" s="37"/>
      <c r="H849" s="37"/>
      <c r="I849" s="34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4"/>
      <c r="C850" s="34"/>
      <c r="D850" s="37"/>
      <c r="E850" s="34"/>
      <c r="F850" s="37"/>
      <c r="G850" s="37"/>
      <c r="H850" s="37"/>
      <c r="I850" s="34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4"/>
      <c r="C851" s="34"/>
      <c r="D851" s="37"/>
      <c r="E851" s="34"/>
      <c r="F851" s="37"/>
      <c r="G851" s="37"/>
      <c r="H851" s="37"/>
      <c r="I851" s="34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4"/>
      <c r="C852" s="34"/>
      <c r="D852" s="37"/>
      <c r="E852" s="34"/>
      <c r="F852" s="37"/>
      <c r="G852" s="37"/>
      <c r="H852" s="37"/>
      <c r="I852" s="34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4"/>
      <c r="C853" s="34"/>
      <c r="D853" s="37"/>
      <c r="E853" s="34"/>
      <c r="F853" s="37"/>
      <c r="G853" s="37"/>
      <c r="H853" s="37"/>
      <c r="I853" s="34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4"/>
      <c r="C854" s="34"/>
      <c r="D854" s="37"/>
      <c r="E854" s="34"/>
      <c r="F854" s="37"/>
      <c r="G854" s="37"/>
      <c r="H854" s="37"/>
      <c r="I854" s="34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4"/>
      <c r="C855" s="34"/>
      <c r="D855" s="37"/>
      <c r="E855" s="34"/>
      <c r="F855" s="37"/>
      <c r="G855" s="37"/>
      <c r="H855" s="37"/>
      <c r="I855" s="34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4"/>
      <c r="C856" s="34"/>
      <c r="D856" s="37"/>
      <c r="E856" s="34"/>
      <c r="F856" s="37"/>
      <c r="G856" s="37"/>
      <c r="H856" s="37"/>
      <c r="I856" s="34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4"/>
      <c r="C857" s="34"/>
      <c r="D857" s="37"/>
      <c r="E857" s="34"/>
      <c r="F857" s="37"/>
      <c r="G857" s="37"/>
      <c r="H857" s="37"/>
      <c r="I857" s="34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4"/>
      <c r="C858" s="34"/>
      <c r="D858" s="37"/>
      <c r="E858" s="34"/>
      <c r="F858" s="37"/>
      <c r="G858" s="37"/>
      <c r="H858" s="37"/>
      <c r="I858" s="34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4"/>
      <c r="C859" s="34"/>
      <c r="D859" s="37"/>
      <c r="E859" s="34"/>
      <c r="F859" s="37"/>
      <c r="G859" s="37"/>
      <c r="H859" s="37"/>
      <c r="I859" s="34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4"/>
      <c r="C860" s="34"/>
      <c r="D860" s="37"/>
      <c r="E860" s="34"/>
      <c r="F860" s="37"/>
      <c r="G860" s="37"/>
      <c r="H860" s="37"/>
      <c r="I860" s="34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4"/>
      <c r="C861" s="34"/>
      <c r="D861" s="37"/>
      <c r="E861" s="34"/>
      <c r="F861" s="37"/>
      <c r="G861" s="37"/>
      <c r="H861" s="37"/>
      <c r="I861" s="34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4"/>
      <c r="C862" s="34"/>
      <c r="D862" s="37"/>
      <c r="E862" s="34"/>
      <c r="F862" s="37"/>
      <c r="G862" s="37"/>
      <c r="H862" s="37"/>
      <c r="I862" s="34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4"/>
      <c r="C863" s="34"/>
      <c r="D863" s="37"/>
      <c r="E863" s="34"/>
      <c r="F863" s="37"/>
      <c r="G863" s="37"/>
      <c r="H863" s="37"/>
      <c r="I863" s="34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4"/>
      <c r="C864" s="34"/>
      <c r="D864" s="37"/>
      <c r="E864" s="34"/>
      <c r="F864" s="37"/>
      <c r="G864" s="37"/>
      <c r="H864" s="37"/>
      <c r="I864" s="34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4"/>
      <c r="C865" s="34"/>
      <c r="D865" s="37"/>
      <c r="E865" s="34"/>
      <c r="F865" s="37"/>
      <c r="G865" s="37"/>
      <c r="H865" s="37"/>
      <c r="I865" s="34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4"/>
      <c r="C866" s="34"/>
      <c r="D866" s="37"/>
      <c r="E866" s="34"/>
      <c r="F866" s="37"/>
      <c r="G866" s="37"/>
      <c r="H866" s="37"/>
      <c r="I866" s="34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4"/>
      <c r="C867" s="34"/>
      <c r="D867" s="37"/>
      <c r="E867" s="34"/>
      <c r="F867" s="37"/>
      <c r="G867" s="37"/>
      <c r="H867" s="37"/>
      <c r="I867" s="34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4"/>
      <c r="C868" s="34"/>
      <c r="D868" s="37"/>
      <c r="E868" s="34"/>
      <c r="F868" s="37"/>
      <c r="G868" s="37"/>
      <c r="H868" s="37"/>
      <c r="I868" s="34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4"/>
      <c r="C869" s="34"/>
      <c r="D869" s="37"/>
      <c r="E869" s="34"/>
      <c r="F869" s="37"/>
      <c r="G869" s="37"/>
      <c r="H869" s="37"/>
      <c r="I869" s="34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4"/>
      <c r="C870" s="34"/>
      <c r="D870" s="37"/>
      <c r="E870" s="34"/>
      <c r="F870" s="37"/>
      <c r="G870" s="37"/>
      <c r="H870" s="37"/>
      <c r="I870" s="34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4"/>
      <c r="C871" s="34"/>
      <c r="D871" s="37"/>
      <c r="E871" s="34"/>
      <c r="F871" s="37"/>
      <c r="G871" s="37"/>
      <c r="H871" s="37"/>
      <c r="I871" s="34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4"/>
      <c r="C872" s="34"/>
      <c r="D872" s="37"/>
      <c r="E872" s="34"/>
      <c r="F872" s="37"/>
      <c r="G872" s="37"/>
      <c r="H872" s="37"/>
      <c r="I872" s="34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4"/>
      <c r="C873" s="34"/>
      <c r="D873" s="37"/>
      <c r="E873" s="34"/>
      <c r="F873" s="37"/>
      <c r="G873" s="37"/>
      <c r="H873" s="37"/>
      <c r="I873" s="34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4"/>
      <c r="C874" s="34"/>
      <c r="D874" s="37"/>
      <c r="E874" s="34"/>
      <c r="F874" s="37"/>
      <c r="G874" s="37"/>
      <c r="H874" s="37"/>
      <c r="I874" s="34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4"/>
      <c r="C875" s="34"/>
      <c r="D875" s="37"/>
      <c r="E875" s="34"/>
      <c r="F875" s="37"/>
      <c r="G875" s="37"/>
      <c r="H875" s="37"/>
      <c r="I875" s="34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4"/>
      <c r="C876" s="34"/>
      <c r="D876" s="37"/>
      <c r="E876" s="34"/>
      <c r="F876" s="37"/>
      <c r="G876" s="37"/>
      <c r="H876" s="37"/>
      <c r="I876" s="34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4"/>
      <c r="C877" s="34"/>
      <c r="D877" s="37"/>
      <c r="E877" s="34"/>
      <c r="F877" s="37"/>
      <c r="G877" s="37"/>
      <c r="H877" s="37"/>
      <c r="I877" s="34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4"/>
      <c r="C878" s="34"/>
      <c r="D878" s="37"/>
      <c r="E878" s="34"/>
      <c r="F878" s="37"/>
      <c r="G878" s="37"/>
      <c r="H878" s="37"/>
      <c r="I878" s="34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4"/>
      <c r="C879" s="34"/>
      <c r="D879" s="37"/>
      <c r="E879" s="34"/>
      <c r="F879" s="37"/>
      <c r="G879" s="37"/>
      <c r="H879" s="37"/>
      <c r="I879" s="34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4"/>
      <c r="C880" s="34"/>
      <c r="D880" s="37"/>
      <c r="E880" s="34"/>
      <c r="F880" s="37"/>
      <c r="G880" s="37"/>
      <c r="H880" s="37"/>
      <c r="I880" s="34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4"/>
      <c r="C881" s="34"/>
      <c r="D881" s="37"/>
      <c r="E881" s="34"/>
      <c r="F881" s="37"/>
      <c r="G881" s="37"/>
      <c r="H881" s="37"/>
      <c r="I881" s="34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4"/>
      <c r="C882" s="34"/>
      <c r="D882" s="37"/>
      <c r="E882" s="34"/>
      <c r="F882" s="37"/>
      <c r="G882" s="37"/>
      <c r="H882" s="37"/>
      <c r="I882" s="34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4"/>
      <c r="C883" s="34"/>
      <c r="D883" s="37"/>
      <c r="E883" s="34"/>
      <c r="F883" s="37"/>
      <c r="G883" s="37"/>
      <c r="H883" s="37"/>
      <c r="I883" s="34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4"/>
      <c r="C884" s="34"/>
      <c r="D884" s="37"/>
      <c r="E884" s="34"/>
      <c r="F884" s="37"/>
      <c r="G884" s="37"/>
      <c r="H884" s="37"/>
      <c r="I884" s="34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4"/>
      <c r="C885" s="34"/>
      <c r="D885" s="37"/>
      <c r="E885" s="34"/>
      <c r="F885" s="37"/>
      <c r="G885" s="37"/>
      <c r="H885" s="37"/>
      <c r="I885" s="34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4"/>
      <c r="C886" s="34"/>
      <c r="D886" s="37"/>
      <c r="E886" s="34"/>
      <c r="F886" s="37"/>
      <c r="G886" s="37"/>
      <c r="H886" s="37"/>
      <c r="I886" s="34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4"/>
      <c r="C887" s="34"/>
      <c r="D887" s="37"/>
      <c r="E887" s="34"/>
      <c r="F887" s="37"/>
      <c r="G887" s="37"/>
      <c r="H887" s="37"/>
      <c r="I887" s="34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4"/>
      <c r="C888" s="34"/>
      <c r="D888" s="37"/>
      <c r="E888" s="34"/>
      <c r="F888" s="37"/>
      <c r="G888" s="37"/>
      <c r="H888" s="37"/>
      <c r="I888" s="34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4"/>
      <c r="C889" s="34"/>
      <c r="D889" s="37"/>
      <c r="E889" s="34"/>
      <c r="F889" s="37"/>
      <c r="G889" s="37"/>
      <c r="H889" s="37"/>
      <c r="I889" s="34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4"/>
      <c r="C890" s="34"/>
      <c r="D890" s="37"/>
      <c r="E890" s="34"/>
      <c r="F890" s="37"/>
      <c r="G890" s="37"/>
      <c r="H890" s="37"/>
      <c r="I890" s="34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4"/>
      <c r="C891" s="34"/>
      <c r="D891" s="37"/>
      <c r="E891" s="34"/>
      <c r="F891" s="37"/>
      <c r="G891" s="37"/>
      <c r="H891" s="37"/>
      <c r="I891" s="34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4"/>
      <c r="C892" s="34"/>
      <c r="D892" s="37"/>
      <c r="E892" s="34"/>
      <c r="F892" s="37"/>
      <c r="G892" s="37"/>
      <c r="H892" s="37"/>
      <c r="I892" s="34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4"/>
      <c r="C893" s="34"/>
      <c r="D893" s="37"/>
      <c r="E893" s="34"/>
      <c r="F893" s="37"/>
      <c r="G893" s="37"/>
      <c r="H893" s="37"/>
      <c r="I893" s="34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4"/>
      <c r="C894" s="34"/>
      <c r="D894" s="37"/>
      <c r="E894" s="34"/>
      <c r="F894" s="37"/>
      <c r="G894" s="37"/>
      <c r="H894" s="37"/>
      <c r="I894" s="34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4"/>
      <c r="C895" s="34"/>
      <c r="D895" s="37"/>
      <c r="E895" s="34"/>
      <c r="F895" s="37"/>
      <c r="G895" s="37"/>
      <c r="H895" s="37"/>
      <c r="I895" s="34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4"/>
      <c r="C896" s="34"/>
      <c r="D896" s="37"/>
      <c r="E896" s="34"/>
      <c r="F896" s="37"/>
      <c r="G896" s="37"/>
      <c r="H896" s="37"/>
      <c r="I896" s="34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4"/>
      <c r="C897" s="34"/>
      <c r="D897" s="37"/>
      <c r="E897" s="34"/>
      <c r="F897" s="37"/>
      <c r="G897" s="37"/>
      <c r="H897" s="37"/>
      <c r="I897" s="34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4"/>
      <c r="C898" s="34"/>
      <c r="D898" s="37"/>
      <c r="E898" s="34"/>
      <c r="F898" s="37"/>
      <c r="G898" s="37"/>
      <c r="H898" s="37"/>
      <c r="I898" s="34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4"/>
      <c r="C899" s="34"/>
      <c r="D899" s="37"/>
      <c r="E899" s="34"/>
      <c r="F899" s="37"/>
      <c r="G899" s="37"/>
      <c r="H899" s="37"/>
      <c r="I899" s="34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4"/>
      <c r="C900" s="34"/>
      <c r="D900" s="37"/>
      <c r="E900" s="34"/>
      <c r="F900" s="37"/>
      <c r="G900" s="37"/>
      <c r="H900" s="37"/>
      <c r="I900" s="34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4"/>
      <c r="C901" s="34"/>
      <c r="D901" s="37"/>
      <c r="E901" s="34"/>
      <c r="F901" s="37"/>
      <c r="G901" s="37"/>
      <c r="H901" s="37"/>
      <c r="I901" s="34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4"/>
      <c r="C902" s="34"/>
      <c r="D902" s="37"/>
      <c r="E902" s="34"/>
      <c r="F902" s="37"/>
      <c r="G902" s="37"/>
      <c r="H902" s="37"/>
      <c r="I902" s="34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4"/>
      <c r="C903" s="34"/>
      <c r="D903" s="37"/>
      <c r="E903" s="34"/>
      <c r="F903" s="37"/>
      <c r="G903" s="37"/>
      <c r="H903" s="37"/>
      <c r="I903" s="34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4"/>
      <c r="C904" s="34"/>
      <c r="D904" s="37"/>
      <c r="E904" s="34"/>
      <c r="F904" s="37"/>
      <c r="G904" s="37"/>
      <c r="H904" s="37"/>
      <c r="I904" s="34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4"/>
      <c r="C905" s="34"/>
      <c r="D905" s="37"/>
      <c r="E905" s="34"/>
      <c r="F905" s="37"/>
      <c r="G905" s="37"/>
      <c r="H905" s="37"/>
      <c r="I905" s="34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4"/>
      <c r="C906" s="34"/>
      <c r="D906" s="37"/>
      <c r="E906" s="34"/>
      <c r="F906" s="37"/>
      <c r="G906" s="37"/>
      <c r="H906" s="37"/>
      <c r="I906" s="34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4"/>
      <c r="C907" s="34"/>
      <c r="D907" s="37"/>
      <c r="E907" s="34"/>
      <c r="F907" s="37"/>
      <c r="G907" s="37"/>
      <c r="H907" s="37"/>
      <c r="I907" s="34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4"/>
      <c r="C908" s="34"/>
      <c r="D908" s="37"/>
      <c r="E908" s="34"/>
      <c r="F908" s="37"/>
      <c r="G908" s="37"/>
      <c r="H908" s="37"/>
      <c r="I908" s="34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4"/>
      <c r="C909" s="34"/>
      <c r="D909" s="37"/>
      <c r="E909" s="34"/>
      <c r="F909" s="37"/>
      <c r="G909" s="37"/>
      <c r="H909" s="37"/>
      <c r="I909" s="34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4"/>
      <c r="C910" s="34"/>
      <c r="D910" s="37"/>
      <c r="E910" s="34"/>
      <c r="F910" s="37"/>
      <c r="G910" s="37"/>
      <c r="H910" s="37"/>
      <c r="I910" s="34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4"/>
      <c r="C911" s="34"/>
      <c r="D911" s="37"/>
      <c r="E911" s="34"/>
      <c r="F911" s="37"/>
      <c r="G911" s="37"/>
      <c r="H911" s="37"/>
      <c r="I911" s="34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4"/>
      <c r="C912" s="34"/>
      <c r="D912" s="37"/>
      <c r="E912" s="34"/>
      <c r="F912" s="37"/>
      <c r="G912" s="37"/>
      <c r="H912" s="37"/>
      <c r="I912" s="34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4"/>
      <c r="C913" s="34"/>
      <c r="D913" s="37"/>
      <c r="E913" s="34"/>
      <c r="F913" s="37"/>
      <c r="G913" s="37"/>
      <c r="H913" s="37"/>
      <c r="I913" s="34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4"/>
      <c r="C914" s="34"/>
      <c r="D914" s="37"/>
      <c r="E914" s="34"/>
      <c r="F914" s="37"/>
      <c r="G914" s="37"/>
      <c r="H914" s="37"/>
      <c r="I914" s="34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4"/>
      <c r="C915" s="34"/>
      <c r="D915" s="37"/>
      <c r="E915" s="34"/>
      <c r="F915" s="37"/>
      <c r="G915" s="37"/>
      <c r="H915" s="37"/>
      <c r="I915" s="34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4"/>
      <c r="C916" s="34"/>
      <c r="D916" s="37"/>
      <c r="E916" s="34"/>
      <c r="F916" s="37"/>
      <c r="G916" s="37"/>
      <c r="H916" s="37"/>
      <c r="I916" s="34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4"/>
      <c r="C917" s="34"/>
      <c r="D917" s="37"/>
      <c r="E917" s="34"/>
      <c r="F917" s="37"/>
      <c r="G917" s="37"/>
      <c r="H917" s="37"/>
      <c r="I917" s="34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4"/>
      <c r="C918" s="34"/>
      <c r="D918" s="37"/>
      <c r="E918" s="34"/>
      <c r="F918" s="37"/>
      <c r="G918" s="37"/>
      <c r="H918" s="37"/>
      <c r="I918" s="34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4"/>
      <c r="C919" s="34"/>
      <c r="D919" s="37"/>
      <c r="E919" s="34"/>
      <c r="F919" s="37"/>
      <c r="G919" s="37"/>
      <c r="H919" s="37"/>
      <c r="I919" s="34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4"/>
      <c r="C920" s="34"/>
      <c r="D920" s="37"/>
      <c r="E920" s="34"/>
      <c r="F920" s="37"/>
      <c r="G920" s="37"/>
      <c r="H920" s="37"/>
      <c r="I920" s="34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4"/>
      <c r="C921" s="34"/>
      <c r="D921" s="37"/>
      <c r="E921" s="34"/>
      <c r="F921" s="37"/>
      <c r="G921" s="37"/>
      <c r="H921" s="37"/>
      <c r="I921" s="34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4"/>
      <c r="C922" s="34"/>
      <c r="D922" s="37"/>
      <c r="E922" s="34"/>
      <c r="F922" s="37"/>
      <c r="G922" s="37"/>
      <c r="H922" s="37"/>
      <c r="I922" s="34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4"/>
      <c r="C923" s="34"/>
      <c r="D923" s="37"/>
      <c r="E923" s="34"/>
      <c r="F923" s="37"/>
      <c r="G923" s="37"/>
      <c r="H923" s="37"/>
      <c r="I923" s="34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4"/>
      <c r="C924" s="34"/>
      <c r="D924" s="37"/>
      <c r="E924" s="34"/>
      <c r="F924" s="37"/>
      <c r="G924" s="37"/>
      <c r="H924" s="37"/>
      <c r="I924" s="34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4"/>
      <c r="C925" s="34"/>
      <c r="D925" s="37"/>
      <c r="E925" s="34"/>
      <c r="F925" s="37"/>
      <c r="G925" s="37"/>
      <c r="H925" s="37"/>
      <c r="I925" s="34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4"/>
      <c r="C926" s="34"/>
      <c r="D926" s="37"/>
      <c r="E926" s="34"/>
      <c r="F926" s="37"/>
      <c r="G926" s="37"/>
      <c r="H926" s="37"/>
      <c r="I926" s="34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4"/>
      <c r="C927" s="34"/>
      <c r="D927" s="37"/>
      <c r="E927" s="34"/>
      <c r="F927" s="37"/>
      <c r="G927" s="37"/>
      <c r="H927" s="37"/>
      <c r="I927" s="34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4"/>
      <c r="C928" s="34"/>
      <c r="D928" s="37"/>
      <c r="E928" s="34"/>
      <c r="F928" s="37"/>
      <c r="G928" s="37"/>
      <c r="H928" s="37"/>
      <c r="I928" s="34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4"/>
      <c r="C929" s="34"/>
      <c r="D929" s="37"/>
      <c r="E929" s="34"/>
      <c r="F929" s="37"/>
      <c r="G929" s="37"/>
      <c r="H929" s="37"/>
      <c r="I929" s="34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4"/>
      <c r="C930" s="34"/>
      <c r="D930" s="37"/>
      <c r="E930" s="34"/>
      <c r="F930" s="37"/>
      <c r="G930" s="37"/>
      <c r="H930" s="37"/>
      <c r="I930" s="34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4"/>
      <c r="C931" s="34"/>
      <c r="D931" s="37"/>
      <c r="E931" s="34"/>
      <c r="F931" s="37"/>
      <c r="G931" s="37"/>
      <c r="H931" s="37"/>
      <c r="I931" s="34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4"/>
      <c r="C932" s="34"/>
      <c r="D932" s="37"/>
      <c r="E932" s="34"/>
      <c r="F932" s="37"/>
      <c r="G932" s="37"/>
      <c r="H932" s="37"/>
      <c r="I932" s="34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4"/>
      <c r="C933" s="34"/>
      <c r="D933" s="37"/>
      <c r="E933" s="34"/>
      <c r="F933" s="37"/>
      <c r="G933" s="37"/>
      <c r="H933" s="37"/>
      <c r="I933" s="34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4"/>
      <c r="C934" s="34"/>
      <c r="D934" s="37"/>
      <c r="E934" s="34"/>
      <c r="F934" s="37"/>
      <c r="G934" s="37"/>
      <c r="H934" s="37"/>
      <c r="I934" s="34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4"/>
      <c r="C935" s="34"/>
      <c r="D935" s="37"/>
      <c r="E935" s="34"/>
      <c r="F935" s="37"/>
      <c r="G935" s="37"/>
      <c r="H935" s="37"/>
      <c r="I935" s="34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4"/>
      <c r="C936" s="34"/>
      <c r="D936" s="37"/>
      <c r="E936" s="34"/>
      <c r="F936" s="37"/>
      <c r="G936" s="37"/>
      <c r="H936" s="37"/>
      <c r="I936" s="34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4"/>
      <c r="C937" s="34"/>
      <c r="D937" s="37"/>
      <c r="E937" s="34"/>
      <c r="F937" s="37"/>
      <c r="G937" s="37"/>
      <c r="H937" s="37"/>
      <c r="I937" s="34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4"/>
      <c r="C938" s="34"/>
      <c r="D938" s="37"/>
      <c r="E938" s="34"/>
      <c r="F938" s="37"/>
      <c r="G938" s="37"/>
      <c r="H938" s="37"/>
      <c r="I938" s="34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4"/>
      <c r="C939" s="34"/>
      <c r="D939" s="37"/>
      <c r="E939" s="34"/>
      <c r="F939" s="37"/>
      <c r="G939" s="37"/>
      <c r="H939" s="37"/>
      <c r="I939" s="34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4"/>
      <c r="C940" s="34"/>
      <c r="D940" s="37"/>
      <c r="E940" s="34"/>
      <c r="F940" s="37"/>
      <c r="G940" s="37"/>
      <c r="H940" s="37"/>
      <c r="I940" s="34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4"/>
      <c r="C941" s="34"/>
      <c r="D941" s="37"/>
      <c r="E941" s="34"/>
      <c r="F941" s="37"/>
      <c r="G941" s="37"/>
      <c r="H941" s="37"/>
      <c r="I941" s="34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4"/>
      <c r="C942" s="34"/>
      <c r="D942" s="37"/>
      <c r="E942" s="34"/>
      <c r="F942" s="37"/>
      <c r="G942" s="37"/>
      <c r="H942" s="37"/>
      <c r="I942" s="34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4"/>
      <c r="C943" s="34"/>
      <c r="D943" s="37"/>
      <c r="E943" s="34"/>
      <c r="F943" s="37"/>
      <c r="G943" s="37"/>
      <c r="H943" s="37"/>
      <c r="I943" s="34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4"/>
      <c r="C944" s="34"/>
      <c r="D944" s="37"/>
      <c r="E944" s="34"/>
      <c r="F944" s="37"/>
      <c r="G944" s="37"/>
      <c r="H944" s="37"/>
      <c r="I944" s="34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4"/>
      <c r="C945" s="34"/>
      <c r="D945" s="37"/>
      <c r="E945" s="34"/>
      <c r="F945" s="37"/>
      <c r="G945" s="37"/>
      <c r="H945" s="37"/>
      <c r="I945" s="34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4"/>
      <c r="C946" s="34"/>
      <c r="D946" s="37"/>
      <c r="E946" s="34"/>
      <c r="F946" s="37"/>
      <c r="G946" s="37"/>
      <c r="H946" s="37"/>
      <c r="I946" s="34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4"/>
      <c r="C947" s="34"/>
      <c r="D947" s="37"/>
      <c r="E947" s="34"/>
      <c r="F947" s="37"/>
      <c r="G947" s="37"/>
      <c r="H947" s="37"/>
      <c r="I947" s="34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4"/>
      <c r="C948" s="34"/>
      <c r="D948" s="37"/>
      <c r="E948" s="34"/>
      <c r="F948" s="37"/>
      <c r="G948" s="37"/>
      <c r="H948" s="37"/>
      <c r="I948" s="34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4"/>
      <c r="C949" s="34"/>
      <c r="D949" s="37"/>
      <c r="E949" s="34"/>
      <c r="F949" s="37"/>
      <c r="G949" s="37"/>
      <c r="H949" s="37"/>
      <c r="I949" s="34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4"/>
      <c r="C950" s="34"/>
      <c r="D950" s="37"/>
      <c r="E950" s="34"/>
      <c r="F950" s="37"/>
      <c r="G950" s="37"/>
      <c r="H950" s="37"/>
      <c r="I950" s="34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4"/>
      <c r="C951" s="34"/>
      <c r="D951" s="37"/>
      <c r="E951" s="34"/>
      <c r="F951" s="37"/>
      <c r="G951" s="37"/>
      <c r="H951" s="37"/>
      <c r="I951" s="34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4"/>
      <c r="C952" s="34"/>
      <c r="D952" s="37"/>
      <c r="E952" s="34"/>
      <c r="F952" s="37"/>
      <c r="G952" s="37"/>
      <c r="H952" s="37"/>
      <c r="I952" s="34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4"/>
      <c r="C953" s="34"/>
      <c r="D953" s="37"/>
      <c r="E953" s="34"/>
      <c r="F953" s="37"/>
      <c r="G953" s="37"/>
      <c r="H953" s="37"/>
      <c r="I953" s="34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4"/>
      <c r="C954" s="34"/>
      <c r="D954" s="37"/>
      <c r="E954" s="34"/>
      <c r="F954" s="37"/>
      <c r="G954" s="37"/>
      <c r="H954" s="37"/>
      <c r="I954" s="34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4"/>
      <c r="C955" s="34"/>
      <c r="D955" s="37"/>
      <c r="E955" s="34"/>
      <c r="F955" s="37"/>
      <c r="G955" s="37"/>
      <c r="H955" s="37"/>
      <c r="I955" s="34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4"/>
      <c r="C956" s="34"/>
      <c r="D956" s="37"/>
      <c r="E956" s="34"/>
      <c r="F956" s="37"/>
      <c r="G956" s="37"/>
      <c r="H956" s="37"/>
      <c r="I956" s="34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4"/>
      <c r="C957" s="34"/>
      <c r="D957" s="37"/>
      <c r="E957" s="34"/>
      <c r="F957" s="37"/>
      <c r="G957" s="37"/>
      <c r="H957" s="37"/>
      <c r="I957" s="34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4"/>
      <c r="C958" s="34"/>
      <c r="D958" s="37"/>
      <c r="E958" s="34"/>
      <c r="F958" s="37"/>
      <c r="G958" s="37"/>
      <c r="H958" s="37"/>
      <c r="I958" s="34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4"/>
      <c r="C959" s="34"/>
      <c r="D959" s="37"/>
      <c r="E959" s="34"/>
      <c r="F959" s="37"/>
      <c r="G959" s="37"/>
      <c r="H959" s="37"/>
      <c r="I959" s="34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4"/>
      <c r="C960" s="34"/>
      <c r="D960" s="37"/>
      <c r="E960" s="34"/>
      <c r="F960" s="37"/>
      <c r="G960" s="37"/>
      <c r="H960" s="37"/>
      <c r="I960" s="34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4"/>
      <c r="C961" s="34"/>
      <c r="D961" s="37"/>
      <c r="E961" s="34"/>
      <c r="F961" s="37"/>
      <c r="G961" s="37"/>
      <c r="H961" s="37"/>
      <c r="I961" s="34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4"/>
      <c r="C962" s="34"/>
      <c r="D962" s="37"/>
      <c r="E962" s="34"/>
      <c r="F962" s="37"/>
      <c r="G962" s="37"/>
      <c r="H962" s="37"/>
      <c r="I962" s="34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4"/>
      <c r="C963" s="34"/>
      <c r="D963" s="37"/>
      <c r="E963" s="34"/>
      <c r="F963" s="37"/>
      <c r="G963" s="37"/>
      <c r="H963" s="37"/>
      <c r="I963" s="34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4"/>
      <c r="C964" s="34"/>
      <c r="D964" s="37"/>
      <c r="E964" s="34"/>
      <c r="F964" s="37"/>
      <c r="G964" s="37"/>
      <c r="H964" s="37"/>
      <c r="I964" s="34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4"/>
      <c r="C965" s="34"/>
      <c r="D965" s="37"/>
      <c r="E965" s="34"/>
      <c r="F965" s="37"/>
      <c r="G965" s="37"/>
      <c r="H965" s="37"/>
      <c r="I965" s="34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4"/>
      <c r="C966" s="34"/>
      <c r="D966" s="37"/>
      <c r="E966" s="34"/>
      <c r="F966" s="37"/>
      <c r="G966" s="37"/>
      <c r="H966" s="37"/>
      <c r="I966" s="34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4"/>
      <c r="C967" s="34"/>
      <c r="D967" s="37"/>
      <c r="E967" s="34"/>
      <c r="F967" s="37"/>
      <c r="G967" s="37"/>
      <c r="H967" s="37"/>
      <c r="I967" s="34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4"/>
      <c r="C968" s="34"/>
      <c r="D968" s="37"/>
      <c r="E968" s="34"/>
      <c r="F968" s="37"/>
      <c r="G968" s="37"/>
      <c r="H968" s="37"/>
      <c r="I968" s="34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4"/>
      <c r="C969" s="34"/>
      <c r="D969" s="37"/>
      <c r="E969" s="34"/>
      <c r="F969" s="37"/>
      <c r="G969" s="37"/>
      <c r="H969" s="37"/>
      <c r="I969" s="34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4"/>
      <c r="C970" s="34"/>
      <c r="D970" s="37"/>
      <c r="E970" s="34"/>
      <c r="F970" s="37"/>
      <c r="G970" s="37"/>
      <c r="H970" s="37"/>
      <c r="I970" s="34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4"/>
      <c r="C971" s="34"/>
      <c r="D971" s="37"/>
      <c r="E971" s="34"/>
      <c r="F971" s="37"/>
      <c r="G971" s="37"/>
      <c r="H971" s="37"/>
      <c r="I971" s="34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4"/>
      <c r="C972" s="34"/>
      <c r="D972" s="37"/>
      <c r="E972" s="34"/>
      <c r="F972" s="37"/>
      <c r="G972" s="37"/>
      <c r="H972" s="37"/>
      <c r="I972" s="34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4"/>
      <c r="C973" s="34"/>
      <c r="D973" s="37"/>
      <c r="E973" s="34"/>
      <c r="F973" s="37"/>
      <c r="G973" s="37"/>
      <c r="H973" s="37"/>
      <c r="I973" s="34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4"/>
      <c r="C974" s="34"/>
      <c r="D974" s="37"/>
      <c r="E974" s="34"/>
      <c r="F974" s="37"/>
      <c r="G974" s="37"/>
      <c r="H974" s="37"/>
      <c r="I974" s="34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4"/>
      <c r="C975" s="34"/>
      <c r="D975" s="37"/>
      <c r="E975" s="34"/>
      <c r="F975" s="37"/>
      <c r="G975" s="37"/>
      <c r="H975" s="37"/>
      <c r="I975" s="34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4"/>
      <c r="C976" s="34"/>
      <c r="D976" s="37"/>
      <c r="E976" s="34"/>
      <c r="F976" s="37"/>
      <c r="G976" s="37"/>
      <c r="H976" s="37"/>
      <c r="I976" s="34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4"/>
      <c r="C977" s="34"/>
      <c r="D977" s="37"/>
      <c r="E977" s="34"/>
      <c r="F977" s="37"/>
      <c r="G977" s="37"/>
      <c r="H977" s="37"/>
      <c r="I977" s="34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4"/>
      <c r="C978" s="34"/>
      <c r="D978" s="37"/>
      <c r="E978" s="34"/>
      <c r="F978" s="37"/>
      <c r="G978" s="37"/>
      <c r="H978" s="37"/>
      <c r="I978" s="34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4"/>
      <c r="C979" s="34"/>
      <c r="D979" s="37"/>
      <c r="E979" s="34"/>
      <c r="F979" s="37"/>
      <c r="G979" s="37"/>
      <c r="H979" s="37"/>
      <c r="I979" s="34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4"/>
      <c r="C980" s="34"/>
      <c r="D980" s="37"/>
      <c r="E980" s="34"/>
      <c r="F980" s="37"/>
      <c r="G980" s="37"/>
      <c r="H980" s="37"/>
      <c r="I980" s="34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4"/>
      <c r="C981" s="34"/>
      <c r="D981" s="37"/>
      <c r="E981" s="34"/>
      <c r="F981" s="37"/>
      <c r="G981" s="37"/>
      <c r="H981" s="37"/>
      <c r="I981" s="34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4"/>
      <c r="C982" s="34"/>
      <c r="D982" s="37"/>
      <c r="E982" s="34"/>
      <c r="F982" s="37"/>
      <c r="G982" s="37"/>
      <c r="H982" s="37"/>
      <c r="I982" s="34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4"/>
      <c r="C983" s="34"/>
      <c r="D983" s="37"/>
      <c r="E983" s="34"/>
      <c r="F983" s="37"/>
      <c r="G983" s="37"/>
      <c r="H983" s="37"/>
      <c r="I983" s="34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4"/>
      <c r="C984" s="34"/>
      <c r="D984" s="37"/>
      <c r="E984" s="34"/>
      <c r="F984" s="37"/>
      <c r="G984" s="37"/>
      <c r="H984" s="37"/>
      <c r="I984" s="34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4"/>
      <c r="C985" s="34"/>
      <c r="D985" s="37"/>
      <c r="E985" s="34"/>
      <c r="F985" s="37"/>
      <c r="G985" s="37"/>
      <c r="H985" s="37"/>
      <c r="I985" s="34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4"/>
      <c r="C986" s="34"/>
      <c r="D986" s="37"/>
      <c r="E986" s="34"/>
      <c r="F986" s="37"/>
      <c r="G986" s="37"/>
      <c r="H986" s="37"/>
      <c r="I986" s="34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4"/>
      <c r="C987" s="34"/>
      <c r="D987" s="37"/>
      <c r="E987" s="34"/>
      <c r="F987" s="37"/>
      <c r="G987" s="37"/>
      <c r="H987" s="37"/>
      <c r="I987" s="34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4"/>
      <c r="C988" s="34"/>
      <c r="D988" s="37"/>
      <c r="E988" s="34"/>
      <c r="F988" s="37"/>
      <c r="G988" s="37"/>
      <c r="H988" s="37"/>
      <c r="I988" s="34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4"/>
      <c r="C989" s="34"/>
      <c r="D989" s="37"/>
      <c r="E989" s="34"/>
      <c r="F989" s="37"/>
      <c r="G989" s="37"/>
      <c r="H989" s="37"/>
      <c r="I989" s="34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4"/>
      <c r="C990" s="34"/>
      <c r="D990" s="37"/>
      <c r="E990" s="34"/>
      <c r="F990" s="37"/>
      <c r="G990" s="37"/>
      <c r="H990" s="37"/>
      <c r="I990" s="34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4"/>
      <c r="C991" s="34"/>
      <c r="D991" s="37"/>
      <c r="E991" s="34"/>
      <c r="F991" s="37"/>
      <c r="G991" s="37"/>
      <c r="H991" s="37"/>
      <c r="I991" s="34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4"/>
      <c r="C992" s="34"/>
      <c r="D992" s="37"/>
      <c r="E992" s="34"/>
      <c r="F992" s="37"/>
      <c r="G992" s="37"/>
      <c r="H992" s="37"/>
      <c r="I992" s="34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4"/>
      <c r="C993" s="34"/>
      <c r="D993" s="37"/>
      <c r="E993" s="34"/>
      <c r="F993" s="37"/>
      <c r="G993" s="37"/>
      <c r="H993" s="37"/>
      <c r="I993" s="34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4"/>
      <c r="C994" s="34"/>
      <c r="D994" s="37"/>
      <c r="E994" s="34"/>
      <c r="F994" s="37"/>
      <c r="G994" s="37"/>
      <c r="H994" s="37"/>
      <c r="I994" s="34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4"/>
      <c r="C995" s="34"/>
      <c r="D995" s="37"/>
      <c r="E995" s="34"/>
      <c r="F995" s="37"/>
      <c r="G995" s="37"/>
      <c r="H995" s="37"/>
      <c r="I995" s="34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4"/>
      <c r="C996" s="34"/>
      <c r="D996" s="37"/>
      <c r="E996" s="34"/>
      <c r="F996" s="37"/>
      <c r="G996" s="37"/>
      <c r="H996" s="37"/>
      <c r="I996" s="34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4"/>
      <c r="C997" s="34"/>
      <c r="D997" s="37"/>
      <c r="E997" s="34"/>
      <c r="F997" s="37"/>
      <c r="G997" s="37"/>
      <c r="H997" s="37"/>
      <c r="I997" s="34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4"/>
      <c r="C998" s="34"/>
      <c r="D998" s="37"/>
      <c r="E998" s="34"/>
      <c r="F998" s="37"/>
      <c r="G998" s="37"/>
      <c r="H998" s="37"/>
      <c r="I998" s="34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4"/>
      <c r="C999" s="34"/>
      <c r="D999" s="37"/>
      <c r="E999" s="34"/>
      <c r="F999" s="37"/>
      <c r="G999" s="37"/>
      <c r="H999" s="37"/>
      <c r="I999" s="34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4"/>
      <c r="C1000" s="34"/>
      <c r="D1000" s="37"/>
      <c r="E1000" s="34"/>
      <c r="F1000" s="37"/>
      <c r="G1000" s="37"/>
      <c r="H1000" s="37"/>
      <c r="I1000" s="34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sheetData>
    <row r="1" ht="20.25" customHeight="1">
      <c r="A1" s="16" t="s">
        <v>18</v>
      </c>
      <c r="B1" s="16" t="s">
        <v>19</v>
      </c>
      <c r="C1" s="16" t="s">
        <v>22</v>
      </c>
      <c r="D1" s="17" t="s">
        <v>1196</v>
      </c>
      <c r="E1" s="16" t="s">
        <v>23</v>
      </c>
      <c r="F1" s="16" t="s">
        <v>24</v>
      </c>
      <c r="G1" s="17" t="s">
        <v>26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25.5" customHeight="1">
      <c r="A2" s="19">
        <v>1.0</v>
      </c>
      <c r="B2" s="19" t="s">
        <v>33</v>
      </c>
      <c r="C2" s="21" t="s">
        <v>36</v>
      </c>
      <c r="D2" s="39" t="str">
        <f>VLOOKUP(G2, Cards!A:B, 2, FALSE)</f>
        <v>جواد ابراهيميان</v>
      </c>
      <c r="E2" s="22">
        <v>0.0</v>
      </c>
      <c r="F2" s="23">
        <v>1.0E7</v>
      </c>
      <c r="G2" s="24" t="str">
        <f>IFERROR(__xludf.DUMMYFUNCTION("REGEXEXTRACT(C2, ""ک\s(\d{16})"")"),"5029081028402846")</f>
        <v>5029081028402846</v>
      </c>
      <c r="H2" s="27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25.5" customHeight="1">
      <c r="A3" s="19">
        <v>2.0</v>
      </c>
      <c r="B3" s="19" t="s">
        <v>33</v>
      </c>
      <c r="C3" s="21" t="s">
        <v>41</v>
      </c>
      <c r="D3" s="21" t="str">
        <f>VLOOKUP(G3, Cards!A:B, 2, FALSE)</f>
        <v>#N/A</v>
      </c>
      <c r="E3" s="22">
        <v>0.0</v>
      </c>
      <c r="F3" s="23">
        <v>9000.0</v>
      </c>
      <c r="G3" s="24" t="str">
        <f>IFERROR(__xludf.DUMMYFUNCTION("REGEXEXTRACT(C3, ""ک\s(\d{16})"")"),"6219861085979838")</f>
        <v>6219861085979838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25.5" customHeight="1">
      <c r="A4" s="19">
        <v>3.0</v>
      </c>
      <c r="B4" s="19" t="s">
        <v>42</v>
      </c>
      <c r="C4" s="21" t="s">
        <v>45</v>
      </c>
      <c r="D4" s="21" t="str">
        <f>VLOOKUP(G4, Cards!A:B, 2, FALSE)</f>
        <v>#N/A</v>
      </c>
      <c r="E4" s="22">
        <v>0.0</v>
      </c>
      <c r="F4" s="23">
        <v>1.56E7</v>
      </c>
      <c r="G4" s="24" t="str">
        <f>IFERROR(__xludf.DUMMYFUNCTION("REGEXEXTRACT(C4, ""ک\s(\d{16})"")"),"6219861085979838")</f>
        <v>6219861085979838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25.5" customHeight="1">
      <c r="A5" s="19">
        <v>4.0</v>
      </c>
      <c r="B5" s="19" t="s">
        <v>42</v>
      </c>
      <c r="C5" s="21" t="s">
        <v>48</v>
      </c>
      <c r="D5" s="21" t="str">
        <f>VLOOKUP(G5, Cards!A:B, 2, FALSE)</f>
        <v>#N/A</v>
      </c>
      <c r="E5" s="22">
        <v>0.0</v>
      </c>
      <c r="F5" s="23">
        <v>1.0E7</v>
      </c>
      <c r="G5" s="24" t="str">
        <f>IFERROR(__xludf.DUMMYFUNCTION("REGEXEXTRACT(C5, ""ک\s(\d{16})"")"),"6219861085979838")</f>
        <v>6219861085979838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25.5" customHeight="1">
      <c r="A6" s="19">
        <v>5.0</v>
      </c>
      <c r="B6" s="19" t="s">
        <v>42</v>
      </c>
      <c r="C6" s="21" t="s">
        <v>51</v>
      </c>
      <c r="D6" s="21" t="str">
        <f>VLOOKUP(G6, Cards!A:B, 2, FALSE)</f>
        <v>#N/A</v>
      </c>
      <c r="E6" s="22">
        <v>0.0</v>
      </c>
      <c r="F6" s="23">
        <v>1.821E7</v>
      </c>
      <c r="G6" s="24" t="str">
        <f>IFERROR(__xludf.DUMMYFUNCTION("REGEXEXTRACT(C6, ""ک\s(\d{16})"")"),"6219861085979838")</f>
        <v>6219861085979838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5.5" customHeight="1">
      <c r="A7" s="19">
        <v>6.0</v>
      </c>
      <c r="B7" s="19" t="s">
        <v>42</v>
      </c>
      <c r="C7" s="21" t="s">
        <v>54</v>
      </c>
      <c r="D7" s="21" t="str">
        <f>VLOOKUP(G7, Cards!A:B, 2, FALSE)</f>
        <v>#N/A</v>
      </c>
      <c r="E7" s="22">
        <v>550000.0</v>
      </c>
      <c r="F7" s="23">
        <v>0.0</v>
      </c>
      <c r="G7" s="24" t="str">
        <f>IFERROR(__xludf.DUMMYFUNCTION("REGEXEXTRACT(C7, ""ک\s(\d{16})"")"),"6037998237030795")</f>
        <v>6037998237030795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25.5" customHeight="1">
      <c r="A8" s="19">
        <v>7.0</v>
      </c>
      <c r="B8" s="19" t="s">
        <v>42</v>
      </c>
      <c r="C8" s="21" t="s">
        <v>57</v>
      </c>
      <c r="D8" s="21" t="str">
        <f>VLOOKUP(G8, Cards!A:B, 2, FALSE)</f>
        <v>#N/A</v>
      </c>
      <c r="E8" s="22">
        <v>1400000.0</v>
      </c>
      <c r="F8" s="23">
        <v>0.0</v>
      </c>
      <c r="G8" s="24" t="str">
        <f>IFERROR(__xludf.DUMMYFUNCTION("REGEXEXTRACT(C8, ""ک\s(\d{16})"")"),"6104337385303662")</f>
        <v>6104337385303662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5.5" customHeight="1">
      <c r="A9" s="19">
        <v>8.0</v>
      </c>
      <c r="B9" s="19" t="s">
        <v>42</v>
      </c>
      <c r="C9" s="21" t="s">
        <v>60</v>
      </c>
      <c r="D9" s="21" t="str">
        <f>VLOOKUP(G9, Cards!A:B, 2, FALSE)</f>
        <v>#N/A</v>
      </c>
      <c r="E9" s="22">
        <v>0.0</v>
      </c>
      <c r="F9" s="23">
        <v>2.1534E7</v>
      </c>
      <c r="G9" s="24" t="str">
        <f>IFERROR(__xludf.DUMMYFUNCTION("REGEXEXTRACT(C9, ""ک\s(\d{16})"")"),"6104338738476148")</f>
        <v>6104338738476148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5.5" customHeight="1">
      <c r="A10" s="19">
        <v>9.0</v>
      </c>
      <c r="B10" s="19" t="s">
        <v>42</v>
      </c>
      <c r="C10" s="21" t="s">
        <v>62</v>
      </c>
      <c r="D10" s="21" t="str">
        <f>VLOOKUP(G10, Cards!A:B, 2, FALSE)</f>
        <v>#N/A</v>
      </c>
      <c r="E10" s="22">
        <v>0.0</v>
      </c>
      <c r="F10" s="23">
        <v>15400.0</v>
      </c>
      <c r="G10" s="24" t="str">
        <f>IFERROR(__xludf.DUMMYFUNCTION("REGEXEXTRACT(C10, ""ک\s(\d{16})"")"),"6219861085979838")</f>
        <v>6219861085979838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25.5" customHeight="1">
      <c r="A11" s="19">
        <v>10.0</v>
      </c>
      <c r="B11" s="19" t="s">
        <v>42</v>
      </c>
      <c r="C11" s="21" t="s">
        <v>64</v>
      </c>
      <c r="D11" s="39" t="str">
        <f>VLOOKUP(G11, Cards!A:B, 2, FALSE)</f>
        <v>محسن خانگاه</v>
      </c>
      <c r="E11" s="22">
        <v>0.0</v>
      </c>
      <c r="F11" s="23">
        <v>3.292E7</v>
      </c>
      <c r="G11" s="24" t="str">
        <f>IFERROR(__xludf.DUMMYFUNCTION("REGEXEXTRACT(C11, ""ک\s(\d{16})"")"),"6274121208660688")</f>
        <v>6274121208660688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25.5" customHeight="1">
      <c r="A12" s="19">
        <v>11.0</v>
      </c>
      <c r="B12" s="19" t="s">
        <v>42</v>
      </c>
      <c r="C12" s="21" t="s">
        <v>66</v>
      </c>
      <c r="D12" s="21" t="str">
        <f>VLOOKUP(G12, Cards!A:B, 2, FALSE)</f>
        <v>#N/A</v>
      </c>
      <c r="E12" s="22">
        <v>0.0</v>
      </c>
      <c r="F12" s="23">
        <v>18600.0</v>
      </c>
      <c r="G12" s="24" t="str">
        <f>IFERROR(__xludf.DUMMYFUNCTION("REGEXEXTRACT(C12, ""ک\s(\d{16})"")"),"6219861085979838")</f>
        <v>6219861085979838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25.5" customHeight="1">
      <c r="A13" s="19">
        <v>12.0</v>
      </c>
      <c r="B13" s="19" t="s">
        <v>42</v>
      </c>
      <c r="C13" s="21" t="s">
        <v>68</v>
      </c>
      <c r="D13" s="21" t="str">
        <f>VLOOKUP(G13, Cards!A:B, 2, FALSE)</f>
        <v>#N/A</v>
      </c>
      <c r="E13" s="22">
        <v>900000.0</v>
      </c>
      <c r="F13" s="23">
        <v>0.0</v>
      </c>
      <c r="G13" s="24" t="str">
        <f>IFERROR(__xludf.DUMMYFUNCTION("REGEXEXTRACT(C13, ""ک\s(\d{16})"")"),"6037998147282734")</f>
        <v>6037998147282734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5.5" customHeight="1">
      <c r="A14" s="19">
        <v>13.0</v>
      </c>
      <c r="B14" s="19" t="s">
        <v>42</v>
      </c>
      <c r="C14" s="21" t="s">
        <v>72</v>
      </c>
      <c r="D14" s="21" t="str">
        <f>VLOOKUP(G14, Cards!A:B, 2, FALSE)</f>
        <v>#N/A</v>
      </c>
      <c r="E14" s="22">
        <v>0.0</v>
      </c>
      <c r="F14" s="23">
        <v>1800.0</v>
      </c>
      <c r="G14" s="24" t="str">
        <f>IFERROR(__xludf.DUMMYFUNCTION("REGEXEXTRACT(C14, ""ک\s(\d{16})"")"),"6219861085979838")</f>
        <v>6219861085979838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25.5" customHeight="1">
      <c r="A15" s="19">
        <v>14.0</v>
      </c>
      <c r="B15" s="19" t="s">
        <v>42</v>
      </c>
      <c r="C15" s="21" t="s">
        <v>75</v>
      </c>
      <c r="D15" s="21" t="str">
        <f>VLOOKUP(G15, Cards!A:B, 2, FALSE)</f>
        <v>#N/A</v>
      </c>
      <c r="E15" s="22">
        <v>0.0</v>
      </c>
      <c r="F15" s="23">
        <v>1.5951E7</v>
      </c>
      <c r="G15" s="24" t="str">
        <f>IFERROR(__xludf.DUMMYFUNCTION("REGEXEXTRACT(C15, ""ک\s(\d{16})"")"),"6219861085979838")</f>
        <v>6219861085979838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25.5" customHeight="1">
      <c r="A16" s="19">
        <v>15.0</v>
      </c>
      <c r="B16" s="19" t="s">
        <v>42</v>
      </c>
      <c r="C16" s="21" t="s">
        <v>79</v>
      </c>
      <c r="D16" s="21" t="str">
        <f>VLOOKUP(G16, Cards!A:B, 2, FALSE)</f>
        <v>#N/A</v>
      </c>
      <c r="E16" s="22">
        <v>0.0</v>
      </c>
      <c r="F16" s="23">
        <v>2.4727E7</v>
      </c>
      <c r="G16" s="24" t="str">
        <f>IFERROR(__xludf.DUMMYFUNCTION("REGEXEXTRACT(C16, ""ک\s(\d{16})"")"),"6219861085979838")</f>
        <v>6219861085979838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25.5" customHeight="1">
      <c r="A17" s="19">
        <v>16.0</v>
      </c>
      <c r="B17" s="19" t="s">
        <v>42</v>
      </c>
      <c r="C17" s="21" t="s">
        <v>82</v>
      </c>
      <c r="D17" s="21" t="str">
        <f>VLOOKUP(G17, Cards!A:B, 2, FALSE)</f>
        <v>#N/A</v>
      </c>
      <c r="E17" s="22">
        <v>0.0</v>
      </c>
      <c r="F17" s="23">
        <v>1.4552E7</v>
      </c>
      <c r="G17" s="24" t="str">
        <f>IFERROR(__xludf.DUMMYFUNCTION("REGEXEXTRACT(C17, ""ک\s(\d{16})"")"),"6219861085979838")</f>
        <v>6219861085979838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25.5" customHeight="1">
      <c r="A18" s="19">
        <v>17.0</v>
      </c>
      <c r="B18" s="19" t="s">
        <v>42</v>
      </c>
      <c r="C18" s="21" t="s">
        <v>85</v>
      </c>
      <c r="D18" s="21" t="str">
        <f>VLOOKUP(G18, Cards!A:B, 2, FALSE)</f>
        <v>#N/A</v>
      </c>
      <c r="E18" s="22">
        <v>0.0</v>
      </c>
      <c r="F18" s="23">
        <v>1800.0</v>
      </c>
      <c r="G18" s="24" t="str">
        <f>IFERROR(__xludf.DUMMYFUNCTION("REGEXEXTRACT(C18, ""ک\s(\d{16})"")"),"6219861085979838")</f>
        <v>6219861085979838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25.5" customHeight="1">
      <c r="A19" s="19">
        <v>18.0</v>
      </c>
      <c r="B19" s="19" t="s">
        <v>42</v>
      </c>
      <c r="C19" s="21" t="s">
        <v>88</v>
      </c>
      <c r="D19" s="39" t="str">
        <f>VLOOKUP(G19, Cards!A:B, 2, FALSE)</f>
        <v>جواد ابراهيميان</v>
      </c>
      <c r="E19" s="22">
        <v>0.0</v>
      </c>
      <c r="F19" s="23">
        <v>1.0E7</v>
      </c>
      <c r="G19" s="24" t="str">
        <f>IFERROR(__xludf.DUMMYFUNCTION("REGEXEXTRACT(C19, ""ک\s(\d{16})"")"),"5029081028402846")</f>
        <v>5029081028402846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25.5" customHeight="1">
      <c r="A20" s="19">
        <v>19.0</v>
      </c>
      <c r="B20" s="19" t="s">
        <v>42</v>
      </c>
      <c r="C20" s="21" t="s">
        <v>90</v>
      </c>
      <c r="D20" s="21" t="str">
        <f>VLOOKUP(G20, Cards!A:B, 2, FALSE)</f>
        <v>#N/A</v>
      </c>
      <c r="E20" s="22">
        <v>0.0</v>
      </c>
      <c r="F20" s="23">
        <v>9000.0</v>
      </c>
      <c r="G20" s="24" t="str">
        <f>IFERROR(__xludf.DUMMYFUNCTION("REGEXEXTRACT(C20, ""ک\s(\d{16})"")"),"6219861085979838")</f>
        <v>6219861085979838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25.5" customHeight="1">
      <c r="A21" s="19">
        <v>20.0</v>
      </c>
      <c r="B21" s="19" t="s">
        <v>42</v>
      </c>
      <c r="C21" s="21" t="s">
        <v>92</v>
      </c>
      <c r="D21" s="21" t="str">
        <f>VLOOKUP(G21, Cards!A:B, 2, FALSE)</f>
        <v>#N/A</v>
      </c>
      <c r="E21" s="22">
        <v>0.0</v>
      </c>
      <c r="F21" s="23">
        <v>7000000.0</v>
      </c>
      <c r="G21" s="24" t="str">
        <f>IFERROR(__xludf.DUMMYFUNCTION("REGEXEXTRACT(C21, ""ک\s(\d{16})"")"),"5859831103338371")</f>
        <v>5859831103338371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25.5" customHeight="1">
      <c r="A22" s="19">
        <v>21.0</v>
      </c>
      <c r="B22" s="19" t="s">
        <v>42</v>
      </c>
      <c r="C22" s="21" t="s">
        <v>94</v>
      </c>
      <c r="D22" s="21" t="str">
        <f>VLOOKUP(G22, Cards!A:B, 2, FALSE)</f>
        <v>#N/A</v>
      </c>
      <c r="E22" s="22">
        <v>0.0</v>
      </c>
      <c r="F22" s="23">
        <v>9000.0</v>
      </c>
      <c r="G22" s="24" t="str">
        <f>IFERROR(__xludf.DUMMYFUNCTION("REGEXEXTRACT(C22, ""ک\s(\d{16})"")"),"6219861085979838")</f>
        <v>6219861085979838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25.5" customHeight="1">
      <c r="A23" s="19">
        <v>22.0</v>
      </c>
      <c r="B23" s="19" t="s">
        <v>95</v>
      </c>
      <c r="C23" s="21" t="s">
        <v>98</v>
      </c>
      <c r="D23" s="21" t="str">
        <f>VLOOKUP(G23, Cards!A:B, 2, FALSE)</f>
        <v>#N/A</v>
      </c>
      <c r="E23" s="22">
        <v>6.89E7</v>
      </c>
      <c r="F23" s="23">
        <v>0.0</v>
      </c>
      <c r="G23" s="24" t="str">
        <f>IFERROR(__xludf.DUMMYFUNCTION("REGEXEXTRACT(C23, ""ک\s(\d{16})"")"),"#N/A")</f>
        <v>#N/A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25.5" customHeight="1">
      <c r="A24" s="19">
        <v>23.0</v>
      </c>
      <c r="B24" s="19" t="s">
        <v>95</v>
      </c>
      <c r="C24" s="21" t="s">
        <v>103</v>
      </c>
      <c r="D24" s="21" t="str">
        <f>VLOOKUP(G24, Cards!A:B, 2, FALSE)</f>
        <v>#N/A</v>
      </c>
      <c r="E24" s="22">
        <v>950000.0</v>
      </c>
      <c r="F24" s="23">
        <v>0.0</v>
      </c>
      <c r="G24" s="24" t="str">
        <f>IFERROR(__xludf.DUMMYFUNCTION("REGEXEXTRACT(C24, ""ک\s(\d{16})"")"),"6063731022374301")</f>
        <v>6063731022374301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25.5" customHeight="1">
      <c r="A25" s="19">
        <v>24.0</v>
      </c>
      <c r="B25" s="19" t="s">
        <v>95</v>
      </c>
      <c r="C25" s="21" t="s">
        <v>106</v>
      </c>
      <c r="D25" s="21" t="str">
        <f>VLOOKUP(G25, Cards!A:B, 2, FALSE)</f>
        <v>#N/A</v>
      </c>
      <c r="E25" s="22">
        <v>550000.0</v>
      </c>
      <c r="F25" s="23">
        <v>0.0</v>
      </c>
      <c r="G25" s="24" t="str">
        <f>IFERROR(__xludf.DUMMYFUNCTION("REGEXEXTRACT(C25, ""ک\s(\d{16})"")"),"6037997466532679")</f>
        <v>6037997466532679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25.5" customHeight="1">
      <c r="A26" s="19">
        <v>25.0</v>
      </c>
      <c r="B26" s="19" t="s">
        <v>95</v>
      </c>
      <c r="C26" s="21" t="s">
        <v>110</v>
      </c>
      <c r="D26" s="21" t="str">
        <f>VLOOKUP(G26, Cards!A:B, 2, FALSE)</f>
        <v>#N/A</v>
      </c>
      <c r="E26" s="22">
        <v>1000000.0</v>
      </c>
      <c r="F26" s="23">
        <v>0.0</v>
      </c>
      <c r="G26" s="24" t="str">
        <f>IFERROR(__xludf.DUMMYFUNCTION("REGEXEXTRACT(C26, ""ک\s(\d{16})"")"),"#N/A")</f>
        <v>#N/A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25.5" customHeight="1">
      <c r="A27" s="19">
        <v>26.0</v>
      </c>
      <c r="B27" s="19" t="s">
        <v>95</v>
      </c>
      <c r="C27" s="21" t="s">
        <v>114</v>
      </c>
      <c r="D27" s="21" t="str">
        <f>VLOOKUP(G27, Cards!A:B, 2, FALSE)</f>
        <v>#N/A</v>
      </c>
      <c r="E27" s="22">
        <v>0.0</v>
      </c>
      <c r="F27" s="23">
        <v>1.56E7</v>
      </c>
      <c r="G27" s="24" t="str">
        <f>IFERROR(__xludf.DUMMYFUNCTION("REGEXEXTRACT(C27, ""ک\s(\d{16})"")"),"6219861085979838")</f>
        <v>6219861085979838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25.5" customHeight="1">
      <c r="A28" s="19">
        <v>27.0</v>
      </c>
      <c r="B28" s="19" t="s">
        <v>95</v>
      </c>
      <c r="C28" s="21" t="s">
        <v>117</v>
      </c>
      <c r="D28" s="21" t="str">
        <f>VLOOKUP(G28, Cards!A:B, 2, FALSE)</f>
        <v>#N/A</v>
      </c>
      <c r="E28" s="22">
        <v>0.0</v>
      </c>
      <c r="F28" s="23">
        <v>1400000.0</v>
      </c>
      <c r="G28" s="24" t="str">
        <f>IFERROR(__xludf.DUMMYFUNCTION("REGEXEXTRACT(C28, ""ک\s(\d{16})"")"),"6219861085979838")</f>
        <v>6219861085979838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25.5" customHeight="1">
      <c r="A29" s="19">
        <v>28.0</v>
      </c>
      <c r="B29" s="19" t="s">
        <v>95</v>
      </c>
      <c r="C29" s="21" t="s">
        <v>120</v>
      </c>
      <c r="D29" s="21" t="str">
        <f>VLOOKUP(G29, Cards!A:B, 2, FALSE)</f>
        <v>#N/A</v>
      </c>
      <c r="E29" s="22">
        <v>600000.0</v>
      </c>
      <c r="F29" s="23">
        <v>0.0</v>
      </c>
      <c r="G29" s="24" t="str">
        <f>IFERROR(__xludf.DUMMYFUNCTION("REGEXEXTRACT(C29, ""ک\s(\d{16})"")"),"6104338676737337")</f>
        <v>6104338676737337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25.5" customHeight="1">
      <c r="A30" s="19">
        <v>29.0</v>
      </c>
      <c r="B30" s="19" t="s">
        <v>95</v>
      </c>
      <c r="C30" s="21" t="s">
        <v>123</v>
      </c>
      <c r="D30" s="21" t="str">
        <f>VLOOKUP(G30, Cards!A:B, 2, FALSE)</f>
        <v>#N/A</v>
      </c>
      <c r="E30" s="22">
        <v>0.0</v>
      </c>
      <c r="F30" s="23">
        <v>4950000.0</v>
      </c>
      <c r="G30" s="24" t="str">
        <f>IFERROR(__xludf.DUMMYFUNCTION("REGEXEXTRACT(C30, ""ک\s(\d{16})"")"),"6037697609800401")</f>
        <v>6037697609800401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5.5" customHeight="1">
      <c r="A31" s="19">
        <v>30.0</v>
      </c>
      <c r="B31" s="19" t="s">
        <v>95</v>
      </c>
      <c r="C31" s="21" t="s">
        <v>125</v>
      </c>
      <c r="D31" s="21" t="str">
        <f>VLOOKUP(G31, Cards!A:B, 2, FALSE)</f>
        <v>#N/A</v>
      </c>
      <c r="E31" s="22">
        <v>0.0</v>
      </c>
      <c r="F31" s="23">
        <v>9000.0</v>
      </c>
      <c r="G31" s="24" t="str">
        <f>IFERROR(__xludf.DUMMYFUNCTION("REGEXEXTRACT(C31, ""ک\s(\d{16})"")"),"6219861085979838")</f>
        <v>6219861085979838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25.5" customHeight="1">
      <c r="A32" s="19">
        <v>31.0</v>
      </c>
      <c r="B32" s="19" t="s">
        <v>95</v>
      </c>
      <c r="C32" s="21" t="s">
        <v>127</v>
      </c>
      <c r="D32" s="21" t="str">
        <f>VLOOKUP(G32, Cards!A:B, 2, FALSE)</f>
        <v>#N/A</v>
      </c>
      <c r="E32" s="22">
        <v>0.0</v>
      </c>
      <c r="F32" s="23">
        <v>2.14896E7</v>
      </c>
      <c r="G32" s="24" t="str">
        <f>IFERROR(__xludf.DUMMYFUNCTION("REGEXEXTRACT(C32, ""ک\s(\d{16})"")"),"6104338738476148")</f>
        <v>6104338738476148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25.5" customHeight="1">
      <c r="A33" s="19">
        <v>32.0</v>
      </c>
      <c r="B33" s="19" t="s">
        <v>95</v>
      </c>
      <c r="C33" s="21" t="s">
        <v>129</v>
      </c>
      <c r="D33" s="21" t="str">
        <f>VLOOKUP(G33, Cards!A:B, 2, FALSE)</f>
        <v>#N/A</v>
      </c>
      <c r="E33" s="22">
        <v>0.0</v>
      </c>
      <c r="F33" s="23">
        <v>15400.0</v>
      </c>
      <c r="G33" s="24" t="str">
        <f>IFERROR(__xludf.DUMMYFUNCTION("REGEXEXTRACT(C33, ""ک\s(\d{16})"")"),"6219861085979838")</f>
        <v>6219861085979838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5.5" customHeight="1">
      <c r="A34" s="19">
        <v>33.0</v>
      </c>
      <c r="B34" s="19" t="s">
        <v>95</v>
      </c>
      <c r="C34" s="21" t="s">
        <v>131</v>
      </c>
      <c r="D34" s="21" t="str">
        <f>VLOOKUP(G34, Cards!A:B, 2, FALSE)</f>
        <v>#N/A</v>
      </c>
      <c r="E34" s="22">
        <v>0.0</v>
      </c>
      <c r="F34" s="23">
        <v>9600000.0</v>
      </c>
      <c r="G34" s="24" t="str">
        <f>IFERROR(__xludf.DUMMYFUNCTION("REGEXEXTRACT(C34, ""ک\s(\d{16})"")"),"6037997381658112")</f>
        <v>6037997381658112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25.5" customHeight="1">
      <c r="A35" s="19">
        <v>34.0</v>
      </c>
      <c r="B35" s="19" t="s">
        <v>95</v>
      </c>
      <c r="C35" s="21" t="s">
        <v>133</v>
      </c>
      <c r="D35" s="21" t="str">
        <f>VLOOKUP(G35, Cards!A:B, 2, FALSE)</f>
        <v>#N/A</v>
      </c>
      <c r="E35" s="22">
        <v>0.0</v>
      </c>
      <c r="F35" s="23">
        <v>9000.0</v>
      </c>
      <c r="G35" s="24" t="str">
        <f>IFERROR(__xludf.DUMMYFUNCTION("REGEXEXTRACT(C35, ""ک\s(\d{16})"")"),"6219861085979838")</f>
        <v>6219861085979838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25.5" customHeight="1">
      <c r="A36" s="19">
        <v>35.0</v>
      </c>
      <c r="B36" s="19" t="s">
        <v>95</v>
      </c>
      <c r="C36" s="21" t="s">
        <v>135</v>
      </c>
      <c r="D36" s="21" t="str">
        <f>VLOOKUP(G36, Cards!A:B, 2, FALSE)</f>
        <v>#N/A</v>
      </c>
      <c r="E36" s="22">
        <v>800000.0</v>
      </c>
      <c r="F36" s="23">
        <v>0.0</v>
      </c>
      <c r="G36" s="24" t="str">
        <f>IFERROR(__xludf.DUMMYFUNCTION("REGEXEXTRACT(C36, ""ک\s(\d{16})"")"),"5859831812791340")</f>
        <v>5859831812791340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25.5" customHeight="1">
      <c r="A37" s="19">
        <v>36.0</v>
      </c>
      <c r="B37" s="19" t="s">
        <v>95</v>
      </c>
      <c r="C37" s="21" t="s">
        <v>138</v>
      </c>
      <c r="D37" s="21" t="str">
        <f>VLOOKUP(G37, Cards!A:B, 2, FALSE)</f>
        <v>#N/A</v>
      </c>
      <c r="E37" s="22">
        <v>1100000.0</v>
      </c>
      <c r="F37" s="23">
        <v>0.0</v>
      </c>
      <c r="G37" s="24" t="str">
        <f>IFERROR(__xludf.DUMMYFUNCTION("REGEXEXTRACT(C37, ""ک\s(\d{16})"")"),"6104337348955376")</f>
        <v>6104337348955376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25.5" customHeight="1">
      <c r="A38" s="19">
        <v>37.0</v>
      </c>
      <c r="B38" s="19" t="s">
        <v>140</v>
      </c>
      <c r="C38" s="21" t="s">
        <v>142</v>
      </c>
      <c r="D38" s="21" t="str">
        <f>VLOOKUP(G38, Cards!A:B, 2, FALSE)</f>
        <v>#N/A</v>
      </c>
      <c r="E38" s="22">
        <v>1.41E8</v>
      </c>
      <c r="F38" s="23">
        <v>0.0</v>
      </c>
      <c r="G38" s="24" t="str">
        <f>IFERROR(__xludf.DUMMYFUNCTION("REGEXEXTRACT(C38, ""ک\s(\d{16})"")"),"#N/A")</f>
        <v>#N/A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25.5" customHeight="1">
      <c r="A39" s="19">
        <v>38.0</v>
      </c>
      <c r="B39" s="19" t="s">
        <v>140</v>
      </c>
      <c r="C39" s="21" t="s">
        <v>146</v>
      </c>
      <c r="D39" s="21" t="str">
        <f>VLOOKUP(G39, Cards!A:B, 2, FALSE)</f>
        <v>#N/A</v>
      </c>
      <c r="E39" s="22">
        <v>1100000.0</v>
      </c>
      <c r="F39" s="23">
        <v>0.0</v>
      </c>
      <c r="G39" s="24" t="str">
        <f>IFERROR(__xludf.DUMMYFUNCTION("REGEXEXTRACT(C39, ""ک\s(\d{16})"")"),"5057851033294510")</f>
        <v>5057851033294510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25.5" customHeight="1">
      <c r="A40" s="19">
        <v>39.0</v>
      </c>
      <c r="B40" s="19" t="s">
        <v>140</v>
      </c>
      <c r="C40" s="21" t="s">
        <v>149</v>
      </c>
      <c r="D40" s="21" t="str">
        <f>VLOOKUP(G40, Cards!A:B, 2, FALSE)</f>
        <v>#N/A</v>
      </c>
      <c r="E40" s="22">
        <v>0.0</v>
      </c>
      <c r="F40" s="23">
        <v>1.16E7</v>
      </c>
      <c r="G40" s="24" t="str">
        <f>IFERROR(__xludf.DUMMYFUNCTION("REGEXEXTRACT(C40, ""ک\s(\d{16})"")"),"6219861085979838")</f>
        <v>6219861085979838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25.5" customHeight="1">
      <c r="A41" s="19">
        <v>40.0</v>
      </c>
      <c r="B41" s="19" t="s">
        <v>140</v>
      </c>
      <c r="C41" s="21" t="s">
        <v>152</v>
      </c>
      <c r="D41" s="21" t="str">
        <f>VLOOKUP(G41, Cards!A:B, 2, FALSE)</f>
        <v>#N/A</v>
      </c>
      <c r="E41" s="22">
        <v>1250000.0</v>
      </c>
      <c r="F41" s="23">
        <v>0.0</v>
      </c>
      <c r="G41" s="24" t="str">
        <f>IFERROR(__xludf.DUMMYFUNCTION("REGEXEXTRACT(C41, ""ک\s(\d{16})"")"),"6037991794272728")</f>
        <v>6037991794272728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25.5" customHeight="1">
      <c r="A42" s="19">
        <v>41.0</v>
      </c>
      <c r="B42" s="19" t="s">
        <v>140</v>
      </c>
      <c r="C42" s="21" t="s">
        <v>155</v>
      </c>
      <c r="D42" s="21" t="str">
        <f>VLOOKUP(G42, Cards!A:B, 2, FALSE)</f>
        <v>#N/A</v>
      </c>
      <c r="E42" s="22">
        <v>0.0</v>
      </c>
      <c r="F42" s="23">
        <v>1800.0</v>
      </c>
      <c r="G42" s="24" t="str">
        <f>IFERROR(__xludf.DUMMYFUNCTION("REGEXEXTRACT(C42, ""ک\s(\d{16})"")"),"6219861085979838")</f>
        <v>6219861085979838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25.5" customHeight="1">
      <c r="A43" s="19">
        <v>42.0</v>
      </c>
      <c r="B43" s="19" t="s">
        <v>140</v>
      </c>
      <c r="C43" s="21" t="s">
        <v>158</v>
      </c>
      <c r="D43" s="21" t="str">
        <f>VLOOKUP(G43, Cards!A:B, 2, FALSE)</f>
        <v>#N/A</v>
      </c>
      <c r="E43" s="22">
        <v>0.0</v>
      </c>
      <c r="F43" s="23">
        <v>1.04E7</v>
      </c>
      <c r="G43" s="24" t="str">
        <f>IFERROR(__xludf.DUMMYFUNCTION("REGEXEXTRACT(C43, ""ک\s(\d{16})"")"),"6219861085979838")</f>
        <v>6219861085979838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25.5" customHeight="1">
      <c r="A44" s="19">
        <v>43.0</v>
      </c>
      <c r="B44" s="19" t="s">
        <v>140</v>
      </c>
      <c r="C44" s="21" t="s">
        <v>161</v>
      </c>
      <c r="D44" s="21" t="str">
        <f>VLOOKUP(G44, Cards!A:B, 2, FALSE)</f>
        <v>#N/A</v>
      </c>
      <c r="E44" s="22">
        <v>0.0</v>
      </c>
      <c r="F44" s="23">
        <v>1.412E7</v>
      </c>
      <c r="G44" s="24" t="str">
        <f>IFERROR(__xludf.DUMMYFUNCTION("REGEXEXTRACT(C44, ""ک\s(\d{16})"")"),"6219861085979838")</f>
        <v>6219861085979838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25.5" customHeight="1">
      <c r="A45" s="19">
        <v>44.0</v>
      </c>
      <c r="B45" s="19" t="s">
        <v>140</v>
      </c>
      <c r="C45" s="21" t="s">
        <v>164</v>
      </c>
      <c r="D45" s="21" t="str">
        <f>VLOOKUP(G45, Cards!A:B, 2, FALSE)</f>
        <v>#N/A</v>
      </c>
      <c r="E45" s="22">
        <v>0.0</v>
      </c>
      <c r="F45" s="23">
        <v>4.37E7</v>
      </c>
      <c r="G45" s="24" t="str">
        <f>IFERROR(__xludf.DUMMYFUNCTION("REGEXEXTRACT(C45, ""ک\s(\d{16})"")"),"6219861085979838")</f>
        <v>6219861085979838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25.5" customHeight="1">
      <c r="A46" s="19">
        <v>45.0</v>
      </c>
      <c r="B46" s="19" t="s">
        <v>140</v>
      </c>
      <c r="C46" s="21" t="s">
        <v>167</v>
      </c>
      <c r="D46" s="21" t="str">
        <f>VLOOKUP(G46, Cards!A:B, 2, FALSE)</f>
        <v>#N/A</v>
      </c>
      <c r="E46" s="22">
        <v>2250000.0</v>
      </c>
      <c r="F46" s="23">
        <v>0.0</v>
      </c>
      <c r="G46" s="24" t="str">
        <f>IFERROR(__xludf.DUMMYFUNCTION("REGEXEXTRACT(C46, ""ک\s(\d{16})"")"),"6037998111666086")</f>
        <v>6037998111666086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25.5" customHeight="1">
      <c r="A47" s="19">
        <v>46.0</v>
      </c>
      <c r="B47" s="19" t="s">
        <v>140</v>
      </c>
      <c r="C47" s="21" t="s">
        <v>170</v>
      </c>
      <c r="D47" s="21" t="str">
        <f>VLOOKUP(G47, Cards!A:B, 2, FALSE)</f>
        <v>#N/A</v>
      </c>
      <c r="E47" s="22">
        <v>0.0</v>
      </c>
      <c r="F47" s="23">
        <v>3200000.0</v>
      </c>
      <c r="G47" s="24" t="str">
        <f>IFERROR(__xludf.DUMMYFUNCTION("REGEXEXTRACT(C47, ""ک\s(\d{16})"")"),"6219861085979838")</f>
        <v>6219861085979838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25.5" customHeight="1">
      <c r="A48" s="19">
        <v>47.0</v>
      </c>
      <c r="B48" s="19" t="s">
        <v>140</v>
      </c>
      <c r="C48" s="21" t="s">
        <v>173</v>
      </c>
      <c r="D48" s="21" t="str">
        <f>VLOOKUP(G48, Cards!A:B, 2, FALSE)</f>
        <v>#N/A</v>
      </c>
      <c r="E48" s="22">
        <v>0.0</v>
      </c>
      <c r="F48" s="23">
        <v>1800.0</v>
      </c>
      <c r="G48" s="24" t="str">
        <f>IFERROR(__xludf.DUMMYFUNCTION("REGEXEXTRACT(C48, ""ک\s(\d{16})"")"),"6219861085979838")</f>
        <v>6219861085979838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25.5" customHeight="1">
      <c r="A49" s="19">
        <v>48.0</v>
      </c>
      <c r="B49" s="19" t="s">
        <v>140</v>
      </c>
      <c r="C49" s="21" t="s">
        <v>176</v>
      </c>
      <c r="D49" s="39" t="str">
        <f>VLOOKUP(G49, Cards!A:B, 2, FALSE)</f>
        <v>محسن خانگاه</v>
      </c>
      <c r="E49" s="22">
        <v>0.0</v>
      </c>
      <c r="F49" s="23">
        <v>7.247E7</v>
      </c>
      <c r="G49" s="24" t="str">
        <f>IFERROR(__xludf.DUMMYFUNCTION("REGEXEXTRACT(C49, ""ک\s(\d{16})"")"),"6274121208660688")</f>
        <v>6274121208660688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25.5" customHeight="1">
      <c r="A50" s="19">
        <v>49.0</v>
      </c>
      <c r="B50" s="19" t="s">
        <v>140</v>
      </c>
      <c r="C50" s="21" t="s">
        <v>178</v>
      </c>
      <c r="D50" s="21" t="str">
        <f>VLOOKUP(G50, Cards!A:B, 2, FALSE)</f>
        <v>#N/A</v>
      </c>
      <c r="E50" s="22">
        <v>0.0</v>
      </c>
      <c r="F50" s="23">
        <v>31400.0</v>
      </c>
      <c r="G50" s="24" t="str">
        <f>IFERROR(__xludf.DUMMYFUNCTION("REGEXEXTRACT(C50, ""ک\s(\d{16})"")"),"6219861085979838")</f>
        <v>6219861085979838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25.5" customHeight="1">
      <c r="A51" s="19">
        <v>50.0</v>
      </c>
      <c r="B51" s="19" t="s">
        <v>140</v>
      </c>
      <c r="C51" s="21" t="s">
        <v>180</v>
      </c>
      <c r="D51" s="21" t="str">
        <f>VLOOKUP(G51, Cards!A:B, 2, FALSE)</f>
        <v>#N/A</v>
      </c>
      <c r="E51" s="22">
        <v>0.0</v>
      </c>
      <c r="F51" s="23">
        <v>1.35E7</v>
      </c>
      <c r="G51" s="24" t="str">
        <f>IFERROR(__xludf.DUMMYFUNCTION("REGEXEXTRACT(C51, ""ک\s(\d{16})"")"),"6037997272771941")</f>
        <v>6037997272771941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25.5" customHeight="1">
      <c r="A52" s="19">
        <v>51.0</v>
      </c>
      <c r="B52" s="19" t="s">
        <v>140</v>
      </c>
      <c r="C52" s="21" t="s">
        <v>182</v>
      </c>
      <c r="D52" s="21" t="str">
        <f>VLOOKUP(G52, Cards!A:B, 2, FALSE)</f>
        <v>#N/A</v>
      </c>
      <c r="E52" s="22">
        <v>0.0</v>
      </c>
      <c r="F52" s="23">
        <v>12200.0</v>
      </c>
      <c r="G52" s="24" t="str">
        <f>IFERROR(__xludf.DUMMYFUNCTION("REGEXEXTRACT(C52, ""ک\s(\d{16})"")"),"6219861085979838")</f>
        <v>6219861085979838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25.5" customHeight="1">
      <c r="A53" s="19">
        <v>52.0</v>
      </c>
      <c r="B53" s="19" t="s">
        <v>183</v>
      </c>
      <c r="C53" s="21" t="s">
        <v>185</v>
      </c>
      <c r="D53" s="21" t="str">
        <f>VLOOKUP(G53, Cards!A:B, 2, FALSE)</f>
        <v>#N/A</v>
      </c>
      <c r="E53" s="22">
        <v>1.3E8</v>
      </c>
      <c r="F53" s="23">
        <v>0.0</v>
      </c>
      <c r="G53" s="24" t="str">
        <f>IFERROR(__xludf.DUMMYFUNCTION("REGEXEXTRACT(C53, ""ک\s(\d{16})"")"),"#N/A")</f>
        <v>#N/A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25.5" customHeight="1">
      <c r="A54" s="19">
        <v>53.0</v>
      </c>
      <c r="B54" s="19" t="s">
        <v>183</v>
      </c>
      <c r="C54" s="21" t="s">
        <v>189</v>
      </c>
      <c r="D54" s="21" t="str">
        <f>VLOOKUP(G54, Cards!A:B, 2, FALSE)</f>
        <v>#N/A</v>
      </c>
      <c r="E54" s="22">
        <v>4.2E7</v>
      </c>
      <c r="F54" s="23">
        <v>0.0</v>
      </c>
      <c r="G54" s="24" t="str">
        <f>IFERROR(__xludf.DUMMYFUNCTION("REGEXEXTRACT(C54, ""ک\s(\d{16})"")"),"#N/A")</f>
        <v>#N/A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25.5" customHeight="1">
      <c r="A55" s="19">
        <v>54.0</v>
      </c>
      <c r="B55" s="19" t="s">
        <v>183</v>
      </c>
      <c r="C55" s="21" t="s">
        <v>193</v>
      </c>
      <c r="D55" s="21" t="str">
        <f>VLOOKUP(G55, Cards!A:B, 2, FALSE)</f>
        <v>#N/A</v>
      </c>
      <c r="E55" s="22">
        <v>0.0</v>
      </c>
      <c r="F55" s="23">
        <v>2.3E7</v>
      </c>
      <c r="G55" s="24" t="str">
        <f>IFERROR(__xludf.DUMMYFUNCTION("REGEXEXTRACT(C55, ""ک\s(\d{16})"")"),"6219861085979838")</f>
        <v>6219861085979838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25.5" customHeight="1">
      <c r="A56" s="19">
        <v>55.0</v>
      </c>
      <c r="B56" s="19" t="s">
        <v>183</v>
      </c>
      <c r="C56" s="21" t="s">
        <v>196</v>
      </c>
      <c r="D56" s="21" t="str">
        <f>VLOOKUP(G56, Cards!A:B, 2, FALSE)</f>
        <v>#N/A</v>
      </c>
      <c r="E56" s="22">
        <v>0.0</v>
      </c>
      <c r="F56" s="23">
        <v>3.0E7</v>
      </c>
      <c r="G56" s="24" t="str">
        <f>IFERROR(__xludf.DUMMYFUNCTION("REGEXEXTRACT(C56, ""ک\s(\d{16})"")"),"6219861083639228")</f>
        <v>6219861083639228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25.5" customHeight="1">
      <c r="A57" s="19">
        <v>56.0</v>
      </c>
      <c r="B57" s="19" t="s">
        <v>183</v>
      </c>
      <c r="C57" s="21" t="s">
        <v>199</v>
      </c>
      <c r="D57" s="21" t="str">
        <f>VLOOKUP(G57, Cards!A:B, 2, FALSE)</f>
        <v>#N/A</v>
      </c>
      <c r="E57" s="22">
        <v>0.0</v>
      </c>
      <c r="F57" s="23">
        <v>3.93E7</v>
      </c>
      <c r="G57" s="24" t="str">
        <f>IFERROR(__xludf.DUMMYFUNCTION("REGEXEXTRACT(C57, ""ک\s(\d{16})"")"),"6104337394688681")</f>
        <v>6104337394688681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25.5" customHeight="1">
      <c r="A58" s="19">
        <v>57.0</v>
      </c>
      <c r="B58" s="19" t="s">
        <v>183</v>
      </c>
      <c r="C58" s="21" t="s">
        <v>201</v>
      </c>
      <c r="D58" s="21" t="str">
        <f>VLOOKUP(G58, Cards!A:B, 2, FALSE)</f>
        <v>#N/A</v>
      </c>
      <c r="E58" s="22">
        <v>0.0</v>
      </c>
      <c r="F58" s="23">
        <v>18600.0</v>
      </c>
      <c r="G58" s="24" t="str">
        <f>IFERROR(__xludf.DUMMYFUNCTION("REGEXEXTRACT(C58, ""ک\s(\d{16})"")"),"6219861085979838")</f>
        <v>6219861085979838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25.5" customHeight="1">
      <c r="A59" s="19">
        <v>58.0</v>
      </c>
      <c r="B59" s="19" t="s">
        <v>183</v>
      </c>
      <c r="C59" s="21" t="s">
        <v>203</v>
      </c>
      <c r="D59" s="21" t="str">
        <f>VLOOKUP(G59, Cards!A:B, 2, FALSE)</f>
        <v>#N/A</v>
      </c>
      <c r="E59" s="22">
        <v>0.0</v>
      </c>
      <c r="F59" s="23">
        <v>500000.0</v>
      </c>
      <c r="G59" s="24" t="str">
        <f>IFERROR(__xludf.DUMMYFUNCTION("REGEXEXTRACT(C59, ""ک\s(\d{16})"")"),"6219861085979838")</f>
        <v>6219861085979838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25.5" customHeight="1">
      <c r="A60" s="19">
        <v>59.0</v>
      </c>
      <c r="B60" s="19" t="s">
        <v>183</v>
      </c>
      <c r="C60" s="21" t="s">
        <v>206</v>
      </c>
      <c r="D60" s="21" t="str">
        <f>VLOOKUP(G60, Cards!A:B, 2, FALSE)</f>
        <v>#N/A</v>
      </c>
      <c r="E60" s="22">
        <v>0.0</v>
      </c>
      <c r="F60" s="23">
        <v>7800000.0</v>
      </c>
      <c r="G60" s="24" t="str">
        <f>IFERROR(__xludf.DUMMYFUNCTION("REGEXEXTRACT(C60, ""ک\s(\d{16})"")"),"6219861085979838")</f>
        <v>6219861085979838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25.5" customHeight="1">
      <c r="A61" s="19">
        <v>60.0</v>
      </c>
      <c r="B61" s="19" t="s">
        <v>183</v>
      </c>
      <c r="C61" s="21" t="s">
        <v>209</v>
      </c>
      <c r="D61" s="21" t="str">
        <f>VLOOKUP(G61, Cards!A:B, 2, FALSE)</f>
        <v>#N/A</v>
      </c>
      <c r="E61" s="22">
        <v>1200000.0</v>
      </c>
      <c r="F61" s="23">
        <v>0.0</v>
      </c>
      <c r="G61" s="24" t="str">
        <f>IFERROR(__xludf.DUMMYFUNCTION("REGEXEXTRACT(C61, ""ک\s(\d{16})"")"),"5859831193602801")</f>
        <v>5859831193602801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25.5" customHeight="1">
      <c r="A62" s="19">
        <v>61.0</v>
      </c>
      <c r="B62" s="19" t="s">
        <v>183</v>
      </c>
      <c r="C62" s="21" t="s">
        <v>212</v>
      </c>
      <c r="D62" s="21" t="str">
        <f>VLOOKUP(G62, Cards!A:B, 2, FALSE)</f>
        <v>#N/A</v>
      </c>
      <c r="E62" s="22">
        <v>0.0</v>
      </c>
      <c r="F62" s="23">
        <v>1800.0</v>
      </c>
      <c r="G62" s="24" t="str">
        <f>IFERROR(__xludf.DUMMYFUNCTION("REGEXEXTRACT(C62, ""ک\s(\d{16})"")"),"6219861085979838")</f>
        <v>6219861085979838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25.5" customHeight="1">
      <c r="A63" s="19">
        <v>62.0</v>
      </c>
      <c r="B63" s="19" t="s">
        <v>183</v>
      </c>
      <c r="C63" s="21" t="s">
        <v>215</v>
      </c>
      <c r="D63" s="21" t="str">
        <f>VLOOKUP(G63, Cards!A:B, 2, FALSE)</f>
        <v>#N/A</v>
      </c>
      <c r="E63" s="22">
        <v>0.0</v>
      </c>
      <c r="F63" s="23">
        <v>2.07718E7</v>
      </c>
      <c r="G63" s="24" t="str">
        <f>IFERROR(__xludf.DUMMYFUNCTION("REGEXEXTRACT(C63, ""ک\s(\d{16})"")"),"6104338738476148")</f>
        <v>6104338738476148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25.5" customHeight="1">
      <c r="A64" s="19">
        <v>63.0</v>
      </c>
      <c r="B64" s="19" t="s">
        <v>183</v>
      </c>
      <c r="C64" s="21" t="s">
        <v>217</v>
      </c>
      <c r="D64" s="21" t="str">
        <f>VLOOKUP(G64, Cards!A:B, 2, FALSE)</f>
        <v>#N/A</v>
      </c>
      <c r="E64" s="22">
        <v>0.0</v>
      </c>
      <c r="F64" s="23">
        <v>15400.0</v>
      </c>
      <c r="G64" s="24" t="str">
        <f>IFERROR(__xludf.DUMMYFUNCTION("REGEXEXTRACT(C64, ""ک\s(\d{16})"")"),"6219861085979838")</f>
        <v>6219861085979838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25.5" customHeight="1">
      <c r="A65" s="19">
        <v>64.0</v>
      </c>
      <c r="B65" s="19" t="s">
        <v>183</v>
      </c>
      <c r="C65" s="21" t="s">
        <v>219</v>
      </c>
      <c r="D65" s="21" t="str">
        <f>VLOOKUP(G65, Cards!A:B, 2, FALSE)</f>
        <v>#N/A</v>
      </c>
      <c r="E65" s="22">
        <v>0.0</v>
      </c>
      <c r="F65" s="23">
        <v>2.5E7</v>
      </c>
      <c r="G65" s="24" t="str">
        <f>IFERROR(__xludf.DUMMYFUNCTION("REGEXEXTRACT(C65, ""ک\s(\d{16})"")"),"6277601326432075")</f>
        <v>6277601326432075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25.5" customHeight="1">
      <c r="A66" s="19">
        <v>65.0</v>
      </c>
      <c r="B66" s="19" t="s">
        <v>183</v>
      </c>
      <c r="C66" s="21" t="s">
        <v>221</v>
      </c>
      <c r="D66" s="21" t="str">
        <f>VLOOKUP(G66, Cards!A:B, 2, FALSE)</f>
        <v>#N/A</v>
      </c>
      <c r="E66" s="22">
        <v>0.0</v>
      </c>
      <c r="F66" s="23">
        <v>15400.0</v>
      </c>
      <c r="G66" s="24" t="str">
        <f>IFERROR(__xludf.DUMMYFUNCTION("REGEXEXTRACT(C66, ""ک\s(\d{16})"")"),"6219861085979838")</f>
        <v>6219861085979838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25.5" customHeight="1">
      <c r="A67" s="19">
        <v>66.0</v>
      </c>
      <c r="B67" s="19" t="s">
        <v>222</v>
      </c>
      <c r="C67" s="21" t="s">
        <v>225</v>
      </c>
      <c r="D67" s="21" t="str">
        <f>VLOOKUP(G67, Cards!A:B, 2, FALSE)</f>
        <v>#N/A</v>
      </c>
      <c r="E67" s="22">
        <v>1016.0</v>
      </c>
      <c r="F67" s="23">
        <v>0.0</v>
      </c>
      <c r="G67" s="24" t="str">
        <f>IFERROR(__xludf.DUMMYFUNCTION("REGEXEXTRACT(C67, ""ک\s(\d{16})"")"),"#N/A")</f>
        <v>#N/A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25.5" customHeight="1">
      <c r="A68" s="19">
        <v>67.0</v>
      </c>
      <c r="B68" s="19" t="s">
        <v>222</v>
      </c>
      <c r="C68" s="21" t="s">
        <v>228</v>
      </c>
      <c r="D68" s="21" t="str">
        <f>VLOOKUP(G68, Cards!A:B, 2, FALSE)</f>
        <v>#N/A</v>
      </c>
      <c r="E68" s="22">
        <v>1.27E8</v>
      </c>
      <c r="F68" s="23">
        <v>0.0</v>
      </c>
      <c r="G68" s="24" t="str">
        <f>IFERROR(__xludf.DUMMYFUNCTION("REGEXEXTRACT(C68, ""ک\s(\d{16})"")"),"#N/A")</f>
        <v>#N/A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25.5" customHeight="1">
      <c r="A69" s="19">
        <v>68.0</v>
      </c>
      <c r="B69" s="19" t="s">
        <v>231</v>
      </c>
      <c r="C69" s="21" t="s">
        <v>233</v>
      </c>
      <c r="D69" s="21" t="str">
        <f>VLOOKUP(G69, Cards!A:B, 2, FALSE)</f>
        <v>#N/A</v>
      </c>
      <c r="E69" s="22">
        <v>800000.0</v>
      </c>
      <c r="F69" s="23">
        <v>0.0</v>
      </c>
      <c r="G69" s="24" t="str">
        <f>IFERROR(__xludf.DUMMYFUNCTION("REGEXEXTRACT(C69, ""ک\s(\d{16})"")"),"6037998219892063")</f>
        <v>6037998219892063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25.5" customHeight="1">
      <c r="A70" s="19">
        <v>69.0</v>
      </c>
      <c r="B70" s="19" t="s">
        <v>231</v>
      </c>
      <c r="C70" s="21" t="s">
        <v>236</v>
      </c>
      <c r="D70" s="21" t="str">
        <f>VLOOKUP(G70, Cards!A:B, 2, FALSE)</f>
        <v>#N/A</v>
      </c>
      <c r="E70" s="22">
        <v>0.0</v>
      </c>
      <c r="F70" s="23">
        <v>1.56E7</v>
      </c>
      <c r="G70" s="24" t="str">
        <f>IFERROR(__xludf.DUMMYFUNCTION("REGEXEXTRACT(C70, ""ک\s(\d{16})"")"),"6219861085979838")</f>
        <v>6219861085979838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25.5" customHeight="1">
      <c r="A71" s="19">
        <v>70.0</v>
      </c>
      <c r="B71" s="19" t="s">
        <v>231</v>
      </c>
      <c r="C71" s="21" t="s">
        <v>239</v>
      </c>
      <c r="D71" s="21" t="str">
        <f>VLOOKUP(G71, Cards!A:B, 2, FALSE)</f>
        <v>#N/A</v>
      </c>
      <c r="E71" s="22">
        <v>1100000.0</v>
      </c>
      <c r="F71" s="23">
        <v>0.0</v>
      </c>
      <c r="G71" s="24" t="str">
        <f>IFERROR(__xludf.DUMMYFUNCTION("REGEXEXTRACT(C71, ""ک\s(\d{16})"")"),"6063731229099057")</f>
        <v>6063731229099057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25.5" customHeight="1">
      <c r="A72" s="19">
        <v>71.0</v>
      </c>
      <c r="B72" s="19" t="s">
        <v>231</v>
      </c>
      <c r="C72" s="21" t="s">
        <v>242</v>
      </c>
      <c r="D72" s="21" t="str">
        <f>VLOOKUP(G72, Cards!A:B, 2, FALSE)</f>
        <v>#N/A</v>
      </c>
      <c r="E72" s="22">
        <v>0.0</v>
      </c>
      <c r="F72" s="23">
        <v>6700000.0</v>
      </c>
      <c r="G72" s="24" t="str">
        <f>IFERROR(__xludf.DUMMYFUNCTION("REGEXEXTRACT(C72, ""ک\s(\d{16})"")"),"6219861085979838")</f>
        <v>6219861085979838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25.5" customHeight="1">
      <c r="A73" s="19">
        <v>72.0</v>
      </c>
      <c r="B73" s="19" t="s">
        <v>231</v>
      </c>
      <c r="C73" s="21" t="s">
        <v>245</v>
      </c>
      <c r="D73" s="21" t="str">
        <f>VLOOKUP(G73, Cards!A:B, 2, FALSE)</f>
        <v>#N/A</v>
      </c>
      <c r="E73" s="22">
        <v>1200000.0</v>
      </c>
      <c r="F73" s="23">
        <v>0.0</v>
      </c>
      <c r="G73" s="24" t="str">
        <f>IFERROR(__xludf.DUMMYFUNCTION("REGEXEXTRACT(C73, ""ک\s(\d{16})"")"),"6037991942363080")</f>
        <v>6037991942363080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25.5" customHeight="1">
      <c r="A74" s="19">
        <v>73.0</v>
      </c>
      <c r="B74" s="19" t="s">
        <v>231</v>
      </c>
      <c r="C74" s="21" t="s">
        <v>248</v>
      </c>
      <c r="D74" s="39" t="str">
        <f>VLOOKUP(G74, Cards!A:B, 2, FALSE)</f>
        <v>محسن خانگاه</v>
      </c>
      <c r="E74" s="22">
        <v>0.0</v>
      </c>
      <c r="F74" s="23">
        <v>6.17E7</v>
      </c>
      <c r="G74" s="24" t="str">
        <f>IFERROR(__xludf.DUMMYFUNCTION("REGEXEXTRACT(C74, ""ک\s(\d{16})"")"),"6274121208660688")</f>
        <v>6274121208660688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25.5" customHeight="1">
      <c r="A75" s="19">
        <v>74.0</v>
      </c>
      <c r="B75" s="19" t="s">
        <v>231</v>
      </c>
      <c r="C75" s="21" t="s">
        <v>250</v>
      </c>
      <c r="D75" s="21" t="str">
        <f>VLOOKUP(G75, Cards!A:B, 2, FALSE)</f>
        <v>#N/A</v>
      </c>
      <c r="E75" s="22">
        <v>0.0</v>
      </c>
      <c r="F75" s="23">
        <v>28200.0</v>
      </c>
      <c r="G75" s="24" t="str">
        <f>IFERROR(__xludf.DUMMYFUNCTION("REGEXEXTRACT(C75, ""ک\s(\d{16})"")"),"6219861085979838")</f>
        <v>6219861085979838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25.5" customHeight="1">
      <c r="A76" s="19">
        <v>75.0</v>
      </c>
      <c r="B76" s="19" t="s">
        <v>231</v>
      </c>
      <c r="C76" s="21" t="s">
        <v>252</v>
      </c>
      <c r="D76" s="21" t="str">
        <f>VLOOKUP(G76, Cards!A:B, 2, FALSE)</f>
        <v>#N/A</v>
      </c>
      <c r="E76" s="22">
        <v>0.0</v>
      </c>
      <c r="F76" s="23">
        <v>2.08384E7</v>
      </c>
      <c r="G76" s="24" t="str">
        <f>IFERROR(__xludf.DUMMYFUNCTION("REGEXEXTRACT(C76, ""ک\s(\d{16})"")"),"6104338738476148")</f>
        <v>6104338738476148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25.5" customHeight="1">
      <c r="A77" s="19">
        <v>76.0</v>
      </c>
      <c r="B77" s="19" t="s">
        <v>231</v>
      </c>
      <c r="C77" s="21" t="s">
        <v>254</v>
      </c>
      <c r="D77" s="21" t="str">
        <f>VLOOKUP(G77, Cards!A:B, 2, FALSE)</f>
        <v>#N/A</v>
      </c>
      <c r="E77" s="22">
        <v>0.0</v>
      </c>
      <c r="F77" s="23">
        <v>15400.0</v>
      </c>
      <c r="G77" s="24" t="str">
        <f>IFERROR(__xludf.DUMMYFUNCTION("REGEXEXTRACT(C77, ""ک\s(\d{16})"")"),"6219861085979838")</f>
        <v>6219861085979838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25.5" customHeight="1">
      <c r="A78" s="19">
        <v>77.0</v>
      </c>
      <c r="B78" s="19" t="s">
        <v>231</v>
      </c>
      <c r="C78" s="21" t="s">
        <v>256</v>
      </c>
      <c r="D78" s="21" t="str">
        <f>VLOOKUP(G78, Cards!A:B, 2, FALSE)</f>
        <v>#N/A</v>
      </c>
      <c r="E78" s="22">
        <v>0.0</v>
      </c>
      <c r="F78" s="23">
        <v>1800.0</v>
      </c>
      <c r="G78" s="24" t="str">
        <f>IFERROR(__xludf.DUMMYFUNCTION("REGEXEXTRACT(C78, ""ک\s(\d{16})"")"),"6219861085979838")</f>
        <v>6219861085979838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25.5" customHeight="1">
      <c r="A79" s="19">
        <v>78.0</v>
      </c>
      <c r="B79" s="19" t="s">
        <v>231</v>
      </c>
      <c r="C79" s="21" t="s">
        <v>259</v>
      </c>
      <c r="D79" s="21" t="str">
        <f>VLOOKUP(G79, Cards!A:B, 2, FALSE)</f>
        <v>#N/A</v>
      </c>
      <c r="E79" s="22">
        <v>1700000.0</v>
      </c>
      <c r="F79" s="23">
        <v>0.0</v>
      </c>
      <c r="G79" s="24" t="str">
        <f>IFERROR(__xludf.DUMMYFUNCTION("REGEXEXTRACT(C79, ""ک\s(\d{16})"")"),"6037691590153474")</f>
        <v>6037691590153474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25.5" customHeight="1">
      <c r="A80" s="19">
        <v>79.0</v>
      </c>
      <c r="B80" s="19" t="s">
        <v>231</v>
      </c>
      <c r="C80" s="21" t="s">
        <v>262</v>
      </c>
      <c r="D80" s="21" t="str">
        <f>VLOOKUP(G80, Cards!A:B, 2, FALSE)</f>
        <v>#N/A</v>
      </c>
      <c r="E80" s="22">
        <v>400000.0</v>
      </c>
      <c r="F80" s="23">
        <v>0.0</v>
      </c>
      <c r="G80" s="24" t="str">
        <f>IFERROR(__xludf.DUMMYFUNCTION("REGEXEXTRACT(C80, ""ک\s(\d{16})"")"),"6037691590153474")</f>
        <v>6037691590153474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25.5" customHeight="1">
      <c r="A81" s="19">
        <v>80.0</v>
      </c>
      <c r="B81" s="19" t="s">
        <v>231</v>
      </c>
      <c r="C81" s="21" t="s">
        <v>265</v>
      </c>
      <c r="D81" s="21" t="str">
        <f>VLOOKUP(G81, Cards!A:B, 2, FALSE)</f>
        <v>#N/A</v>
      </c>
      <c r="E81" s="22">
        <v>550000.0</v>
      </c>
      <c r="F81" s="23">
        <v>0.0</v>
      </c>
      <c r="G81" s="24" t="str">
        <f>IFERROR(__xludf.DUMMYFUNCTION("REGEXEXTRACT(C81, ""ک\s(\d{16})"")"),"6037998237030795")</f>
        <v>6037998237030795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25.5" customHeight="1">
      <c r="A82" s="19">
        <v>81.0</v>
      </c>
      <c r="B82" s="19" t="s">
        <v>231</v>
      </c>
      <c r="C82" s="21" t="s">
        <v>268</v>
      </c>
      <c r="D82" s="21" t="str">
        <f>VLOOKUP(G82, Cards!A:B, 2, FALSE)</f>
        <v>#N/A</v>
      </c>
      <c r="E82" s="22">
        <v>250000.0</v>
      </c>
      <c r="F82" s="23">
        <v>0.0</v>
      </c>
      <c r="G82" s="24" t="str">
        <f>IFERROR(__xludf.DUMMYFUNCTION("REGEXEXTRACT(C82, ""ک\s(\d{16})"")"),"5859831190634039")</f>
        <v>5859831190634039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25.5" customHeight="1">
      <c r="A83" s="19">
        <v>82.0</v>
      </c>
      <c r="B83" s="19" t="s">
        <v>270</v>
      </c>
      <c r="C83" s="21" t="s">
        <v>272</v>
      </c>
      <c r="D83" s="21" t="str">
        <f>VLOOKUP(G83, Cards!A:B, 2, FALSE)</f>
        <v>#N/A</v>
      </c>
      <c r="E83" s="22">
        <v>8.0E7</v>
      </c>
      <c r="F83" s="23">
        <v>0.0</v>
      </c>
      <c r="G83" s="24" t="str">
        <f>IFERROR(__xludf.DUMMYFUNCTION("REGEXEXTRACT(C83, ""ک\s(\d{16})"")"),"#N/A")</f>
        <v>#N/A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25.5" customHeight="1">
      <c r="A84" s="19">
        <v>83.0</v>
      </c>
      <c r="B84" s="19" t="s">
        <v>270</v>
      </c>
      <c r="C84" s="21" t="s">
        <v>276</v>
      </c>
      <c r="D84" s="21" t="str">
        <f>VLOOKUP(G84, Cards!A:B, 2, FALSE)</f>
        <v>#N/A</v>
      </c>
      <c r="E84" s="22">
        <v>7.4E7</v>
      </c>
      <c r="F84" s="23">
        <v>0.0</v>
      </c>
      <c r="G84" s="24" t="str">
        <f>IFERROR(__xludf.DUMMYFUNCTION("REGEXEXTRACT(C84, ""ک\s(\d{16})"")"),"#N/A")</f>
        <v>#N/A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25.5" customHeight="1">
      <c r="A85" s="19">
        <v>84.0</v>
      </c>
      <c r="B85" s="19" t="s">
        <v>270</v>
      </c>
      <c r="C85" s="21" t="s">
        <v>280</v>
      </c>
      <c r="D85" s="21" t="str">
        <f>VLOOKUP(G85, Cards!A:B, 2, FALSE)</f>
        <v>#N/A</v>
      </c>
      <c r="E85" s="22">
        <v>850000.0</v>
      </c>
      <c r="F85" s="23">
        <v>0.0</v>
      </c>
      <c r="G85" s="24" t="str">
        <f>IFERROR(__xludf.DUMMYFUNCTION("REGEXEXTRACT(C85, ""ک\s(\d{16})"")"),"6037997435518122")</f>
        <v>6037997435518122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25.5" customHeight="1">
      <c r="A86" s="19">
        <v>85.0</v>
      </c>
      <c r="B86" s="19" t="s">
        <v>270</v>
      </c>
      <c r="C86" s="21" t="s">
        <v>283</v>
      </c>
      <c r="D86" s="21" t="str">
        <f>VLOOKUP(G86, Cards!A:B, 2, FALSE)</f>
        <v>#N/A</v>
      </c>
      <c r="E86" s="22">
        <v>1100000.0</v>
      </c>
      <c r="F86" s="23">
        <v>0.0</v>
      </c>
      <c r="G86" s="24" t="str">
        <f>IFERROR(__xludf.DUMMYFUNCTION("REGEXEXTRACT(C86, ""ک\s(\d{16})"")"),"5022291559010713")</f>
        <v>5022291559010713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25.5" customHeight="1">
      <c r="A87" s="19">
        <v>86.0</v>
      </c>
      <c r="B87" s="19" t="s">
        <v>270</v>
      </c>
      <c r="C87" s="21" t="s">
        <v>286</v>
      </c>
      <c r="D87" s="21" t="str">
        <f>VLOOKUP(G87, Cards!A:B, 2, FALSE)</f>
        <v>#N/A</v>
      </c>
      <c r="E87" s="22">
        <v>0.0</v>
      </c>
      <c r="F87" s="23">
        <v>1.05E8</v>
      </c>
      <c r="G87" s="24" t="str">
        <f>IFERROR(__xludf.DUMMYFUNCTION("REGEXEXTRACT(C87, ""ک\s(\d{16})"")"),"#N/A")</f>
        <v>#N/A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25.5" customHeight="1">
      <c r="A88" s="19">
        <v>87.0</v>
      </c>
      <c r="B88" s="19" t="s">
        <v>270</v>
      </c>
      <c r="C88" s="21" t="s">
        <v>290</v>
      </c>
      <c r="D88" s="21" t="str">
        <f>VLOOKUP(G88, Cards!A:B, 2, FALSE)</f>
        <v>#N/A</v>
      </c>
      <c r="E88" s="22">
        <v>0.0</v>
      </c>
      <c r="F88" s="23">
        <v>1.56E7</v>
      </c>
      <c r="G88" s="24" t="str">
        <f>IFERROR(__xludf.DUMMYFUNCTION("REGEXEXTRACT(C88, ""ک\s(\d{16})"")"),"6219861085979838")</f>
        <v>6219861085979838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25.5" customHeight="1">
      <c r="A89" s="19">
        <v>88.0</v>
      </c>
      <c r="B89" s="19" t="s">
        <v>270</v>
      </c>
      <c r="C89" s="21" t="s">
        <v>293</v>
      </c>
      <c r="D89" s="21" t="str">
        <f>VLOOKUP(G89, Cards!A:B, 2, FALSE)</f>
        <v>#N/A</v>
      </c>
      <c r="E89" s="22">
        <v>550000.0</v>
      </c>
      <c r="F89" s="23">
        <v>0.0</v>
      </c>
      <c r="G89" s="24" t="str">
        <f>IFERROR(__xludf.DUMMYFUNCTION("REGEXEXTRACT(C89, ""ک\s(\d{16})"")"),"5022291587757657")</f>
        <v>5022291587757657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25.5" customHeight="1">
      <c r="A90" s="19">
        <v>89.0</v>
      </c>
      <c r="B90" s="19" t="s">
        <v>270</v>
      </c>
      <c r="C90" s="21" t="s">
        <v>296</v>
      </c>
      <c r="D90" s="21" t="str">
        <f>VLOOKUP(G90, Cards!A:B, 2, FALSE)</f>
        <v>#N/A</v>
      </c>
      <c r="E90" s="22">
        <v>0.0</v>
      </c>
      <c r="F90" s="23">
        <v>1800.0</v>
      </c>
      <c r="G90" s="24" t="str">
        <f>IFERROR(__xludf.DUMMYFUNCTION("REGEXEXTRACT(C90, ""ک\s(\d{16})"")"),"6219861085979838")</f>
        <v>6219861085979838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25.5" customHeight="1">
      <c r="A91" s="19">
        <v>90.0</v>
      </c>
      <c r="B91" s="19" t="s">
        <v>270</v>
      </c>
      <c r="C91" s="21" t="s">
        <v>299</v>
      </c>
      <c r="D91" s="39" t="str">
        <f>VLOOKUP(G91, Cards!A:B, 2, FALSE)</f>
        <v>محسن خانگاه</v>
      </c>
      <c r="E91" s="22">
        <v>0.0</v>
      </c>
      <c r="F91" s="23">
        <v>5.333E7</v>
      </c>
      <c r="G91" s="24" t="str">
        <f>IFERROR(__xludf.DUMMYFUNCTION("REGEXEXTRACT(C91, ""ک\s(\d{16})"")"),"6274121208660688")</f>
        <v>6274121208660688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25.5" customHeight="1">
      <c r="A92" s="19">
        <v>91.0</v>
      </c>
      <c r="B92" s="19" t="s">
        <v>270</v>
      </c>
      <c r="C92" s="21" t="s">
        <v>301</v>
      </c>
      <c r="D92" s="21" t="str">
        <f>VLOOKUP(G92, Cards!A:B, 2, FALSE)</f>
        <v>#N/A</v>
      </c>
      <c r="E92" s="22">
        <v>0.0</v>
      </c>
      <c r="F92" s="23">
        <v>25000.0</v>
      </c>
      <c r="G92" s="24" t="str">
        <f>IFERROR(__xludf.DUMMYFUNCTION("REGEXEXTRACT(C92, ""ک\s(\d{16})"")"),"6219861085979838")</f>
        <v>6219861085979838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25.5" customHeight="1">
      <c r="A93" s="19">
        <v>92.0</v>
      </c>
      <c r="B93" s="19" t="s">
        <v>270</v>
      </c>
      <c r="C93" s="21" t="s">
        <v>303</v>
      </c>
      <c r="D93" s="21" t="str">
        <f>VLOOKUP(G93, Cards!A:B, 2, FALSE)</f>
        <v>#N/A</v>
      </c>
      <c r="E93" s="22">
        <v>0.0</v>
      </c>
      <c r="F93" s="23">
        <v>2.02353E7</v>
      </c>
      <c r="G93" s="24" t="str">
        <f>IFERROR(__xludf.DUMMYFUNCTION("REGEXEXTRACT(C93, ""ک\s(\d{16})"")"),"6104338738476148")</f>
        <v>6104338738476148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25.5" customHeight="1">
      <c r="A94" s="19">
        <v>93.0</v>
      </c>
      <c r="B94" s="19" t="s">
        <v>270</v>
      </c>
      <c r="C94" s="21" t="s">
        <v>305</v>
      </c>
      <c r="D94" s="21" t="str">
        <f>VLOOKUP(G94, Cards!A:B, 2, FALSE)</f>
        <v>#N/A</v>
      </c>
      <c r="E94" s="22">
        <v>0.0</v>
      </c>
      <c r="F94" s="23">
        <v>15400.0</v>
      </c>
      <c r="G94" s="24" t="str">
        <f>IFERROR(__xludf.DUMMYFUNCTION("REGEXEXTRACT(C94, ""ک\s(\d{16})"")"),"6219861085979838")</f>
        <v>6219861085979838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25.5" customHeight="1">
      <c r="A95" s="19">
        <v>94.0</v>
      </c>
      <c r="B95" s="19" t="s">
        <v>270</v>
      </c>
      <c r="C95" s="21" t="s">
        <v>307</v>
      </c>
      <c r="D95" s="21" t="str">
        <f>VLOOKUP(G95, Cards!A:B, 2, FALSE)</f>
        <v>#N/A</v>
      </c>
      <c r="E95" s="22">
        <v>0.0</v>
      </c>
      <c r="F95" s="23">
        <v>2.289E7</v>
      </c>
      <c r="G95" s="24" t="str">
        <f>IFERROR(__xludf.DUMMYFUNCTION("REGEXEXTRACT(C95, ""ک\s(\d{16})"")"),"5894631178646402")</f>
        <v>5894631178646402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25.5" customHeight="1">
      <c r="A96" s="19">
        <v>95.0</v>
      </c>
      <c r="B96" s="19" t="s">
        <v>270</v>
      </c>
      <c r="C96" s="21" t="s">
        <v>309</v>
      </c>
      <c r="D96" s="21" t="str">
        <f>VLOOKUP(G96, Cards!A:B, 2, FALSE)</f>
        <v>#N/A</v>
      </c>
      <c r="E96" s="22">
        <v>0.0</v>
      </c>
      <c r="F96" s="23">
        <v>15400.0</v>
      </c>
      <c r="G96" s="24" t="str">
        <f>IFERROR(__xludf.DUMMYFUNCTION("REGEXEXTRACT(C96, ""ک\s(\d{16})"")"),"6219861085979838")</f>
        <v>6219861085979838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25.5" customHeight="1">
      <c r="A97" s="19">
        <v>96.0</v>
      </c>
      <c r="B97" s="19" t="s">
        <v>310</v>
      </c>
      <c r="C97" s="21" t="s">
        <v>312</v>
      </c>
      <c r="D97" s="21" t="str">
        <f>VLOOKUP(G97, Cards!A:B, 2, FALSE)</f>
        <v>#N/A</v>
      </c>
      <c r="E97" s="22">
        <v>1.42E8</v>
      </c>
      <c r="F97" s="23">
        <v>0.0</v>
      </c>
      <c r="G97" s="24" t="str">
        <f>IFERROR(__xludf.DUMMYFUNCTION("REGEXEXTRACT(C97, ""ک\s(\d{16})"")"),"#N/A")</f>
        <v>#N/A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25.5" customHeight="1">
      <c r="A98" s="19">
        <v>97.0</v>
      </c>
      <c r="B98" s="19" t="s">
        <v>315</v>
      </c>
      <c r="C98" s="21" t="s">
        <v>317</v>
      </c>
      <c r="D98" s="21" t="str">
        <f>VLOOKUP(G98, Cards!A:B, 2, FALSE)</f>
        <v>#N/A</v>
      </c>
      <c r="E98" s="22">
        <v>0.0</v>
      </c>
      <c r="F98" s="23">
        <v>45000.0</v>
      </c>
      <c r="G98" s="24" t="str">
        <f>IFERROR(__xludf.DUMMYFUNCTION("REGEXEXTRACT(C98, ""ک\s(\d{16})"")"),"6219861085979838")</f>
        <v>6219861085979838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25.5" customHeight="1">
      <c r="A99" s="19">
        <v>98.0</v>
      </c>
      <c r="B99" s="19" t="s">
        <v>315</v>
      </c>
      <c r="C99" s="21" t="s">
        <v>320</v>
      </c>
      <c r="D99" s="21" t="str">
        <f>VLOOKUP(G99, Cards!A:B, 2, FALSE)</f>
        <v>#N/A</v>
      </c>
      <c r="E99" s="22">
        <v>0.0</v>
      </c>
      <c r="F99" s="23">
        <v>15000.0</v>
      </c>
      <c r="G99" s="24" t="str">
        <f>IFERROR(__xludf.DUMMYFUNCTION("REGEXEXTRACT(C99, ""ک\s(\d{16})"")"),"6219861085979838")</f>
        <v>6219861085979838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25.5" customHeight="1">
      <c r="A100" s="19">
        <v>99.0</v>
      </c>
      <c r="B100" s="19" t="s">
        <v>315</v>
      </c>
      <c r="C100" s="21" t="s">
        <v>323</v>
      </c>
      <c r="D100" s="21" t="str">
        <f>VLOOKUP(G100, Cards!A:B, 2, FALSE)</f>
        <v>#N/A</v>
      </c>
      <c r="E100" s="22">
        <v>500000.0</v>
      </c>
      <c r="F100" s="23">
        <v>0.0</v>
      </c>
      <c r="G100" s="24" t="str">
        <f>IFERROR(__xludf.DUMMYFUNCTION("REGEXEXTRACT(C100, ""ک\s(\d{16})"")"),"6219861805826798")</f>
        <v>6219861805826798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25.5" customHeight="1">
      <c r="A101" s="19">
        <v>100.0</v>
      </c>
      <c r="B101" s="19" t="s">
        <v>315</v>
      </c>
      <c r="C101" s="21" t="s">
        <v>326</v>
      </c>
      <c r="D101" s="39" t="str">
        <f>VLOOKUP(G101, Cards!A:B, 2, FALSE)</f>
        <v>محمد کوچکي</v>
      </c>
      <c r="E101" s="22">
        <v>0.0</v>
      </c>
      <c r="F101" s="23">
        <v>1.56E7</v>
      </c>
      <c r="G101" s="24" t="str">
        <f>IFERROR(__xludf.DUMMYFUNCTION("REGEXEXTRACT(C101, ""ک\s(\d{16})"")"),"6037697600840968")</f>
        <v>6037697600840968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25.5" customHeight="1">
      <c r="A102" s="19">
        <v>101.0</v>
      </c>
      <c r="B102" s="19" t="s">
        <v>315</v>
      </c>
      <c r="C102" s="21" t="s">
        <v>328</v>
      </c>
      <c r="D102" s="21" t="str">
        <f>VLOOKUP(G102, Cards!A:B, 2, FALSE)</f>
        <v>#N/A</v>
      </c>
      <c r="E102" s="22">
        <v>0.0</v>
      </c>
      <c r="F102" s="23">
        <v>12200.0</v>
      </c>
      <c r="G102" s="24" t="str">
        <f>IFERROR(__xludf.DUMMYFUNCTION("REGEXEXTRACT(C102, ""ک\s(\d{16})"")"),"6219861085979838")</f>
        <v>6219861085979838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25.5" customHeight="1">
      <c r="A103" s="19">
        <v>102.0</v>
      </c>
      <c r="B103" s="19" t="s">
        <v>315</v>
      </c>
      <c r="C103" s="21" t="s">
        <v>331</v>
      </c>
      <c r="D103" s="21" t="str">
        <f>VLOOKUP(G103, Cards!A:B, 2, FALSE)</f>
        <v>#N/A</v>
      </c>
      <c r="E103" s="22">
        <v>0.0</v>
      </c>
      <c r="F103" s="23">
        <v>1.2E8</v>
      </c>
      <c r="G103" s="24" t="str">
        <f>IFERROR(__xludf.DUMMYFUNCTION("REGEXEXTRACT(C103, ""ک\s(\d{16})"")"),"#N/A")</f>
        <v>#N/A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25.5" customHeight="1">
      <c r="A104" s="19">
        <v>103.0</v>
      </c>
      <c r="B104" s="19" t="s">
        <v>315</v>
      </c>
      <c r="C104" s="21" t="s">
        <v>335</v>
      </c>
      <c r="D104" s="21" t="str">
        <f>VLOOKUP(G104, Cards!A:B, 2, FALSE)</f>
        <v>#N/A</v>
      </c>
      <c r="E104" s="22">
        <v>0.0</v>
      </c>
      <c r="F104" s="23">
        <v>24000.0</v>
      </c>
      <c r="G104" s="24" t="str">
        <f>IFERROR(__xludf.DUMMYFUNCTION("REGEXEXTRACT(C104, ""ک\s(\d{16})"")"),"#N/A")</f>
        <v>#N/A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25.5" customHeight="1">
      <c r="A105" s="19">
        <v>104.0</v>
      </c>
      <c r="B105" s="19" t="s">
        <v>315</v>
      </c>
      <c r="C105" s="21" t="s">
        <v>338</v>
      </c>
      <c r="D105" s="21" t="str">
        <f>VLOOKUP(G105, Cards!A:B, 2, FALSE)</f>
        <v>#N/A</v>
      </c>
      <c r="E105" s="22">
        <v>750000.0</v>
      </c>
      <c r="F105" s="23">
        <v>0.0</v>
      </c>
      <c r="G105" s="24" t="str">
        <f>IFERROR(__xludf.DUMMYFUNCTION("REGEXEXTRACT(C105, ""ک\s(\d{16})"")"),"6037997333052109")</f>
        <v>6037997333052109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25.5" customHeight="1">
      <c r="A106" s="19">
        <v>105.0</v>
      </c>
      <c r="B106" s="19" t="s">
        <v>315</v>
      </c>
      <c r="C106" s="21" t="s">
        <v>341</v>
      </c>
      <c r="D106" s="21" t="str">
        <f>VLOOKUP(G106, Cards!A:B, 2, FALSE)</f>
        <v>#N/A</v>
      </c>
      <c r="E106" s="22">
        <v>0.0</v>
      </c>
      <c r="F106" s="23">
        <v>1800.0</v>
      </c>
      <c r="G106" s="24" t="str">
        <f>IFERROR(__xludf.DUMMYFUNCTION("REGEXEXTRACT(C106, ""ک\s(\d{16})"")"),"6219861085979838")</f>
        <v>6219861085979838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25.5" customHeight="1">
      <c r="A107" s="19">
        <v>106.0</v>
      </c>
      <c r="B107" s="19" t="s">
        <v>315</v>
      </c>
      <c r="C107" s="21" t="s">
        <v>344</v>
      </c>
      <c r="D107" s="21" t="str">
        <f>VLOOKUP(G107, Cards!A:B, 2, FALSE)</f>
        <v>#N/A</v>
      </c>
      <c r="E107" s="22">
        <v>1800000.0</v>
      </c>
      <c r="F107" s="23">
        <v>0.0</v>
      </c>
      <c r="G107" s="24" t="str">
        <f>IFERROR(__xludf.DUMMYFUNCTION("REGEXEXTRACT(C107, ""ک\s(\d{16})"")"),"5859831063366115")</f>
        <v>5859831063366115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25.5" customHeight="1">
      <c r="A108" s="19">
        <v>107.0</v>
      </c>
      <c r="B108" s="19" t="s">
        <v>315</v>
      </c>
      <c r="C108" s="21" t="s">
        <v>347</v>
      </c>
      <c r="D108" s="21" t="str">
        <f>VLOOKUP(G108, Cards!A:B, 2, FALSE)</f>
        <v>#N/A</v>
      </c>
      <c r="E108" s="22">
        <v>0.0</v>
      </c>
      <c r="F108" s="23">
        <v>8953000.0</v>
      </c>
      <c r="G108" s="24" t="str">
        <f>IFERROR(__xludf.DUMMYFUNCTION("REGEXEXTRACT(C108, ""ک\s(\d{16})"")"),"6219861085979838")</f>
        <v>6219861085979838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25.5" customHeight="1">
      <c r="A109" s="19">
        <v>108.0</v>
      </c>
      <c r="B109" s="19" t="s">
        <v>315</v>
      </c>
      <c r="C109" s="21" t="s">
        <v>350</v>
      </c>
      <c r="D109" s="21" t="str">
        <f>VLOOKUP(G109, Cards!A:B, 2, FALSE)</f>
        <v>#N/A</v>
      </c>
      <c r="E109" s="22">
        <v>1400000.0</v>
      </c>
      <c r="F109" s="23">
        <v>0.0</v>
      </c>
      <c r="G109" s="24" t="str">
        <f>IFERROR(__xludf.DUMMYFUNCTION("REGEXEXTRACT(C109, ""ک\s(\d{16})"")"),"6037998244815204")</f>
        <v>6037998244815204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25.5" customHeight="1">
      <c r="A110" s="19">
        <v>109.0</v>
      </c>
      <c r="B110" s="19" t="s">
        <v>352</v>
      </c>
      <c r="C110" s="21" t="s">
        <v>354</v>
      </c>
      <c r="D110" s="21" t="str">
        <f>VLOOKUP(G110, Cards!A:B, 2, FALSE)</f>
        <v>#N/A</v>
      </c>
      <c r="E110" s="22">
        <v>6.3E7</v>
      </c>
      <c r="F110" s="23">
        <v>0.0</v>
      </c>
      <c r="G110" s="24" t="str">
        <f>IFERROR(__xludf.DUMMYFUNCTION("REGEXEXTRACT(C110, ""ک\s(\d{16})"")"),"#N/A")</f>
        <v>#N/A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25.5" customHeight="1">
      <c r="A111" s="19">
        <v>110.0</v>
      </c>
      <c r="B111" s="19" t="s">
        <v>352</v>
      </c>
      <c r="C111" s="21" t="s">
        <v>358</v>
      </c>
      <c r="D111" s="21" t="str">
        <f>VLOOKUP(G111, Cards!A:B, 2, FALSE)</f>
        <v>#N/A</v>
      </c>
      <c r="E111" s="22">
        <v>7.4E7</v>
      </c>
      <c r="F111" s="23">
        <v>0.0</v>
      </c>
      <c r="G111" s="24" t="str">
        <f>IFERROR(__xludf.DUMMYFUNCTION("REGEXEXTRACT(C111, ""ک\s(\d{16})"")"),"#N/A")</f>
        <v>#N/A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25.5" customHeight="1">
      <c r="A112" s="19">
        <v>111.0</v>
      </c>
      <c r="B112" s="19" t="s">
        <v>352</v>
      </c>
      <c r="C112" s="21" t="s">
        <v>362</v>
      </c>
      <c r="D112" s="21" t="str">
        <f>VLOOKUP(G112, Cards!A:B, 2, FALSE)</f>
        <v>#N/A</v>
      </c>
      <c r="E112" s="22">
        <v>0.0</v>
      </c>
      <c r="F112" s="23">
        <v>1.0E7</v>
      </c>
      <c r="G112" s="24" t="str">
        <f>IFERROR(__xludf.DUMMYFUNCTION("REGEXEXTRACT(C112, ""ک\s(\d{16})"")"),"5859831103338371")</f>
        <v>5859831103338371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25.5" customHeight="1">
      <c r="A113" s="19">
        <v>112.0</v>
      </c>
      <c r="B113" s="19" t="s">
        <v>352</v>
      </c>
      <c r="C113" s="21" t="s">
        <v>364</v>
      </c>
      <c r="D113" s="21" t="str">
        <f>VLOOKUP(G113, Cards!A:B, 2, FALSE)</f>
        <v>#N/A</v>
      </c>
      <c r="E113" s="22">
        <v>0.0</v>
      </c>
      <c r="F113" s="23">
        <v>9000.0</v>
      </c>
      <c r="G113" s="24" t="str">
        <f>IFERROR(__xludf.DUMMYFUNCTION("REGEXEXTRACT(C113, ""ک\s(\d{16})"")"),"6219861085979838")</f>
        <v>6219861085979838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25.5" customHeight="1">
      <c r="A114" s="19">
        <v>113.0</v>
      </c>
      <c r="B114" s="19" t="s">
        <v>352</v>
      </c>
      <c r="C114" s="21" t="s">
        <v>366</v>
      </c>
      <c r="D114" s="21" t="str">
        <f>VLOOKUP(G114, Cards!A:B, 2, FALSE)</f>
        <v>#N/A</v>
      </c>
      <c r="E114" s="22">
        <v>0.0</v>
      </c>
      <c r="F114" s="23">
        <v>5400000.0</v>
      </c>
      <c r="G114" s="24" t="str">
        <f>IFERROR(__xludf.DUMMYFUNCTION("REGEXEXTRACT(C114, ""ک\s(\d{16})"")"),"6219861085979838")</f>
        <v>6219861085979838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25.5" customHeight="1">
      <c r="A115" s="19">
        <v>114.0</v>
      </c>
      <c r="B115" s="19" t="s">
        <v>352</v>
      </c>
      <c r="C115" s="21" t="s">
        <v>369</v>
      </c>
      <c r="D115" s="21" t="str">
        <f>VLOOKUP(G115, Cards!A:B, 2, FALSE)</f>
        <v>#N/A</v>
      </c>
      <c r="E115" s="22">
        <v>0.0</v>
      </c>
      <c r="F115" s="23">
        <v>1.45E7</v>
      </c>
      <c r="G115" s="24" t="str">
        <f>IFERROR(__xludf.DUMMYFUNCTION("REGEXEXTRACT(C115, ""ک\s(\d{16})"")"),"6219861085979838")</f>
        <v>6219861085979838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25.5" customHeight="1">
      <c r="A116" s="19">
        <v>115.0</v>
      </c>
      <c r="B116" s="19" t="s">
        <v>352</v>
      </c>
      <c r="C116" s="21" t="s">
        <v>372</v>
      </c>
      <c r="D116" s="21" t="str">
        <f>VLOOKUP(G116, Cards!A:B, 2, FALSE)</f>
        <v>#N/A</v>
      </c>
      <c r="E116" s="22">
        <v>0.0</v>
      </c>
      <c r="F116" s="23">
        <v>2.06E7</v>
      </c>
      <c r="G116" s="24" t="str">
        <f>IFERROR(__xludf.DUMMYFUNCTION("REGEXEXTRACT(C116, ""ک\s(\d{16})"")"),"6219861085979838")</f>
        <v>6219861085979838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25.5" customHeight="1">
      <c r="A117" s="19">
        <v>116.0</v>
      </c>
      <c r="B117" s="19" t="s">
        <v>352</v>
      </c>
      <c r="C117" s="21" t="s">
        <v>375</v>
      </c>
      <c r="D117" s="21" t="str">
        <f>VLOOKUP(G117, Cards!A:B, 2, FALSE)</f>
        <v>#N/A</v>
      </c>
      <c r="E117" s="22">
        <v>0.0</v>
      </c>
      <c r="F117" s="23">
        <v>1800.0</v>
      </c>
      <c r="G117" s="24" t="str">
        <f>IFERROR(__xludf.DUMMYFUNCTION("REGEXEXTRACT(C117, ""ک\s(\d{16})"")"),"6219861085979838")</f>
        <v>6219861085979838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25.5" customHeight="1">
      <c r="A118" s="19">
        <v>117.0</v>
      </c>
      <c r="B118" s="19" t="s">
        <v>352</v>
      </c>
      <c r="C118" s="21" t="s">
        <v>378</v>
      </c>
      <c r="D118" s="39" t="str">
        <f>VLOOKUP(G118, Cards!A:B, 2, FALSE)</f>
        <v>محسن خانگاه</v>
      </c>
      <c r="E118" s="22">
        <v>0.0</v>
      </c>
      <c r="F118" s="23">
        <v>3.407E7</v>
      </c>
      <c r="G118" s="24" t="str">
        <f>IFERROR(__xludf.DUMMYFUNCTION("REGEXEXTRACT(C118, ""ک\s(\d{16})"")"),"6274121208660688")</f>
        <v>6274121208660688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25.5" customHeight="1">
      <c r="A119" s="19">
        <v>118.0</v>
      </c>
      <c r="B119" s="19" t="s">
        <v>352</v>
      </c>
      <c r="C119" s="21" t="s">
        <v>380</v>
      </c>
      <c r="D119" s="21" t="str">
        <f>VLOOKUP(G119, Cards!A:B, 2, FALSE)</f>
        <v>#N/A</v>
      </c>
      <c r="E119" s="22">
        <v>0.0</v>
      </c>
      <c r="F119" s="23">
        <v>18600.0</v>
      </c>
      <c r="G119" s="24" t="str">
        <f>IFERROR(__xludf.DUMMYFUNCTION("REGEXEXTRACT(C119, ""ک\s(\d{16})"")"),"6219861085979838")</f>
        <v>6219861085979838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25.5" customHeight="1">
      <c r="A120" s="19">
        <v>119.0</v>
      </c>
      <c r="B120" s="19" t="s">
        <v>352</v>
      </c>
      <c r="C120" s="21" t="s">
        <v>382</v>
      </c>
      <c r="D120" s="21" t="str">
        <f>VLOOKUP(G120, Cards!A:B, 2, FALSE)</f>
        <v>#N/A</v>
      </c>
      <c r="E120" s="22">
        <v>0.0</v>
      </c>
      <c r="F120" s="23">
        <v>1.98246E7</v>
      </c>
      <c r="G120" s="24" t="str">
        <f>IFERROR(__xludf.DUMMYFUNCTION("REGEXEXTRACT(C120, ""ک\s(\d{16})"")"),"6104338738476148")</f>
        <v>6104338738476148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25.5" customHeight="1">
      <c r="A121" s="19">
        <v>120.0</v>
      </c>
      <c r="B121" s="19" t="s">
        <v>352</v>
      </c>
      <c r="C121" s="21" t="s">
        <v>384</v>
      </c>
      <c r="D121" s="21" t="str">
        <f>VLOOKUP(G121, Cards!A:B, 2, FALSE)</f>
        <v>#N/A</v>
      </c>
      <c r="E121" s="22">
        <v>0.0</v>
      </c>
      <c r="F121" s="23">
        <v>12200.0</v>
      </c>
      <c r="G121" s="24" t="str">
        <f>IFERROR(__xludf.DUMMYFUNCTION("REGEXEXTRACT(C121, ""ک\s(\d{16})"")"),"6219861085979838")</f>
        <v>6219861085979838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25.5" customHeight="1">
      <c r="A122" s="19">
        <v>121.0</v>
      </c>
      <c r="B122" s="19" t="s">
        <v>352</v>
      </c>
      <c r="C122" s="21" t="s">
        <v>386</v>
      </c>
      <c r="D122" s="21" t="str">
        <f>VLOOKUP(G122, Cards!A:B, 2, FALSE)</f>
        <v>#N/A</v>
      </c>
      <c r="E122" s="22">
        <v>1.3E8</v>
      </c>
      <c r="F122" s="23">
        <v>0.0</v>
      </c>
      <c r="G122" s="24" t="str">
        <f>IFERROR(__xludf.DUMMYFUNCTION("REGEXEXTRACT(C122, ""ک\s(\d{16})"")"),"#N/A")</f>
        <v>#N/A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25.5" customHeight="1">
      <c r="A123" s="19">
        <v>122.0</v>
      </c>
      <c r="B123" s="19" t="s">
        <v>352</v>
      </c>
      <c r="C123" s="21" t="s">
        <v>390</v>
      </c>
      <c r="D123" s="21" t="str">
        <f>VLOOKUP(G123, Cards!A:B, 2, FALSE)</f>
        <v>#N/A</v>
      </c>
      <c r="E123" s="22">
        <v>0.0</v>
      </c>
      <c r="F123" s="23">
        <v>1.3E8</v>
      </c>
      <c r="G123" s="24" t="str">
        <f>IFERROR(__xludf.DUMMYFUNCTION("REGEXEXTRACT(C123, ""ک\s(\d{16})"")"),"#N/A")</f>
        <v>#N/A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25.5" customHeight="1">
      <c r="A124" s="19">
        <v>123.0</v>
      </c>
      <c r="B124" s="19" t="s">
        <v>352</v>
      </c>
      <c r="C124" s="21" t="s">
        <v>335</v>
      </c>
      <c r="D124" s="21" t="str">
        <f>VLOOKUP(G124, Cards!A:B, 2, FALSE)</f>
        <v>#N/A</v>
      </c>
      <c r="E124" s="22">
        <v>0.0</v>
      </c>
      <c r="F124" s="23">
        <v>26000.0</v>
      </c>
      <c r="G124" s="24" t="str">
        <f>IFERROR(__xludf.DUMMYFUNCTION("REGEXEXTRACT(C124, ""ک\s(\d{16})"")"),"#N/A")</f>
        <v>#N/A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25.5" customHeight="1">
      <c r="A125" s="19">
        <v>124.0</v>
      </c>
      <c r="B125" s="19" t="s">
        <v>352</v>
      </c>
      <c r="C125" s="21" t="s">
        <v>394</v>
      </c>
      <c r="D125" s="21" t="str">
        <f>VLOOKUP(G125, Cards!A:B, 2, FALSE)</f>
        <v>#N/A</v>
      </c>
      <c r="E125" s="22">
        <v>250000.0</v>
      </c>
      <c r="F125" s="23">
        <v>0.0</v>
      </c>
      <c r="G125" s="24" t="str">
        <f>IFERROR(__xludf.DUMMYFUNCTION("REGEXEXTRACT(C125, ""ک\s(\d{16})"")"),"5859831807160501")</f>
        <v>5859831807160501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25.5" customHeight="1">
      <c r="A126" s="19">
        <v>125.0</v>
      </c>
      <c r="B126" s="19" t="s">
        <v>352</v>
      </c>
      <c r="C126" s="21" t="s">
        <v>397</v>
      </c>
      <c r="D126" s="21" t="str">
        <f>VLOOKUP(G126, Cards!A:B, 2, FALSE)</f>
        <v>#N/A</v>
      </c>
      <c r="E126" s="22">
        <v>0.0</v>
      </c>
      <c r="F126" s="23">
        <v>1800.0</v>
      </c>
      <c r="G126" s="24" t="str">
        <f>IFERROR(__xludf.DUMMYFUNCTION("REGEXEXTRACT(C126, ""ک\s(\d{16})"")"),"6219861085979838")</f>
        <v>6219861085979838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25.5" customHeight="1">
      <c r="A127" s="19">
        <v>126.0</v>
      </c>
      <c r="B127" s="19" t="s">
        <v>352</v>
      </c>
      <c r="C127" s="21" t="s">
        <v>400</v>
      </c>
      <c r="D127" s="21" t="str">
        <f>VLOOKUP(G127, Cards!A:B, 2, FALSE)</f>
        <v>#N/A</v>
      </c>
      <c r="E127" s="22">
        <v>0.0</v>
      </c>
      <c r="F127" s="23">
        <v>2.308E7</v>
      </c>
      <c r="G127" s="24" t="str">
        <f>IFERROR(__xludf.DUMMYFUNCTION("REGEXEXTRACT(C127, ""ک\s(\d{16})"")"),"5894631178646402")</f>
        <v>5894631178646402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25.5" customHeight="1">
      <c r="A128" s="19">
        <v>127.0</v>
      </c>
      <c r="B128" s="19" t="s">
        <v>352</v>
      </c>
      <c r="C128" s="21" t="s">
        <v>402</v>
      </c>
      <c r="D128" s="21" t="str">
        <f>VLOOKUP(G128, Cards!A:B, 2, FALSE)</f>
        <v>#N/A</v>
      </c>
      <c r="E128" s="22">
        <v>0.0</v>
      </c>
      <c r="F128" s="23">
        <v>15400.0</v>
      </c>
      <c r="G128" s="24" t="str">
        <f>IFERROR(__xludf.DUMMYFUNCTION("REGEXEXTRACT(C128, ""ک\s(\d{16})"")"),"6219861085979838")</f>
        <v>6219861085979838</v>
      </c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25.5" customHeight="1">
      <c r="A129" s="19">
        <v>128.0</v>
      </c>
      <c r="B129" s="19" t="s">
        <v>403</v>
      </c>
      <c r="C129" s="21" t="s">
        <v>405</v>
      </c>
      <c r="D129" s="21" t="str">
        <f>VLOOKUP(G129, Cards!A:B, 2, FALSE)</f>
        <v>#N/A</v>
      </c>
      <c r="E129" s="22">
        <v>2.5E7</v>
      </c>
      <c r="F129" s="23">
        <v>0.0</v>
      </c>
      <c r="G129" s="24" t="str">
        <f>IFERROR(__xludf.DUMMYFUNCTION("REGEXEXTRACT(C129, ""ک\s(\d{16})"")"),"#N/A")</f>
        <v>#N/A</v>
      </c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25.5" customHeight="1">
      <c r="A130" s="19">
        <v>129.0</v>
      </c>
      <c r="B130" s="19" t="s">
        <v>403</v>
      </c>
      <c r="C130" s="21" t="s">
        <v>409</v>
      </c>
      <c r="D130" s="21" t="str">
        <f>VLOOKUP(G130, Cards!A:B, 2, FALSE)</f>
        <v>#N/A</v>
      </c>
      <c r="E130" s="22">
        <v>9.2E7</v>
      </c>
      <c r="F130" s="23">
        <v>0.0</v>
      </c>
      <c r="G130" s="24" t="str">
        <f>IFERROR(__xludf.DUMMYFUNCTION("REGEXEXTRACT(C130, ""ک\s(\d{16})"")"),"#N/A")</f>
        <v>#N/A</v>
      </c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25.5" customHeight="1">
      <c r="A131" s="19">
        <v>130.0</v>
      </c>
      <c r="B131" s="19" t="s">
        <v>403</v>
      </c>
      <c r="C131" s="21" t="s">
        <v>413</v>
      </c>
      <c r="D131" s="21" t="str">
        <f>VLOOKUP(G131, Cards!A:B, 2, FALSE)</f>
        <v>#N/A</v>
      </c>
      <c r="E131" s="22">
        <v>0.0</v>
      </c>
      <c r="F131" s="23">
        <v>1.56E7</v>
      </c>
      <c r="G131" s="24" t="str">
        <f>IFERROR(__xludf.DUMMYFUNCTION("REGEXEXTRACT(C131, ""ک\s(\d{16})"")"),"6219861085979838")</f>
        <v>6219861085979838</v>
      </c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25.5" customHeight="1">
      <c r="A132" s="19">
        <v>131.0</v>
      </c>
      <c r="B132" s="19" t="s">
        <v>403</v>
      </c>
      <c r="C132" s="21" t="s">
        <v>416</v>
      </c>
      <c r="D132" s="21" t="str">
        <f>VLOOKUP(G132, Cards!A:B, 2, FALSE)</f>
        <v>#N/A</v>
      </c>
      <c r="E132" s="22">
        <v>0.0</v>
      </c>
      <c r="F132" s="23">
        <v>5.0E7</v>
      </c>
      <c r="G132" s="24" t="str">
        <f>IFERROR(__xludf.DUMMYFUNCTION("REGEXEXTRACT(C132, ""ک\s(\d{16})"")"),"6037697709482571")</f>
        <v>6037697709482571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25.5" customHeight="1">
      <c r="A133" s="19">
        <v>132.0</v>
      </c>
      <c r="B133" s="19" t="s">
        <v>403</v>
      </c>
      <c r="C133" s="21" t="s">
        <v>418</v>
      </c>
      <c r="D133" s="21" t="str">
        <f>VLOOKUP(G133, Cards!A:B, 2, FALSE)</f>
        <v>#N/A</v>
      </c>
      <c r="E133" s="22">
        <v>0.0</v>
      </c>
      <c r="F133" s="23">
        <v>21800.0</v>
      </c>
      <c r="G133" s="24" t="str">
        <f>IFERROR(__xludf.DUMMYFUNCTION("REGEXEXTRACT(C133, ""ک\s(\d{16})"")"),"6219861085979838")</f>
        <v>6219861085979838</v>
      </c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25.5" customHeight="1">
      <c r="A134" s="19">
        <v>133.0</v>
      </c>
      <c r="B134" s="19" t="s">
        <v>403</v>
      </c>
      <c r="C134" s="21" t="s">
        <v>420</v>
      </c>
      <c r="D134" s="21" t="str">
        <f>VLOOKUP(G134, Cards!A:B, 2, FALSE)</f>
        <v>#N/A</v>
      </c>
      <c r="E134" s="22">
        <v>250000.0</v>
      </c>
      <c r="F134" s="23">
        <v>0.0</v>
      </c>
      <c r="G134" s="24" t="str">
        <f>IFERROR(__xludf.DUMMYFUNCTION("REGEXEXTRACT(C134, ""ک\s(\d{16})"")"),"5022291559163587")</f>
        <v>5022291559163587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25.5" customHeight="1">
      <c r="A135" s="19">
        <v>134.0</v>
      </c>
      <c r="B135" s="19" t="s">
        <v>403</v>
      </c>
      <c r="C135" s="21" t="s">
        <v>423</v>
      </c>
      <c r="D135" s="39" t="str">
        <f>VLOOKUP(G135, Cards!A:B, 2, FALSE)</f>
        <v>جواد ابراهيميان</v>
      </c>
      <c r="E135" s="22">
        <v>0.0</v>
      </c>
      <c r="F135" s="23">
        <v>8000000.0</v>
      </c>
      <c r="G135" s="24" t="str">
        <f>IFERROR(__xludf.DUMMYFUNCTION("REGEXEXTRACT(C135, ""ک\s(\d{16})"")"),"5029081028402846")</f>
        <v>5029081028402846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25.5" customHeight="1">
      <c r="A136" s="19">
        <v>135.0</v>
      </c>
      <c r="B136" s="19" t="s">
        <v>403</v>
      </c>
      <c r="C136" s="21" t="s">
        <v>425</v>
      </c>
      <c r="D136" s="21" t="str">
        <f>VLOOKUP(G136, Cards!A:B, 2, FALSE)</f>
        <v>#N/A</v>
      </c>
      <c r="E136" s="22">
        <v>0.0</v>
      </c>
      <c r="F136" s="23">
        <v>9000.0</v>
      </c>
      <c r="G136" s="24" t="str">
        <f>IFERROR(__xludf.DUMMYFUNCTION("REGEXEXTRACT(C136, ""ک\s(\d{16})"")"),"6219861085979838")</f>
        <v>6219861085979838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25.5" customHeight="1">
      <c r="A137" s="19">
        <v>136.0</v>
      </c>
      <c r="B137" s="19" t="s">
        <v>403</v>
      </c>
      <c r="C137" s="21" t="s">
        <v>427</v>
      </c>
      <c r="D137" s="21" t="str">
        <f>VLOOKUP(G137, Cards!A:B, 2, FALSE)</f>
        <v>#N/A</v>
      </c>
      <c r="E137" s="22">
        <v>0.0</v>
      </c>
      <c r="F137" s="23">
        <v>3.0E7</v>
      </c>
      <c r="G137" s="24" t="str">
        <f>IFERROR(__xludf.DUMMYFUNCTION("REGEXEXTRACT(C137, ""ک\s(\d{16})"")"),"6219861083639228")</f>
        <v>6219861083639228</v>
      </c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25.5" customHeight="1">
      <c r="A138" s="19">
        <v>137.0</v>
      </c>
      <c r="B138" s="19" t="s">
        <v>403</v>
      </c>
      <c r="C138" s="21" t="s">
        <v>430</v>
      </c>
      <c r="D138" s="21" t="str">
        <f>VLOOKUP(G138, Cards!A:B, 2, FALSE)</f>
        <v>#N/A</v>
      </c>
      <c r="E138" s="22">
        <v>450000.0</v>
      </c>
      <c r="F138" s="23">
        <v>0.0</v>
      </c>
      <c r="G138" s="24" t="str">
        <f>IFERROR(__xludf.DUMMYFUNCTION("REGEXEXTRACT(C138, ""ک\s(\d{16})"")"),"5859831044692845")</f>
        <v>5859831044692845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25.5" customHeight="1">
      <c r="A139" s="19">
        <v>138.0</v>
      </c>
      <c r="B139" s="19" t="s">
        <v>403</v>
      </c>
      <c r="C139" s="21" t="s">
        <v>433</v>
      </c>
      <c r="D139" s="21" t="str">
        <f>VLOOKUP(G139, Cards!A:B, 2, FALSE)</f>
        <v>#N/A</v>
      </c>
      <c r="E139" s="22">
        <v>0.0</v>
      </c>
      <c r="F139" s="23">
        <v>1800.0</v>
      </c>
      <c r="G139" s="24" t="str">
        <f>IFERROR(__xludf.DUMMYFUNCTION("REGEXEXTRACT(C139, ""ک\s(\d{16})"")"),"6219861085979838")</f>
        <v>6219861085979838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25.5" customHeight="1">
      <c r="A140" s="19">
        <v>139.0</v>
      </c>
      <c r="B140" s="19" t="s">
        <v>403</v>
      </c>
      <c r="C140" s="21" t="s">
        <v>436</v>
      </c>
      <c r="D140" s="39" t="str">
        <f>VLOOKUP(G140, Cards!A:B, 2, FALSE)</f>
        <v>محسن خانگاه</v>
      </c>
      <c r="E140" s="22">
        <v>0.0</v>
      </c>
      <c r="F140" s="23">
        <v>3.376E7</v>
      </c>
      <c r="G140" s="24" t="str">
        <f>IFERROR(__xludf.DUMMYFUNCTION("REGEXEXTRACT(C140, ""ک\s(\d{16})"")"),"6274121208660688")</f>
        <v>6274121208660688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25.5" customHeight="1">
      <c r="A141" s="19">
        <v>140.0</v>
      </c>
      <c r="B141" s="19" t="s">
        <v>403</v>
      </c>
      <c r="C141" s="21" t="s">
        <v>438</v>
      </c>
      <c r="D141" s="21" t="str">
        <f>VLOOKUP(G141, Cards!A:B, 2, FALSE)</f>
        <v>#N/A</v>
      </c>
      <c r="E141" s="22">
        <v>0.0</v>
      </c>
      <c r="F141" s="23">
        <v>18600.0</v>
      </c>
      <c r="G141" s="24" t="str">
        <f>IFERROR(__xludf.DUMMYFUNCTION("REGEXEXTRACT(C141, ""ک\s(\d{16})"")"),"6219861085979838")</f>
        <v>6219861085979838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25.5" customHeight="1">
      <c r="A142" s="19">
        <v>141.0</v>
      </c>
      <c r="B142" s="19" t="s">
        <v>403</v>
      </c>
      <c r="C142" s="21" t="s">
        <v>440</v>
      </c>
      <c r="D142" s="21" t="str">
        <f>VLOOKUP(G142, Cards!A:B, 2, FALSE)</f>
        <v>#N/A</v>
      </c>
      <c r="E142" s="22">
        <v>0.0</v>
      </c>
      <c r="F142" s="23">
        <v>1800.0</v>
      </c>
      <c r="G142" s="24" t="str">
        <f>IFERROR(__xludf.DUMMYFUNCTION("REGEXEXTRACT(C142, ""ک\s(\d{16})"")"),"6219861085979838")</f>
        <v>6219861085979838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25.5" customHeight="1">
      <c r="A143" s="19">
        <v>142.0</v>
      </c>
      <c r="B143" s="19" t="s">
        <v>442</v>
      </c>
      <c r="C143" s="21" t="s">
        <v>444</v>
      </c>
      <c r="D143" s="21" t="str">
        <f>VLOOKUP(G143, Cards!A:B, 2, FALSE)</f>
        <v>#N/A</v>
      </c>
      <c r="E143" s="22">
        <v>1.24E8</v>
      </c>
      <c r="F143" s="23">
        <v>0.0</v>
      </c>
      <c r="G143" s="24" t="str">
        <f>IFERROR(__xludf.DUMMYFUNCTION("REGEXEXTRACT(C143, ""ک\s(\d{16})"")"),"#N/A")</f>
        <v>#N/A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25.5" customHeight="1">
      <c r="A144" s="19">
        <v>143.0</v>
      </c>
      <c r="B144" s="19" t="s">
        <v>442</v>
      </c>
      <c r="C144" s="21" t="s">
        <v>448</v>
      </c>
      <c r="D144" s="21" t="str">
        <f>VLOOKUP(G144, Cards!A:B, 2, FALSE)</f>
        <v>#N/A</v>
      </c>
      <c r="E144" s="22">
        <v>0.0</v>
      </c>
      <c r="F144" s="23">
        <v>5.0E7</v>
      </c>
      <c r="G144" s="24" t="str">
        <f>IFERROR(__xludf.DUMMYFUNCTION("REGEXEXTRACT(C144, ""ک\s(\d{16})"")"),"6104338981389121")</f>
        <v>6104338981389121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25.5" customHeight="1">
      <c r="A145" s="19">
        <v>144.0</v>
      </c>
      <c r="B145" s="19" t="s">
        <v>442</v>
      </c>
      <c r="C145" s="21" t="s">
        <v>450</v>
      </c>
      <c r="D145" s="21" t="str">
        <f>VLOOKUP(G145, Cards!A:B, 2, FALSE)</f>
        <v>#N/A</v>
      </c>
      <c r="E145" s="22">
        <v>0.0</v>
      </c>
      <c r="F145" s="23">
        <v>21800.0</v>
      </c>
      <c r="G145" s="24" t="str">
        <f>IFERROR(__xludf.DUMMYFUNCTION("REGEXEXTRACT(C145, ""ک\s(\d{16})"")"),"6219861085979838")</f>
        <v>6219861085979838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25.5" customHeight="1">
      <c r="A146" s="19">
        <v>145.0</v>
      </c>
      <c r="B146" s="19" t="s">
        <v>442</v>
      </c>
      <c r="C146" s="21" t="s">
        <v>452</v>
      </c>
      <c r="D146" s="21" t="str">
        <f>VLOOKUP(G146, Cards!A:B, 2, FALSE)</f>
        <v>#N/A</v>
      </c>
      <c r="E146" s="22">
        <v>0.0</v>
      </c>
      <c r="F146" s="23">
        <v>6.0E7</v>
      </c>
      <c r="G146" s="24" t="str">
        <f>IFERROR(__xludf.DUMMYFUNCTION("REGEXEXTRACT(C146, ""ک\s(\d{16})"")"),"#N/A")</f>
        <v>#N/A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25.5" customHeight="1">
      <c r="A147" s="19">
        <v>146.0</v>
      </c>
      <c r="B147" s="19" t="s">
        <v>455</v>
      </c>
      <c r="C147" s="21" t="s">
        <v>458</v>
      </c>
      <c r="D147" s="21" t="str">
        <f>VLOOKUP(G147, Cards!A:B, 2, FALSE)</f>
        <v>#N/A</v>
      </c>
      <c r="E147" s="22">
        <v>0.0</v>
      </c>
      <c r="F147" s="23">
        <v>18000.0</v>
      </c>
      <c r="G147" s="24" t="str">
        <f>IFERROR(__xludf.DUMMYFUNCTION("REGEXEXTRACT(C147, ""ک\s(\d{16})"")"),"#N/A")</f>
        <v>#N/A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25.5" customHeight="1">
      <c r="A148" s="19">
        <v>147.0</v>
      </c>
      <c r="B148" s="19" t="s">
        <v>455</v>
      </c>
      <c r="C148" s="21" t="s">
        <v>461</v>
      </c>
      <c r="D148" s="21" t="str">
        <f>VLOOKUP(G148, Cards!A:B, 2, FALSE)</f>
        <v>#N/A</v>
      </c>
      <c r="E148" s="22">
        <v>600000.0</v>
      </c>
      <c r="F148" s="23">
        <v>0.0</v>
      </c>
      <c r="G148" s="24" t="str">
        <f>IFERROR(__xludf.DUMMYFUNCTION("REGEXEXTRACT(C148, ""ک\s(\d{16})"")"),"5057851033134344")</f>
        <v>5057851033134344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25.5" customHeight="1">
      <c r="A149" s="19">
        <v>148.0</v>
      </c>
      <c r="B149" s="19" t="s">
        <v>455</v>
      </c>
      <c r="C149" s="21" t="s">
        <v>464</v>
      </c>
      <c r="D149" s="21" t="str">
        <f>VLOOKUP(G149, Cards!A:B, 2, FALSE)</f>
        <v>#N/A</v>
      </c>
      <c r="E149" s="22">
        <v>0.0</v>
      </c>
      <c r="F149" s="23">
        <v>1800.0</v>
      </c>
      <c r="G149" s="24" t="str">
        <f>IFERROR(__xludf.DUMMYFUNCTION("REGEXEXTRACT(C149, ""ک\s(\d{16})"")"),"6219861085979838")</f>
        <v>6219861085979838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25.5" customHeight="1">
      <c r="A150" s="19">
        <v>149.0</v>
      </c>
      <c r="B150" s="19" t="s">
        <v>455</v>
      </c>
      <c r="C150" s="21" t="s">
        <v>467</v>
      </c>
      <c r="D150" s="39" t="str">
        <f>VLOOKUP(G150, Cards!A:B, 2, FALSE)</f>
        <v>محمد کوچکي</v>
      </c>
      <c r="E150" s="22">
        <v>0.0</v>
      </c>
      <c r="F150" s="23">
        <v>1.56E7</v>
      </c>
      <c r="G150" s="24" t="str">
        <f>IFERROR(__xludf.DUMMYFUNCTION("REGEXEXTRACT(C150, ""ک\s(\d{16})"")"),"6037697600840968")</f>
        <v>6037697600840968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25.5" customHeight="1">
      <c r="A151" s="19">
        <v>150.0</v>
      </c>
      <c r="B151" s="19" t="s">
        <v>455</v>
      </c>
      <c r="C151" s="21" t="s">
        <v>469</v>
      </c>
      <c r="D151" s="21" t="str">
        <f>VLOOKUP(G151, Cards!A:B, 2, FALSE)</f>
        <v>#N/A</v>
      </c>
      <c r="E151" s="22">
        <v>0.0</v>
      </c>
      <c r="F151" s="23">
        <v>12200.0</v>
      </c>
      <c r="G151" s="24" t="str">
        <f>IFERROR(__xludf.DUMMYFUNCTION("REGEXEXTRACT(C151, ""ک\s(\d{16})"")"),"6219861085979838")</f>
        <v>6219861085979838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25.5" customHeight="1">
      <c r="A152" s="19">
        <v>151.0</v>
      </c>
      <c r="B152" s="19" t="s">
        <v>455</v>
      </c>
      <c r="C152" s="21" t="s">
        <v>471</v>
      </c>
      <c r="D152" s="21" t="str">
        <f>VLOOKUP(G152, Cards!A:B, 2, FALSE)</f>
        <v>#N/A</v>
      </c>
      <c r="E152" s="22">
        <v>450000.0</v>
      </c>
      <c r="F152" s="23">
        <v>0.0</v>
      </c>
      <c r="G152" s="24" t="str">
        <f>IFERROR(__xludf.DUMMYFUNCTION("REGEXEXTRACT(C152, ""ک\s(\d{16})"")"),"6037998207116723")</f>
        <v>6037998207116723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25.5" customHeight="1">
      <c r="A153" s="19">
        <v>152.0</v>
      </c>
      <c r="B153" s="19" t="s">
        <v>473</v>
      </c>
      <c r="C153" s="21" t="s">
        <v>475</v>
      </c>
      <c r="D153" s="21" t="str">
        <f>VLOOKUP(G153, Cards!A:B, 2, FALSE)</f>
        <v>#N/A</v>
      </c>
      <c r="E153" s="22">
        <v>1.5E8</v>
      </c>
      <c r="F153" s="23">
        <v>0.0</v>
      </c>
      <c r="G153" s="24" t="str">
        <f>IFERROR(__xludf.DUMMYFUNCTION("REGEXEXTRACT(C153, ""ک\s(\d{16})"")"),"#N/A")</f>
        <v>#N/A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25.5" customHeight="1">
      <c r="A154" s="19">
        <v>153.0</v>
      </c>
      <c r="B154" s="19" t="s">
        <v>473</v>
      </c>
      <c r="C154" s="21" t="s">
        <v>479</v>
      </c>
      <c r="D154" s="39" t="str">
        <f>VLOOKUP(G154, Cards!A:B, 2, FALSE)</f>
        <v>محسن خانگاه</v>
      </c>
      <c r="E154" s="22">
        <v>0.0</v>
      </c>
      <c r="F154" s="23">
        <v>3.65E7</v>
      </c>
      <c r="G154" s="24" t="str">
        <f>IFERROR(__xludf.DUMMYFUNCTION("REGEXEXTRACT(C154, ""ک\s(\d{16})"")"),"6274121208660688")</f>
        <v>6274121208660688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25.5" customHeight="1">
      <c r="A155" s="19">
        <v>154.0</v>
      </c>
      <c r="B155" s="19" t="s">
        <v>473</v>
      </c>
      <c r="C155" s="21" t="s">
        <v>481</v>
      </c>
      <c r="D155" s="21" t="str">
        <f>VLOOKUP(G155, Cards!A:B, 2, FALSE)</f>
        <v>#N/A</v>
      </c>
      <c r="E155" s="22">
        <v>0.0</v>
      </c>
      <c r="F155" s="23">
        <v>18600.0</v>
      </c>
      <c r="G155" s="24" t="str">
        <f>IFERROR(__xludf.DUMMYFUNCTION("REGEXEXTRACT(C155, ""ک\s(\d{16})"")"),"6219861085979838")</f>
        <v>6219861085979838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25.5" customHeight="1">
      <c r="A156" s="19">
        <v>155.0</v>
      </c>
      <c r="B156" s="19" t="s">
        <v>473</v>
      </c>
      <c r="C156" s="21" t="s">
        <v>483</v>
      </c>
      <c r="D156" s="21" t="str">
        <f>VLOOKUP(G156, Cards!A:B, 2, FALSE)</f>
        <v>#N/A</v>
      </c>
      <c r="E156" s="22">
        <v>0.0</v>
      </c>
      <c r="F156" s="23">
        <v>4.01598E7</v>
      </c>
      <c r="G156" s="24" t="str">
        <f>IFERROR(__xludf.DUMMYFUNCTION("REGEXEXTRACT(C156, ""ک\s(\d{16})"")"),"6104338738476148")</f>
        <v>6104338738476148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25.5" customHeight="1">
      <c r="A157" s="19">
        <v>156.0</v>
      </c>
      <c r="B157" s="19" t="s">
        <v>473</v>
      </c>
      <c r="C157" s="21" t="s">
        <v>485</v>
      </c>
      <c r="D157" s="21" t="str">
        <f>VLOOKUP(G157, Cards!A:B, 2, FALSE)</f>
        <v>#N/A</v>
      </c>
      <c r="E157" s="22">
        <v>0.0</v>
      </c>
      <c r="F157" s="23">
        <v>21800.0</v>
      </c>
      <c r="G157" s="24" t="str">
        <f>IFERROR(__xludf.DUMMYFUNCTION("REGEXEXTRACT(C157, ""ک\s(\d{16})"")"),"6219861085979838")</f>
        <v>6219861085979838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25.5" customHeight="1">
      <c r="A158" s="19">
        <v>157.0</v>
      </c>
      <c r="B158" s="19" t="s">
        <v>473</v>
      </c>
      <c r="C158" s="21" t="s">
        <v>487</v>
      </c>
      <c r="D158" s="21" t="str">
        <f>VLOOKUP(G158, Cards!A:B, 2, FALSE)</f>
        <v>#N/A</v>
      </c>
      <c r="E158" s="22">
        <v>0.0</v>
      </c>
      <c r="F158" s="23">
        <v>1.445E7</v>
      </c>
      <c r="G158" s="24" t="str">
        <f>IFERROR(__xludf.DUMMYFUNCTION("REGEXEXTRACT(C158, ""ک\s(\d{16})"")"),"5894631178646402")</f>
        <v>5894631178646402</v>
      </c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25.5" customHeight="1">
      <c r="A159" s="19">
        <v>158.0</v>
      </c>
      <c r="B159" s="19" t="s">
        <v>473</v>
      </c>
      <c r="C159" s="21" t="s">
        <v>489</v>
      </c>
      <c r="D159" s="21" t="str">
        <f>VLOOKUP(G159, Cards!A:B, 2, FALSE)</f>
        <v>#N/A</v>
      </c>
      <c r="E159" s="22">
        <v>0.0</v>
      </c>
      <c r="F159" s="23">
        <v>12200.0</v>
      </c>
      <c r="G159" s="24" t="str">
        <f>IFERROR(__xludf.DUMMYFUNCTION("REGEXEXTRACT(C159, ""ک\s(\d{16})"")"),"6219861085979838")</f>
        <v>6219861085979838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25.5" customHeight="1">
      <c r="A160" s="19">
        <v>159.0</v>
      </c>
      <c r="B160" s="19" t="s">
        <v>473</v>
      </c>
      <c r="C160" s="21" t="s">
        <v>491</v>
      </c>
      <c r="D160" s="21" t="str">
        <f>VLOOKUP(G160, Cards!A:B, 2, FALSE)</f>
        <v>#N/A</v>
      </c>
      <c r="E160" s="22">
        <v>800000.0</v>
      </c>
      <c r="F160" s="23">
        <v>0.0</v>
      </c>
      <c r="G160" s="24" t="str">
        <f>IFERROR(__xludf.DUMMYFUNCTION("REGEXEXTRACT(C160, ""ک\s(\d{16})"")"),"6104338767073667")</f>
        <v>6104338767073667</v>
      </c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25.5" customHeight="1">
      <c r="A161" s="19">
        <v>160.0</v>
      </c>
      <c r="B161" s="19" t="s">
        <v>473</v>
      </c>
      <c r="C161" s="21" t="s">
        <v>494</v>
      </c>
      <c r="D161" s="21" t="str">
        <f>VLOOKUP(G161, Cards!A:B, 2, FALSE)</f>
        <v>#N/A</v>
      </c>
      <c r="E161" s="22">
        <v>1550000.0</v>
      </c>
      <c r="F161" s="23">
        <v>0.0</v>
      </c>
      <c r="G161" s="24" t="str">
        <f>IFERROR(__xludf.DUMMYFUNCTION("REGEXEXTRACT(C161, ""ک\s(\d{16})"")"),"#N/A")</f>
        <v>#N/A</v>
      </c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25.5" customHeight="1">
      <c r="A162" s="19">
        <v>161.0</v>
      </c>
      <c r="B162" s="19" t="s">
        <v>473</v>
      </c>
      <c r="C162" s="21" t="s">
        <v>497</v>
      </c>
      <c r="D162" s="21" t="str">
        <f>VLOOKUP(G162, Cards!A:B, 2, FALSE)</f>
        <v>#N/A</v>
      </c>
      <c r="E162" s="22">
        <v>0.0</v>
      </c>
      <c r="F162" s="23">
        <v>1800.0</v>
      </c>
      <c r="G162" s="24" t="str">
        <f>IFERROR(__xludf.DUMMYFUNCTION("REGEXEXTRACT(C162, ""ک\s(\d{16})"")"),"6219861085979838")</f>
        <v>6219861085979838</v>
      </c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25.5" customHeight="1">
      <c r="A163" s="19">
        <v>162.0</v>
      </c>
      <c r="B163" s="19" t="s">
        <v>473</v>
      </c>
      <c r="C163" s="21" t="s">
        <v>500</v>
      </c>
      <c r="D163" s="39" t="str">
        <f>VLOOKUP(G163, Cards!A:B, 2, FALSE)</f>
        <v>سيدمحمدعلي حامدحيدري</v>
      </c>
      <c r="E163" s="22">
        <v>0.0</v>
      </c>
      <c r="F163" s="23">
        <v>2000000.0</v>
      </c>
      <c r="G163" s="24" t="str">
        <f>IFERROR(__xludf.DUMMYFUNCTION("REGEXEXTRACT(C163, ""ک\s(\d{16})"")"),"6219861076095867")</f>
        <v>6219861076095867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25.5" customHeight="1">
      <c r="A164" s="19">
        <v>163.0</v>
      </c>
      <c r="B164" s="19" t="s">
        <v>473</v>
      </c>
      <c r="C164" s="21" t="s">
        <v>502</v>
      </c>
      <c r="D164" s="21" t="str">
        <f>VLOOKUP(G164, Cards!A:B, 2, FALSE)</f>
        <v>#N/A</v>
      </c>
      <c r="E164" s="22">
        <v>0.0</v>
      </c>
      <c r="F164" s="23">
        <v>9000.0</v>
      </c>
      <c r="G164" s="24" t="str">
        <f>IFERROR(__xludf.DUMMYFUNCTION("REGEXEXTRACT(C164, ""ک\s(\d{16})"")"),"6219861085979838")</f>
        <v>6219861085979838</v>
      </c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25.5" customHeight="1">
      <c r="A165" s="19">
        <v>164.0</v>
      </c>
      <c r="B165" s="19" t="s">
        <v>503</v>
      </c>
      <c r="C165" s="21" t="s">
        <v>505</v>
      </c>
      <c r="D165" s="21" t="str">
        <f>VLOOKUP(G165, Cards!A:B, 2, FALSE)</f>
        <v>#N/A</v>
      </c>
      <c r="E165" s="22">
        <v>1.35E8</v>
      </c>
      <c r="F165" s="23">
        <v>0.0</v>
      </c>
      <c r="G165" s="24" t="str">
        <f>IFERROR(__xludf.DUMMYFUNCTION("REGEXEXTRACT(C165, ""ک\s(\d{16})"")"),"#N/A")</f>
        <v>#N/A</v>
      </c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25.5" customHeight="1">
      <c r="A166" s="19">
        <v>165.0</v>
      </c>
      <c r="B166" s="19" t="s">
        <v>503</v>
      </c>
      <c r="C166" s="21" t="s">
        <v>509</v>
      </c>
      <c r="D166" s="39" t="str">
        <f>VLOOKUP(G166, Cards!A:B, 2, FALSE)</f>
        <v>محمد کوچکي</v>
      </c>
      <c r="E166" s="22">
        <v>0.0</v>
      </c>
      <c r="F166" s="23">
        <v>1.56E7</v>
      </c>
      <c r="G166" s="24" t="str">
        <f>IFERROR(__xludf.DUMMYFUNCTION("REGEXEXTRACT(C166, ""ک\s(\d{16})"")"),"6037697600840968")</f>
        <v>6037697600840968</v>
      </c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25.5" customHeight="1">
      <c r="A167" s="19">
        <v>166.0</v>
      </c>
      <c r="B167" s="19" t="s">
        <v>503</v>
      </c>
      <c r="C167" s="21" t="s">
        <v>511</v>
      </c>
      <c r="D167" s="21" t="str">
        <f>VLOOKUP(G167, Cards!A:B, 2, FALSE)</f>
        <v>#N/A</v>
      </c>
      <c r="E167" s="22">
        <v>0.0</v>
      </c>
      <c r="F167" s="23">
        <v>12200.0</v>
      </c>
      <c r="G167" s="24" t="str">
        <f>IFERROR(__xludf.DUMMYFUNCTION("REGEXEXTRACT(C167, ""ک\s(\d{16})"")"),"6219861085979838")</f>
        <v>6219861085979838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25.5" customHeight="1">
      <c r="A168" s="19">
        <v>167.0</v>
      </c>
      <c r="B168" s="19" t="s">
        <v>503</v>
      </c>
      <c r="C168" s="21" t="s">
        <v>513</v>
      </c>
      <c r="D168" s="39" t="str">
        <f>VLOOKUP(G168, Cards!A:B, 2, FALSE)</f>
        <v>محسن خانگاه</v>
      </c>
      <c r="E168" s="22">
        <v>0.0</v>
      </c>
      <c r="F168" s="23">
        <v>6.239E7</v>
      </c>
      <c r="G168" s="24" t="str">
        <f>IFERROR(__xludf.DUMMYFUNCTION("REGEXEXTRACT(C168, ""ک\s(\d{16})"")"),"6274121208660688")</f>
        <v>6274121208660688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25.5" customHeight="1">
      <c r="A169" s="19">
        <v>168.0</v>
      </c>
      <c r="B169" s="19" t="s">
        <v>503</v>
      </c>
      <c r="C169" s="21" t="s">
        <v>515</v>
      </c>
      <c r="D169" s="21" t="str">
        <f>VLOOKUP(G169, Cards!A:B, 2, FALSE)</f>
        <v>#N/A</v>
      </c>
      <c r="E169" s="22">
        <v>0.0</v>
      </c>
      <c r="F169" s="23">
        <v>28200.0</v>
      </c>
      <c r="G169" s="24" t="str">
        <f>IFERROR(__xludf.DUMMYFUNCTION("REGEXEXTRACT(C169, ""ک\s(\d{16})"")"),"6219861085979838")</f>
        <v>6219861085979838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25.5" customHeight="1">
      <c r="A170" s="19">
        <v>169.0</v>
      </c>
      <c r="B170" s="19" t="s">
        <v>503</v>
      </c>
      <c r="C170" s="21" t="s">
        <v>517</v>
      </c>
      <c r="D170" s="21" t="str">
        <f>VLOOKUP(G170, Cards!A:B, 2, FALSE)</f>
        <v>#N/A</v>
      </c>
      <c r="E170" s="22">
        <v>550000.0</v>
      </c>
      <c r="F170" s="23">
        <v>0.0</v>
      </c>
      <c r="G170" s="24" t="str">
        <f>IFERROR(__xludf.DUMMYFUNCTION("REGEXEXTRACT(C170, ""ک\s(\d{16})"")"),"6037697648955661")</f>
        <v>6037697648955661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25.5" customHeight="1">
      <c r="A171" s="19">
        <v>170.0</v>
      </c>
      <c r="B171" s="19" t="s">
        <v>503</v>
      </c>
      <c r="C171" s="21" t="s">
        <v>520</v>
      </c>
      <c r="D171" s="21" t="str">
        <f>VLOOKUP(G171, Cards!A:B, 2, FALSE)</f>
        <v>#N/A</v>
      </c>
      <c r="E171" s="22">
        <v>1050000.0</v>
      </c>
      <c r="F171" s="23">
        <v>0.0</v>
      </c>
      <c r="G171" s="24" t="str">
        <f>IFERROR(__xludf.DUMMYFUNCTION("REGEXEXTRACT(C171, ""ک\s(\d{16})"")"),"6037998156963273")</f>
        <v>6037998156963273</v>
      </c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25.5" customHeight="1">
      <c r="A172" s="19">
        <v>171.0</v>
      </c>
      <c r="B172" s="19" t="s">
        <v>503</v>
      </c>
      <c r="C172" s="21" t="s">
        <v>523</v>
      </c>
      <c r="D172" s="21" t="str">
        <f>VLOOKUP(G172, Cards!A:B, 2, FALSE)</f>
        <v>#N/A</v>
      </c>
      <c r="E172" s="22">
        <v>100000.0</v>
      </c>
      <c r="F172" s="23">
        <v>0.0</v>
      </c>
      <c r="G172" s="24" t="str">
        <f>IFERROR(__xludf.DUMMYFUNCTION("REGEXEXTRACT(C172, ""ک\s(\d{16})"")"),"6037998262889479")</f>
        <v>6037998262889479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25.5" customHeight="1">
      <c r="A173" s="19">
        <v>172.0</v>
      </c>
      <c r="B173" s="19" t="s">
        <v>525</v>
      </c>
      <c r="C173" s="21" t="s">
        <v>527</v>
      </c>
      <c r="D173" s="21" t="str">
        <f>VLOOKUP(G173, Cards!A:B, 2, FALSE)</f>
        <v>#N/A</v>
      </c>
      <c r="E173" s="22">
        <v>1.57E8</v>
      </c>
      <c r="F173" s="23">
        <v>0.0</v>
      </c>
      <c r="G173" s="24" t="str">
        <f>IFERROR(__xludf.DUMMYFUNCTION("REGEXEXTRACT(C173, ""ک\s(\d{16})"")"),"#N/A")</f>
        <v>#N/A</v>
      </c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25.5" customHeight="1">
      <c r="A174" s="19">
        <v>173.0</v>
      </c>
      <c r="B174" s="19" t="s">
        <v>525</v>
      </c>
      <c r="C174" s="21" t="s">
        <v>531</v>
      </c>
      <c r="D174" s="21" t="str">
        <f>VLOOKUP(G174, Cards!A:B, 2, FALSE)</f>
        <v>#N/A</v>
      </c>
      <c r="E174" s="22">
        <v>0.0</v>
      </c>
      <c r="F174" s="23">
        <v>1.3E8</v>
      </c>
      <c r="G174" s="24" t="str">
        <f>IFERROR(__xludf.DUMMYFUNCTION("REGEXEXTRACT(C174, ""ک\s(\d{16})"")"),"#N/A")</f>
        <v>#N/A</v>
      </c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25.5" customHeight="1">
      <c r="A175" s="19">
        <v>174.0</v>
      </c>
      <c r="B175" s="19" t="s">
        <v>525</v>
      </c>
      <c r="C175" s="21" t="s">
        <v>535</v>
      </c>
      <c r="D175" s="39" t="str">
        <f>VLOOKUP(G175, Cards!A:B, 2, FALSE)</f>
        <v>محمد کوچکي</v>
      </c>
      <c r="E175" s="22">
        <v>0.0</v>
      </c>
      <c r="F175" s="23">
        <v>1.56E7</v>
      </c>
      <c r="G175" s="24" t="str">
        <f>IFERROR(__xludf.DUMMYFUNCTION("REGEXEXTRACT(C175, ""ک\s(\d{16})"")"),"6037697600840968")</f>
        <v>6037697600840968</v>
      </c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25.5" customHeight="1">
      <c r="A176" s="19">
        <v>175.0</v>
      </c>
      <c r="B176" s="19" t="s">
        <v>525</v>
      </c>
      <c r="C176" s="21" t="s">
        <v>537</v>
      </c>
      <c r="D176" s="21" t="str">
        <f>VLOOKUP(G176, Cards!A:B, 2, FALSE)</f>
        <v>#N/A</v>
      </c>
      <c r="E176" s="22">
        <v>0.0</v>
      </c>
      <c r="F176" s="23">
        <v>12200.0</v>
      </c>
      <c r="G176" s="24" t="str">
        <f>IFERROR(__xludf.DUMMYFUNCTION("REGEXEXTRACT(C176, ""ک\s(\d{16})"")"),"6219861085979838")</f>
        <v>6219861085979838</v>
      </c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25.5" customHeight="1">
      <c r="A177" s="19">
        <v>176.0</v>
      </c>
      <c r="B177" s="19" t="s">
        <v>525</v>
      </c>
      <c r="C177" s="21" t="s">
        <v>539</v>
      </c>
      <c r="D177" s="21" t="str">
        <f>VLOOKUP(G177, Cards!A:B, 2, FALSE)</f>
        <v>#N/A</v>
      </c>
      <c r="E177" s="22">
        <v>0.0</v>
      </c>
      <c r="F177" s="23">
        <v>2.035E7</v>
      </c>
      <c r="G177" s="24" t="str">
        <f>IFERROR(__xludf.DUMMYFUNCTION("REGEXEXTRACT(C177, ""ک\s(\d{16})"")"),"6104338738476148")</f>
        <v>6104338738476148</v>
      </c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25.5" customHeight="1">
      <c r="A178" s="19">
        <v>177.0</v>
      </c>
      <c r="B178" s="19" t="s">
        <v>525</v>
      </c>
      <c r="C178" s="21" t="s">
        <v>541</v>
      </c>
      <c r="D178" s="21" t="str">
        <f>VLOOKUP(G178, Cards!A:B, 2, FALSE)</f>
        <v>#N/A</v>
      </c>
      <c r="E178" s="22">
        <v>0.0</v>
      </c>
      <c r="F178" s="23">
        <v>15400.0</v>
      </c>
      <c r="G178" s="24" t="str">
        <f>IFERROR(__xludf.DUMMYFUNCTION("REGEXEXTRACT(C178, ""ک\s(\d{16})"")"),"6219861085979838")</f>
        <v>6219861085979838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25.5" customHeight="1">
      <c r="A179" s="19">
        <v>178.0</v>
      </c>
      <c r="B179" s="19" t="s">
        <v>525</v>
      </c>
      <c r="C179" s="21" t="s">
        <v>543</v>
      </c>
      <c r="D179" s="39" t="str">
        <f>VLOOKUP(G179, Cards!A:B, 2, FALSE)</f>
        <v>محسن خانگاه</v>
      </c>
      <c r="E179" s="22">
        <v>0.0</v>
      </c>
      <c r="F179" s="23">
        <v>3.22E7</v>
      </c>
      <c r="G179" s="24" t="str">
        <f>IFERROR(__xludf.DUMMYFUNCTION("REGEXEXTRACT(C179, ""ک\s(\d{16})"")"),"6274121208660688")</f>
        <v>6274121208660688</v>
      </c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25.5" customHeight="1">
      <c r="A180" s="19">
        <v>179.0</v>
      </c>
      <c r="B180" s="19" t="s">
        <v>525</v>
      </c>
      <c r="C180" s="21" t="s">
        <v>545</v>
      </c>
      <c r="D180" s="21" t="str">
        <f>VLOOKUP(G180, Cards!A:B, 2, FALSE)</f>
        <v>#N/A</v>
      </c>
      <c r="E180" s="22">
        <v>0.0</v>
      </c>
      <c r="F180" s="23">
        <v>18600.0</v>
      </c>
      <c r="G180" s="24" t="str">
        <f>IFERROR(__xludf.DUMMYFUNCTION("REGEXEXTRACT(C180, ""ک\s(\d{16})"")"),"6219861085979838")</f>
        <v>6219861085979838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25.5" customHeight="1">
      <c r="A181" s="19">
        <v>180.0</v>
      </c>
      <c r="B181" s="19" t="s">
        <v>525</v>
      </c>
      <c r="C181" s="21" t="s">
        <v>547</v>
      </c>
      <c r="D181" s="21" t="str">
        <f>VLOOKUP(G181, Cards!A:B, 2, FALSE)</f>
        <v>#N/A</v>
      </c>
      <c r="E181" s="22">
        <v>0.0</v>
      </c>
      <c r="F181" s="23">
        <v>1.333E7</v>
      </c>
      <c r="G181" s="24" t="str">
        <f>IFERROR(__xludf.DUMMYFUNCTION("REGEXEXTRACT(C181, ""ک\s(\d{16})"")"),"5894631178646402")</f>
        <v>5894631178646402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25.5" customHeight="1">
      <c r="A182" s="19">
        <v>181.0</v>
      </c>
      <c r="B182" s="19" t="s">
        <v>525</v>
      </c>
      <c r="C182" s="21" t="s">
        <v>549</v>
      </c>
      <c r="D182" s="21" t="str">
        <f>VLOOKUP(G182, Cards!A:B, 2, FALSE)</f>
        <v>#N/A</v>
      </c>
      <c r="E182" s="22">
        <v>0.0</v>
      </c>
      <c r="F182" s="23">
        <v>12200.0</v>
      </c>
      <c r="G182" s="24" t="str">
        <f>IFERROR(__xludf.DUMMYFUNCTION("REGEXEXTRACT(C182, ""ک\s(\d{16})"")"),"6219861085979838")</f>
        <v>6219861085979838</v>
      </c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25.5" customHeight="1">
      <c r="A183" s="19">
        <v>182.0</v>
      </c>
      <c r="B183" s="19" t="s">
        <v>525</v>
      </c>
      <c r="C183" s="21" t="s">
        <v>551</v>
      </c>
      <c r="D183" s="21" t="str">
        <f>VLOOKUP(G183, Cards!A:B, 2, FALSE)</f>
        <v>#N/A</v>
      </c>
      <c r="E183" s="22">
        <v>0.0</v>
      </c>
      <c r="F183" s="23">
        <v>7000000.0</v>
      </c>
      <c r="G183" s="24" t="str">
        <f>IFERROR(__xludf.DUMMYFUNCTION("REGEXEXTRACT(C183, ""ک\s(\d{16})"")"),"5859831103338371")</f>
        <v>5859831103338371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25.5" customHeight="1">
      <c r="A184" s="19">
        <v>183.0</v>
      </c>
      <c r="B184" s="19" t="s">
        <v>525</v>
      </c>
      <c r="C184" s="21" t="s">
        <v>553</v>
      </c>
      <c r="D184" s="21" t="str">
        <f>VLOOKUP(G184, Cards!A:B, 2, FALSE)</f>
        <v>#N/A</v>
      </c>
      <c r="E184" s="22">
        <v>0.0</v>
      </c>
      <c r="F184" s="23">
        <v>9000.0</v>
      </c>
      <c r="G184" s="24" t="str">
        <f>IFERROR(__xludf.DUMMYFUNCTION("REGEXEXTRACT(C184, ""ک\s(\d{16})"")"),"6219861085979838")</f>
        <v>6219861085979838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25.5" customHeight="1">
      <c r="A185" s="19">
        <v>184.0</v>
      </c>
      <c r="B185" s="19" t="s">
        <v>525</v>
      </c>
      <c r="C185" s="21" t="s">
        <v>555</v>
      </c>
      <c r="D185" s="21" t="str">
        <f>VLOOKUP(G185, Cards!A:B, 2, FALSE)</f>
        <v>#N/A</v>
      </c>
      <c r="E185" s="22">
        <v>650000.0</v>
      </c>
      <c r="F185" s="23">
        <v>0.0</v>
      </c>
      <c r="G185" s="24" t="str">
        <f>IFERROR(__xludf.DUMMYFUNCTION("REGEXEXTRACT(C185, ""ک\s(\d{16})"")"),"5894631231781055")</f>
        <v>5894631231781055</v>
      </c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25.5" customHeight="1">
      <c r="A186" s="19">
        <v>185.0</v>
      </c>
      <c r="B186" s="19" t="s">
        <v>525</v>
      </c>
      <c r="C186" s="21" t="s">
        <v>558</v>
      </c>
      <c r="D186" s="21" t="str">
        <f>VLOOKUP(G186, Cards!A:B, 2, FALSE)</f>
        <v>#N/A</v>
      </c>
      <c r="E186" s="22">
        <v>0.0</v>
      </c>
      <c r="F186" s="23">
        <v>5.0E7</v>
      </c>
      <c r="G186" s="24" t="str">
        <f>IFERROR(__xludf.DUMMYFUNCTION("REGEXEXTRACT(C186, ""ک\s(\d{16})"")"),"#N/A")</f>
        <v>#N/A</v>
      </c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25.5" customHeight="1">
      <c r="A187" s="19">
        <v>186.0</v>
      </c>
      <c r="B187" s="19" t="s">
        <v>525</v>
      </c>
      <c r="C187" s="21" t="s">
        <v>335</v>
      </c>
      <c r="D187" s="21" t="str">
        <f>VLOOKUP(G187, Cards!A:B, 2, FALSE)</f>
        <v>#N/A</v>
      </c>
      <c r="E187" s="22">
        <v>0.0</v>
      </c>
      <c r="F187" s="23">
        <v>10000.0</v>
      </c>
      <c r="G187" s="24" t="str">
        <f>IFERROR(__xludf.DUMMYFUNCTION("REGEXEXTRACT(C187, ""ک\s(\d{16})"")"),"#N/A")</f>
        <v>#N/A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25.5" customHeight="1">
      <c r="A188" s="19">
        <v>187.0</v>
      </c>
      <c r="B188" s="19" t="s">
        <v>561</v>
      </c>
      <c r="C188" s="21" t="s">
        <v>563</v>
      </c>
      <c r="D188" s="21" t="str">
        <f>VLOOKUP(G188, Cards!A:B, 2, FALSE)</f>
        <v>#N/A</v>
      </c>
      <c r="E188" s="22">
        <v>1.5E8</v>
      </c>
      <c r="F188" s="23">
        <v>0.0</v>
      </c>
      <c r="G188" s="24" t="str">
        <f>IFERROR(__xludf.DUMMYFUNCTION("REGEXEXTRACT(C188, ""ک\s(\d{16})"")"),"#N/A")</f>
        <v>#N/A</v>
      </c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25.5" customHeight="1">
      <c r="A189" s="19">
        <v>188.0</v>
      </c>
      <c r="B189" s="19" t="s">
        <v>561</v>
      </c>
      <c r="C189" s="21" t="s">
        <v>567</v>
      </c>
      <c r="D189" s="39" t="str">
        <f>VLOOKUP(G189, Cards!A:B, 2, FALSE)</f>
        <v>محسن خانگاه</v>
      </c>
      <c r="E189" s="22">
        <v>0.0</v>
      </c>
      <c r="F189" s="23">
        <v>3.0E7</v>
      </c>
      <c r="G189" s="24" t="str">
        <f>IFERROR(__xludf.DUMMYFUNCTION("REGEXEXTRACT(C189, ""ک\s(\d{16})"")"),"6274121208660688")</f>
        <v>6274121208660688</v>
      </c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25.5" customHeight="1">
      <c r="A190" s="19">
        <v>189.0</v>
      </c>
      <c r="B190" s="19" t="s">
        <v>561</v>
      </c>
      <c r="C190" s="21" t="s">
        <v>569</v>
      </c>
      <c r="D190" s="21" t="str">
        <f>VLOOKUP(G190, Cards!A:B, 2, FALSE)</f>
        <v>#N/A</v>
      </c>
      <c r="E190" s="22">
        <v>0.0</v>
      </c>
      <c r="F190" s="23">
        <v>15400.0</v>
      </c>
      <c r="G190" s="24" t="str">
        <f>IFERROR(__xludf.DUMMYFUNCTION("REGEXEXTRACT(C190, ""ک\s(\d{16})"")"),"6219861085979838")</f>
        <v>6219861085979838</v>
      </c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25.5" customHeight="1">
      <c r="A191" s="19">
        <v>190.0</v>
      </c>
      <c r="B191" s="19" t="s">
        <v>561</v>
      </c>
      <c r="C191" s="21" t="s">
        <v>571</v>
      </c>
      <c r="D191" s="21" t="str">
        <f>VLOOKUP(G191, Cards!A:B, 2, FALSE)</f>
        <v>#N/A</v>
      </c>
      <c r="E191" s="22">
        <v>0.0</v>
      </c>
      <c r="F191" s="23">
        <v>2.07644E7</v>
      </c>
      <c r="G191" s="24" t="str">
        <f>IFERROR(__xludf.DUMMYFUNCTION("REGEXEXTRACT(C191, ""ک\s(\d{16})"")"),"6104338738476148")</f>
        <v>6104338738476148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25.5" customHeight="1">
      <c r="A192" s="19">
        <v>191.0</v>
      </c>
      <c r="B192" s="19" t="s">
        <v>561</v>
      </c>
      <c r="C192" s="21" t="s">
        <v>573</v>
      </c>
      <c r="D192" s="21" t="str">
        <f>VLOOKUP(G192, Cards!A:B, 2, FALSE)</f>
        <v>#N/A</v>
      </c>
      <c r="E192" s="22">
        <v>0.0</v>
      </c>
      <c r="F192" s="23">
        <v>15400.0</v>
      </c>
      <c r="G192" s="24" t="str">
        <f>IFERROR(__xludf.DUMMYFUNCTION("REGEXEXTRACT(C192, ""ک\s(\d{16})"")"),"6219861085979838")</f>
        <v>6219861085979838</v>
      </c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25.5" customHeight="1">
      <c r="A193" s="19">
        <v>192.0</v>
      </c>
      <c r="B193" s="19" t="s">
        <v>561</v>
      </c>
      <c r="C193" s="21" t="s">
        <v>575</v>
      </c>
      <c r="D193" s="21" t="str">
        <f>VLOOKUP(G193, Cards!A:B, 2, FALSE)</f>
        <v>#N/A</v>
      </c>
      <c r="E193" s="22">
        <v>0.0</v>
      </c>
      <c r="F193" s="23">
        <v>2.133E7</v>
      </c>
      <c r="G193" s="24" t="str">
        <f>IFERROR(__xludf.DUMMYFUNCTION("REGEXEXTRACT(C193, ""ک\s(\d{16})"")"),"5894631178646402")</f>
        <v>5894631178646402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25.5" customHeight="1">
      <c r="A194" s="19">
        <v>193.0</v>
      </c>
      <c r="B194" s="19" t="s">
        <v>561</v>
      </c>
      <c r="C194" s="21" t="s">
        <v>577</v>
      </c>
      <c r="D194" s="21" t="str">
        <f>VLOOKUP(G194, Cards!A:B, 2, FALSE)</f>
        <v>#N/A</v>
      </c>
      <c r="E194" s="22">
        <v>0.0</v>
      </c>
      <c r="F194" s="23">
        <v>15400.0</v>
      </c>
      <c r="G194" s="24" t="str">
        <f>IFERROR(__xludf.DUMMYFUNCTION("REGEXEXTRACT(C194, ""ک\s(\d{16})"")"),"6219861085979838")</f>
        <v>6219861085979838</v>
      </c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25.5" customHeight="1">
      <c r="A195" s="19">
        <v>194.0</v>
      </c>
      <c r="B195" s="19" t="s">
        <v>561</v>
      </c>
      <c r="C195" s="21" t="s">
        <v>579</v>
      </c>
      <c r="D195" s="21" t="str">
        <f>VLOOKUP(G195, Cards!A:B, 2, FALSE)</f>
        <v>#N/A</v>
      </c>
      <c r="E195" s="22">
        <v>0.0</v>
      </c>
      <c r="F195" s="23">
        <v>758350.0</v>
      </c>
      <c r="G195" s="24" t="str">
        <f>IFERROR(__xludf.DUMMYFUNCTION("REGEXEXTRACT(C195, ""ک\s(\d{16})"")"),"6219861085979838")</f>
        <v>6219861085979838</v>
      </c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25.5" customHeight="1">
      <c r="A196" s="19">
        <v>195.0</v>
      </c>
      <c r="B196" s="19" t="s">
        <v>581</v>
      </c>
      <c r="C196" s="21" t="s">
        <v>583</v>
      </c>
      <c r="D196" s="21" t="str">
        <f>VLOOKUP(G196, Cards!A:B, 2, FALSE)</f>
        <v>#N/A</v>
      </c>
      <c r="E196" s="22">
        <v>3.9E7</v>
      </c>
      <c r="F196" s="23">
        <v>0.0</v>
      </c>
      <c r="G196" s="24" t="str">
        <f>IFERROR(__xludf.DUMMYFUNCTION("REGEXEXTRACT(C196, ""ک\s(\d{16})"")"),"#N/A")</f>
        <v>#N/A</v>
      </c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25.5" customHeight="1">
      <c r="A197" s="19">
        <v>196.0</v>
      </c>
      <c r="B197" s="19" t="s">
        <v>581</v>
      </c>
      <c r="C197" s="21" t="s">
        <v>587</v>
      </c>
      <c r="D197" s="39" t="str">
        <f>VLOOKUP(G197, Cards!A:B, 2, FALSE)</f>
        <v>محمد کوچکي</v>
      </c>
      <c r="E197" s="22">
        <v>0.0</v>
      </c>
      <c r="F197" s="23">
        <v>1.56E7</v>
      </c>
      <c r="G197" s="24" t="str">
        <f>IFERROR(__xludf.DUMMYFUNCTION("REGEXEXTRACT(C197, ""ک\s(\d{16})"")"),"6037697600840968")</f>
        <v>6037697600840968</v>
      </c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25.5" customHeight="1">
      <c r="A198" s="19">
        <v>197.0</v>
      </c>
      <c r="B198" s="19" t="s">
        <v>581</v>
      </c>
      <c r="C198" s="21" t="s">
        <v>589</v>
      </c>
      <c r="D198" s="21" t="str">
        <f>VLOOKUP(G198, Cards!A:B, 2, FALSE)</f>
        <v>#N/A</v>
      </c>
      <c r="E198" s="22">
        <v>0.0</v>
      </c>
      <c r="F198" s="23">
        <v>12200.0</v>
      </c>
      <c r="G198" s="24" t="str">
        <f>IFERROR(__xludf.DUMMYFUNCTION("REGEXEXTRACT(C198, ""ک\s(\d{16})"")"),"6219861085979838")</f>
        <v>6219861085979838</v>
      </c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25.5" customHeight="1">
      <c r="A199" s="19">
        <v>198.0</v>
      </c>
      <c r="B199" s="19" t="s">
        <v>581</v>
      </c>
      <c r="C199" s="21" t="s">
        <v>591</v>
      </c>
      <c r="D199" s="21" t="str">
        <f>VLOOKUP(G199, Cards!A:B, 2, FALSE)</f>
        <v>#N/A</v>
      </c>
      <c r="E199" s="22">
        <v>0.0</v>
      </c>
      <c r="F199" s="23">
        <v>1.0E8</v>
      </c>
      <c r="G199" s="24" t="str">
        <f>IFERROR(__xludf.DUMMYFUNCTION("REGEXEXTRACT(C199, ""ک\s(\d{16})"")"),"#N/A")</f>
        <v>#N/A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25.5" customHeight="1">
      <c r="A200" s="19">
        <v>199.0</v>
      </c>
      <c r="B200" s="19" t="s">
        <v>581</v>
      </c>
      <c r="C200" s="21" t="s">
        <v>335</v>
      </c>
      <c r="D200" s="21" t="str">
        <f>VLOOKUP(G200, Cards!A:B, 2, FALSE)</f>
        <v>#N/A</v>
      </c>
      <c r="E200" s="22">
        <v>0.0</v>
      </c>
      <c r="F200" s="23">
        <v>20000.0</v>
      </c>
      <c r="G200" s="24" t="str">
        <f>IFERROR(__xludf.DUMMYFUNCTION("REGEXEXTRACT(C200, ""ک\s(\d{16})"")"),"#N/A")</f>
        <v>#N/A</v>
      </c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25.5" customHeight="1">
      <c r="A201" s="19">
        <v>200.0</v>
      </c>
      <c r="B201" s="19" t="s">
        <v>581</v>
      </c>
      <c r="C201" s="21" t="s">
        <v>595</v>
      </c>
      <c r="D201" s="21" t="str">
        <f>VLOOKUP(G201, Cards!A:B, 2, FALSE)</f>
        <v>#N/A</v>
      </c>
      <c r="E201" s="22">
        <v>500000.0</v>
      </c>
      <c r="F201" s="23">
        <v>0.0</v>
      </c>
      <c r="G201" s="24" t="str">
        <f>IFERROR(__xludf.DUMMYFUNCTION("REGEXEXTRACT(C201, ""ک\s(\d{16})"")"),"6037997154145891")</f>
        <v>6037997154145891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25.5" customHeight="1">
      <c r="A202" s="19">
        <v>201.0</v>
      </c>
      <c r="B202" s="19" t="s">
        <v>581</v>
      </c>
      <c r="C202" s="21" t="s">
        <v>598</v>
      </c>
      <c r="D202" s="21" t="str">
        <f>VLOOKUP(G202, Cards!A:B, 2, FALSE)</f>
        <v>#N/A</v>
      </c>
      <c r="E202" s="22">
        <v>1100000.0</v>
      </c>
      <c r="F202" s="23">
        <v>0.0</v>
      </c>
      <c r="G202" s="24" t="str">
        <f>IFERROR(__xludf.DUMMYFUNCTION("REGEXEXTRACT(C202, ""ک\s(\d{16})"")"),"#N/A")</f>
        <v>#N/A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25.5" customHeight="1">
      <c r="A203" s="19">
        <v>202.0</v>
      </c>
      <c r="B203" s="19" t="s">
        <v>600</v>
      </c>
      <c r="C203" s="21" t="s">
        <v>602</v>
      </c>
      <c r="D203" s="21" t="str">
        <f>VLOOKUP(G203, Cards!A:B, 2, FALSE)</f>
        <v>#N/A</v>
      </c>
      <c r="E203" s="22">
        <v>1.25E8</v>
      </c>
      <c r="F203" s="23">
        <v>0.0</v>
      </c>
      <c r="G203" s="24" t="str">
        <f>IFERROR(__xludf.DUMMYFUNCTION("REGEXEXTRACT(C203, ""ک\s(\d{16})"")"),"#N/A")</f>
        <v>#N/A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25.5" customHeight="1">
      <c r="A204" s="19">
        <v>203.0</v>
      </c>
      <c r="B204" s="19" t="s">
        <v>605</v>
      </c>
      <c r="C204" s="21" t="s">
        <v>607</v>
      </c>
      <c r="D204" s="21" t="str">
        <f>VLOOKUP(G204, Cards!A:B, 2, FALSE)</f>
        <v>#N/A</v>
      </c>
      <c r="E204" s="22">
        <v>0.0</v>
      </c>
      <c r="F204" s="23">
        <v>1800.0</v>
      </c>
      <c r="G204" s="24" t="str">
        <f>IFERROR(__xludf.DUMMYFUNCTION("REGEXEXTRACT(C204, ""ک\s(\d{16})"")"),"6219861085979838")</f>
        <v>6219861085979838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25.5" customHeight="1">
      <c r="A205" s="19">
        <v>204.0</v>
      </c>
      <c r="B205" s="19" t="s">
        <v>605</v>
      </c>
      <c r="C205" s="21" t="s">
        <v>610</v>
      </c>
      <c r="D205" s="21" t="str">
        <f>VLOOKUP(G205, Cards!A:B, 2, FALSE)</f>
        <v>#N/A</v>
      </c>
      <c r="E205" s="22">
        <v>0.0</v>
      </c>
      <c r="F205" s="23">
        <v>1.45E7</v>
      </c>
      <c r="G205" s="24" t="str">
        <f>IFERROR(__xludf.DUMMYFUNCTION("REGEXEXTRACT(C205, ""ک\s(\d{16})"")"),"5041721027695767")</f>
        <v>5041721027695767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25.5" customHeight="1">
      <c r="A206" s="19">
        <v>205.0</v>
      </c>
      <c r="B206" s="19" t="s">
        <v>605</v>
      </c>
      <c r="C206" s="21" t="s">
        <v>612</v>
      </c>
      <c r="D206" s="21" t="str">
        <f>VLOOKUP(G206, Cards!A:B, 2, FALSE)</f>
        <v>#N/A</v>
      </c>
      <c r="E206" s="22">
        <v>0.0</v>
      </c>
      <c r="F206" s="23">
        <v>12200.0</v>
      </c>
      <c r="G206" s="24" t="str">
        <f>IFERROR(__xludf.DUMMYFUNCTION("REGEXEXTRACT(C206, ""ک\s(\d{16})"")"),"6219861085979838")</f>
        <v>6219861085979838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25.5" customHeight="1">
      <c r="A207" s="19">
        <v>206.0</v>
      </c>
      <c r="B207" s="19" t="s">
        <v>605</v>
      </c>
      <c r="C207" s="21" t="s">
        <v>614</v>
      </c>
      <c r="D207" s="21" t="str">
        <f>VLOOKUP(G207, Cards!A:B, 2, FALSE)</f>
        <v>#N/A</v>
      </c>
      <c r="E207" s="22">
        <v>0.0</v>
      </c>
      <c r="F207" s="23">
        <v>1.039E7</v>
      </c>
      <c r="G207" s="24" t="str">
        <f>IFERROR(__xludf.DUMMYFUNCTION("REGEXEXTRACT(C207, ""ک\s(\d{16})"")"),"5894631178646402")</f>
        <v>5894631178646402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25.5" customHeight="1">
      <c r="A208" s="19">
        <v>207.0</v>
      </c>
      <c r="B208" s="19" t="s">
        <v>605</v>
      </c>
      <c r="C208" s="21" t="s">
        <v>616</v>
      </c>
      <c r="D208" s="21" t="str">
        <f>VLOOKUP(G208, Cards!A:B, 2, FALSE)</f>
        <v>#N/A</v>
      </c>
      <c r="E208" s="22">
        <v>0.0</v>
      </c>
      <c r="F208" s="23">
        <v>12200.0</v>
      </c>
      <c r="G208" s="24" t="str">
        <f>IFERROR(__xludf.DUMMYFUNCTION("REGEXEXTRACT(C208, ""ک\s(\d{16})"")"),"6219861085979838")</f>
        <v>6219861085979838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25.5" customHeight="1">
      <c r="A209" s="19">
        <v>208.0</v>
      </c>
      <c r="B209" s="19" t="s">
        <v>605</v>
      </c>
      <c r="C209" s="21" t="s">
        <v>618</v>
      </c>
      <c r="D209" s="21" t="str">
        <f>VLOOKUP(G209, Cards!A:B, 2, FALSE)</f>
        <v>#N/A</v>
      </c>
      <c r="E209" s="22">
        <v>0.0</v>
      </c>
      <c r="F209" s="23">
        <v>2.03352E7</v>
      </c>
      <c r="G209" s="24" t="str">
        <f>IFERROR(__xludf.DUMMYFUNCTION("REGEXEXTRACT(C209, ""ک\s(\d{16})"")"),"6104338738476148")</f>
        <v>6104338738476148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25.5" customHeight="1">
      <c r="A210" s="19">
        <v>209.0</v>
      </c>
      <c r="B210" s="19" t="s">
        <v>605</v>
      </c>
      <c r="C210" s="21" t="s">
        <v>620</v>
      </c>
      <c r="D210" s="21" t="str">
        <f>VLOOKUP(G210, Cards!A:B, 2, FALSE)</f>
        <v>#N/A</v>
      </c>
      <c r="E210" s="22">
        <v>0.0</v>
      </c>
      <c r="F210" s="23">
        <v>15400.0</v>
      </c>
      <c r="G210" s="24" t="str">
        <f>IFERROR(__xludf.DUMMYFUNCTION("REGEXEXTRACT(C210, ""ک\s(\d{16})"")"),"6219861085979838")</f>
        <v>6219861085979838</v>
      </c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25.5" customHeight="1">
      <c r="A211" s="19">
        <v>210.0</v>
      </c>
      <c r="B211" s="19" t="s">
        <v>605</v>
      </c>
      <c r="C211" s="21" t="s">
        <v>622</v>
      </c>
      <c r="D211" s="39" t="str">
        <f>VLOOKUP(G211, Cards!A:B, 2, FALSE)</f>
        <v>محسن خانگاه</v>
      </c>
      <c r="E211" s="22">
        <v>0.0</v>
      </c>
      <c r="F211" s="23">
        <v>3.37E7</v>
      </c>
      <c r="G211" s="24" t="str">
        <f>IFERROR(__xludf.DUMMYFUNCTION("REGEXEXTRACT(C211, ""ک\s(\d{16})"")"),"6274121208660688")</f>
        <v>6274121208660688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25.5" customHeight="1">
      <c r="A212" s="19">
        <v>211.0</v>
      </c>
      <c r="B212" s="19" t="s">
        <v>605</v>
      </c>
      <c r="C212" s="21" t="s">
        <v>624</v>
      </c>
      <c r="D212" s="21" t="str">
        <f>VLOOKUP(G212, Cards!A:B, 2, FALSE)</f>
        <v>#N/A</v>
      </c>
      <c r="E212" s="22">
        <v>0.0</v>
      </c>
      <c r="F212" s="23">
        <v>18600.0</v>
      </c>
      <c r="G212" s="24" t="str">
        <f>IFERROR(__xludf.DUMMYFUNCTION("REGEXEXTRACT(C212, ""ک\s(\d{16})"")"),"6219861085979838")</f>
        <v>6219861085979838</v>
      </c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25.5" customHeight="1">
      <c r="A213" s="19">
        <v>212.0</v>
      </c>
      <c r="B213" s="19" t="s">
        <v>605</v>
      </c>
      <c r="C213" s="21" t="s">
        <v>626</v>
      </c>
      <c r="D213" s="21" t="str">
        <f>VLOOKUP(G213, Cards!A:B, 2, FALSE)</f>
        <v>#N/A</v>
      </c>
      <c r="E213" s="22">
        <v>600000.0</v>
      </c>
      <c r="F213" s="23">
        <v>0.0</v>
      </c>
      <c r="G213" s="24" t="str">
        <f>IFERROR(__xludf.DUMMYFUNCTION("REGEXEXTRACT(C213, ""ک\s(\d{16})"")"),"5894631110179074")</f>
        <v>5894631110179074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25.5" customHeight="1">
      <c r="A214" s="19">
        <v>213.0</v>
      </c>
      <c r="B214" s="19" t="s">
        <v>605</v>
      </c>
      <c r="C214" s="21" t="s">
        <v>629</v>
      </c>
      <c r="D214" s="21" t="str">
        <f>VLOOKUP(G214, Cards!A:B, 2, FALSE)</f>
        <v>#N/A</v>
      </c>
      <c r="E214" s="22">
        <v>0.0</v>
      </c>
      <c r="F214" s="23">
        <v>1.126E7</v>
      </c>
      <c r="G214" s="24" t="str">
        <f>IFERROR(__xludf.DUMMYFUNCTION("REGEXEXTRACT(C214, ""ک\s(\d{16})"")"),"6219861085979838")</f>
        <v>6219861085979838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25.5" customHeight="1">
      <c r="A215" s="19">
        <v>214.0</v>
      </c>
      <c r="B215" s="19" t="s">
        <v>605</v>
      </c>
      <c r="C215" s="21" t="s">
        <v>632</v>
      </c>
      <c r="D215" s="21" t="str">
        <f>VLOOKUP(G215, Cards!A:B, 2, FALSE)</f>
        <v>#N/A</v>
      </c>
      <c r="E215" s="22">
        <v>0.0</v>
      </c>
      <c r="F215" s="23">
        <v>1800.0</v>
      </c>
      <c r="G215" s="24" t="str">
        <f>IFERROR(__xludf.DUMMYFUNCTION("REGEXEXTRACT(C215, ""ک\s(\d{16})"")"),"6219861085979838")</f>
        <v>6219861085979838</v>
      </c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25.5" customHeight="1">
      <c r="A216" s="19">
        <v>215.0</v>
      </c>
      <c r="B216" s="19" t="s">
        <v>605</v>
      </c>
      <c r="C216" s="21" t="s">
        <v>635</v>
      </c>
      <c r="D216" s="21" t="str">
        <f>VLOOKUP(G216, Cards!A:B, 2, FALSE)</f>
        <v>#N/A</v>
      </c>
      <c r="E216" s="22">
        <v>0.0</v>
      </c>
      <c r="F216" s="23">
        <v>1.9E7</v>
      </c>
      <c r="G216" s="24" t="str">
        <f>IFERROR(__xludf.DUMMYFUNCTION("REGEXEXTRACT(C216, ""ک\s(\d{16})"")"),"6221061103079648")</f>
        <v>6221061103079648</v>
      </c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25.5" customHeight="1">
      <c r="A217" s="19">
        <v>216.0</v>
      </c>
      <c r="B217" s="19" t="s">
        <v>605</v>
      </c>
      <c r="C217" s="21" t="s">
        <v>637</v>
      </c>
      <c r="D217" s="21" t="str">
        <f>VLOOKUP(G217, Cards!A:B, 2, FALSE)</f>
        <v>#N/A</v>
      </c>
      <c r="E217" s="22">
        <v>0.0</v>
      </c>
      <c r="F217" s="23">
        <v>12200.0</v>
      </c>
      <c r="G217" s="24" t="str">
        <f>IFERROR(__xludf.DUMMYFUNCTION("REGEXEXTRACT(C217, ""ک\s(\d{16})"")"),"6219861085979838")</f>
        <v>6219861085979838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25.5" customHeight="1">
      <c r="A218" s="19">
        <v>217.0</v>
      </c>
      <c r="B218" s="19" t="s">
        <v>605</v>
      </c>
      <c r="C218" s="21" t="s">
        <v>639</v>
      </c>
      <c r="D218" s="21" t="str">
        <f>VLOOKUP(G218, Cards!A:B, 2, FALSE)</f>
        <v>#N/A</v>
      </c>
      <c r="E218" s="22">
        <v>0.0</v>
      </c>
      <c r="F218" s="23">
        <v>1.56E7</v>
      </c>
      <c r="G218" s="24" t="str">
        <f>IFERROR(__xludf.DUMMYFUNCTION("REGEXEXTRACT(C218, ""ک\s(\d{16})"")"),"6219861085979838")</f>
        <v>6219861085979838</v>
      </c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25.5" customHeight="1">
      <c r="A219" s="19">
        <v>218.0</v>
      </c>
      <c r="B219" s="19" t="s">
        <v>605</v>
      </c>
      <c r="C219" s="21" t="s">
        <v>642</v>
      </c>
      <c r="D219" s="21" t="str">
        <f>VLOOKUP(G219, Cards!A:B, 2, FALSE)</f>
        <v>#N/A</v>
      </c>
      <c r="E219" s="22">
        <v>0.0</v>
      </c>
      <c r="F219" s="23">
        <v>1525000.0</v>
      </c>
      <c r="G219" s="24" t="str">
        <f>IFERROR(__xludf.DUMMYFUNCTION("REGEXEXTRACT(C219, ""ک\s(\d{16})"")"),"6219861085979838")</f>
        <v>6219861085979838</v>
      </c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25.5" customHeight="1">
      <c r="A220" s="19">
        <v>219.0</v>
      </c>
      <c r="B220" s="19" t="s">
        <v>605</v>
      </c>
      <c r="C220" s="21" t="s">
        <v>645</v>
      </c>
      <c r="D220" s="21" t="str">
        <f>VLOOKUP(G220, Cards!A:B, 2, FALSE)</f>
        <v>#N/A</v>
      </c>
      <c r="E220" s="22">
        <v>0.0</v>
      </c>
      <c r="F220" s="23">
        <v>1800.0</v>
      </c>
      <c r="G220" s="24" t="str">
        <f>IFERROR(__xludf.DUMMYFUNCTION("REGEXEXTRACT(C220, ""ک\s(\d{16})"")"),"6219861085979838")</f>
        <v>6219861085979838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25.5" customHeight="1">
      <c r="A221" s="19">
        <v>220.0</v>
      </c>
      <c r="B221" s="19" t="s">
        <v>605</v>
      </c>
      <c r="C221" s="21" t="s">
        <v>648</v>
      </c>
      <c r="D221" s="21" t="str">
        <f>VLOOKUP(G221, Cards!A:B, 2, FALSE)</f>
        <v>#N/A</v>
      </c>
      <c r="E221" s="22">
        <v>0.0</v>
      </c>
      <c r="F221" s="23">
        <v>2600000.0</v>
      </c>
      <c r="G221" s="24" t="str">
        <f>IFERROR(__xludf.DUMMYFUNCTION("REGEXEXTRACT(C221, ""ک\s(\d{16})"")"),"6219861085979838")</f>
        <v>6219861085979838</v>
      </c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25.5" customHeight="1">
      <c r="A222" s="19">
        <v>221.0</v>
      </c>
      <c r="B222" s="19" t="s">
        <v>650</v>
      </c>
      <c r="C222" s="21" t="s">
        <v>652</v>
      </c>
      <c r="D222" s="21" t="str">
        <f>VLOOKUP(G222, Cards!A:B, 2, FALSE)</f>
        <v>#N/A</v>
      </c>
      <c r="E222" s="22">
        <v>8.1E7</v>
      </c>
      <c r="F222" s="23">
        <v>0.0</v>
      </c>
      <c r="G222" s="24" t="str">
        <f>IFERROR(__xludf.DUMMYFUNCTION("REGEXEXTRACT(C222, ""ک\s(\d{16})"")"),"#N/A")</f>
        <v>#N/A</v>
      </c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25.5" customHeight="1">
      <c r="A223" s="19">
        <v>222.0</v>
      </c>
      <c r="B223" s="19" t="s">
        <v>650</v>
      </c>
      <c r="C223" s="21" t="s">
        <v>656</v>
      </c>
      <c r="D223" s="21" t="str">
        <f>VLOOKUP(G223, Cards!A:B, 2, FALSE)</f>
        <v>#N/A</v>
      </c>
      <c r="E223" s="22">
        <v>6.5E7</v>
      </c>
      <c r="F223" s="23">
        <v>0.0</v>
      </c>
      <c r="G223" s="24" t="str">
        <f>IFERROR(__xludf.DUMMYFUNCTION("REGEXEXTRACT(C223, ""ک\s(\d{16})"")"),"#N/A")</f>
        <v>#N/A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25.5" customHeight="1">
      <c r="A224" s="19">
        <v>223.0</v>
      </c>
      <c r="B224" s="19" t="s">
        <v>650</v>
      </c>
      <c r="C224" s="21" t="s">
        <v>660</v>
      </c>
      <c r="D224" s="21" t="str">
        <f>VLOOKUP(G224, Cards!A:B, 2, FALSE)</f>
        <v>#N/A</v>
      </c>
      <c r="E224" s="22">
        <v>0.0</v>
      </c>
      <c r="F224" s="23">
        <v>5920000.0</v>
      </c>
      <c r="G224" s="24" t="str">
        <f>IFERROR(__xludf.DUMMYFUNCTION("REGEXEXTRACT(C224, ""ک\s(\d{16})"")"),"6219861085979838")</f>
        <v>6219861085979838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25.5" customHeight="1">
      <c r="A225" s="19">
        <v>224.0</v>
      </c>
      <c r="B225" s="19" t="s">
        <v>650</v>
      </c>
      <c r="C225" s="21" t="s">
        <v>663</v>
      </c>
      <c r="D225" s="21" t="str">
        <f>VLOOKUP(G225, Cards!A:B, 2, FALSE)</f>
        <v>#N/A</v>
      </c>
      <c r="E225" s="22">
        <v>0.0</v>
      </c>
      <c r="F225" s="23">
        <v>400000.0</v>
      </c>
      <c r="G225" s="24" t="str">
        <f>IFERROR(__xludf.DUMMYFUNCTION("REGEXEXTRACT(C225, ""ک\s(\d{16})"")"),"6219861085979838")</f>
        <v>6219861085979838</v>
      </c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25.5" customHeight="1">
      <c r="A226" s="19">
        <v>225.0</v>
      </c>
      <c r="B226" s="19" t="s">
        <v>650</v>
      </c>
      <c r="C226" s="21" t="s">
        <v>666</v>
      </c>
      <c r="D226" s="21" t="str">
        <f>VLOOKUP(G226, Cards!A:B, 2, FALSE)</f>
        <v>#N/A</v>
      </c>
      <c r="E226" s="22">
        <v>0.0</v>
      </c>
      <c r="F226" s="23">
        <v>4.23E7</v>
      </c>
      <c r="G226" s="24" t="str">
        <f>IFERROR(__xludf.DUMMYFUNCTION("REGEXEXTRACT(C226, ""ک\s(\d{16})"")"),"6219861085979838")</f>
        <v>6219861085979838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25.5" customHeight="1">
      <c r="A227" s="19">
        <v>226.0</v>
      </c>
      <c r="B227" s="19" t="s">
        <v>650</v>
      </c>
      <c r="C227" s="21" t="s">
        <v>669</v>
      </c>
      <c r="D227" s="21" t="str">
        <f>VLOOKUP(G227, Cards!A:B, 2, FALSE)</f>
        <v>#N/A</v>
      </c>
      <c r="E227" s="22">
        <v>550000.0</v>
      </c>
      <c r="F227" s="23">
        <v>0.0</v>
      </c>
      <c r="G227" s="24" t="str">
        <f>IFERROR(__xludf.DUMMYFUNCTION("REGEXEXTRACT(C227, ""ک\s(\d{16})"")"),"5859831184660420")</f>
        <v>5859831184660420</v>
      </c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25.5" customHeight="1">
      <c r="A228" s="19">
        <v>227.0</v>
      </c>
      <c r="B228" s="19" t="s">
        <v>650</v>
      </c>
      <c r="C228" s="21" t="s">
        <v>672</v>
      </c>
      <c r="D228" s="21" t="str">
        <f>VLOOKUP(G228, Cards!A:B, 2, FALSE)</f>
        <v>#N/A</v>
      </c>
      <c r="E228" s="22">
        <v>0.0</v>
      </c>
      <c r="F228" s="23">
        <v>1800.0</v>
      </c>
      <c r="G228" s="24" t="str">
        <f>IFERROR(__xludf.DUMMYFUNCTION("REGEXEXTRACT(C228, ""ک\s(\d{16})"")"),"6219861085979838")</f>
        <v>6219861085979838</v>
      </c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25.5" customHeight="1">
      <c r="A229" s="19">
        <v>228.0</v>
      </c>
      <c r="B229" s="19" t="s">
        <v>650</v>
      </c>
      <c r="C229" s="21" t="s">
        <v>675</v>
      </c>
      <c r="D229" s="21" t="str">
        <f>VLOOKUP(G229, Cards!A:B, 2, FALSE)</f>
        <v>#N/A</v>
      </c>
      <c r="E229" s="22">
        <v>0.0</v>
      </c>
      <c r="F229" s="23">
        <v>5.0E7</v>
      </c>
      <c r="G229" s="24" t="str">
        <f>IFERROR(__xludf.DUMMYFUNCTION("REGEXEXTRACT(C229, ""ک\s(\d{16})"")"),"6037701575716284")</f>
        <v>6037701575716284</v>
      </c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25.5" customHeight="1">
      <c r="A230" s="19">
        <v>229.0</v>
      </c>
      <c r="B230" s="19" t="s">
        <v>650</v>
      </c>
      <c r="C230" s="21" t="s">
        <v>677</v>
      </c>
      <c r="D230" s="21" t="str">
        <f>VLOOKUP(G230, Cards!A:B, 2, FALSE)</f>
        <v>#N/A</v>
      </c>
      <c r="E230" s="22">
        <v>0.0</v>
      </c>
      <c r="F230" s="23">
        <v>21800.0</v>
      </c>
      <c r="G230" s="24" t="str">
        <f>IFERROR(__xludf.DUMMYFUNCTION("REGEXEXTRACT(C230, ""ک\s(\d{16})"")"),"6219861085979838")</f>
        <v>6219861085979838</v>
      </c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25.5" customHeight="1">
      <c r="A231" s="19">
        <v>230.0</v>
      </c>
      <c r="B231" s="19" t="s">
        <v>650</v>
      </c>
      <c r="C231" s="21" t="s">
        <v>679</v>
      </c>
      <c r="D231" s="21" t="str">
        <f>VLOOKUP(G231, Cards!A:B, 2, FALSE)</f>
        <v>#N/A</v>
      </c>
      <c r="E231" s="22">
        <v>0.0</v>
      </c>
      <c r="F231" s="23">
        <v>1.381E7</v>
      </c>
      <c r="G231" s="24" t="str">
        <f>IFERROR(__xludf.DUMMYFUNCTION("REGEXEXTRACT(C231, ""ک\s(\d{16})"")"),"5894631178646402")</f>
        <v>5894631178646402</v>
      </c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25.5" customHeight="1">
      <c r="A232" s="19">
        <v>231.0</v>
      </c>
      <c r="B232" s="19" t="s">
        <v>650</v>
      </c>
      <c r="C232" s="21" t="s">
        <v>681</v>
      </c>
      <c r="D232" s="21" t="str">
        <f>VLOOKUP(G232, Cards!A:B, 2, FALSE)</f>
        <v>#N/A</v>
      </c>
      <c r="E232" s="22">
        <v>0.0</v>
      </c>
      <c r="F232" s="23">
        <v>12200.0</v>
      </c>
      <c r="G232" s="24" t="str">
        <f>IFERROR(__xludf.DUMMYFUNCTION("REGEXEXTRACT(C232, ""ک\s(\d{16})"")"),"6219861085979838")</f>
        <v>6219861085979838</v>
      </c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25.5" customHeight="1">
      <c r="A233" s="19">
        <v>232.0</v>
      </c>
      <c r="B233" s="19" t="s">
        <v>650</v>
      </c>
      <c r="C233" s="21" t="s">
        <v>683</v>
      </c>
      <c r="D233" s="21" t="str">
        <f>VLOOKUP(G233, Cards!A:B, 2, FALSE)</f>
        <v>#N/A</v>
      </c>
      <c r="E233" s="22">
        <v>0.0</v>
      </c>
      <c r="F233" s="23">
        <v>2.04832E7</v>
      </c>
      <c r="G233" s="24" t="str">
        <f>IFERROR(__xludf.DUMMYFUNCTION("REGEXEXTRACT(C233, ""ک\s(\d{16})"")"),"6104338738476148")</f>
        <v>6104338738476148</v>
      </c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25.5" customHeight="1">
      <c r="A234" s="19">
        <v>233.0</v>
      </c>
      <c r="B234" s="19" t="s">
        <v>650</v>
      </c>
      <c r="C234" s="21" t="s">
        <v>685</v>
      </c>
      <c r="D234" s="21" t="str">
        <f>VLOOKUP(G234, Cards!A:B, 2, FALSE)</f>
        <v>#N/A</v>
      </c>
      <c r="E234" s="22">
        <v>0.0</v>
      </c>
      <c r="F234" s="23">
        <v>15400.0</v>
      </c>
      <c r="G234" s="24" t="str">
        <f>IFERROR(__xludf.DUMMYFUNCTION("REGEXEXTRACT(C234, ""ک\s(\d{16})"")"),"6219861085979838")</f>
        <v>6219861085979838</v>
      </c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25.5" customHeight="1">
      <c r="A235" s="19">
        <v>234.0</v>
      </c>
      <c r="B235" s="19" t="s">
        <v>650</v>
      </c>
      <c r="C235" s="21" t="s">
        <v>687</v>
      </c>
      <c r="D235" s="21" t="str">
        <f>VLOOKUP(G235, Cards!A:B, 2, FALSE)</f>
        <v>#N/A</v>
      </c>
      <c r="E235" s="22">
        <v>0.0</v>
      </c>
      <c r="F235" s="23">
        <v>1800.0</v>
      </c>
      <c r="G235" s="24" t="str">
        <f>IFERROR(__xludf.DUMMYFUNCTION("REGEXEXTRACT(C235, ""ک\s(\d{16})"")"),"6219861085979838")</f>
        <v>6219861085979838</v>
      </c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25.5" customHeight="1">
      <c r="A236" s="19">
        <v>235.0</v>
      </c>
      <c r="B236" s="19" t="s">
        <v>650</v>
      </c>
      <c r="C236" s="21" t="s">
        <v>690</v>
      </c>
      <c r="D236" s="39" t="str">
        <f>VLOOKUP(G236, Cards!A:B, 2, FALSE)</f>
        <v>جواد ابراهيميان</v>
      </c>
      <c r="E236" s="22">
        <v>0.0</v>
      </c>
      <c r="F236" s="23">
        <v>8000000.0</v>
      </c>
      <c r="G236" s="24" t="str">
        <f>IFERROR(__xludf.DUMMYFUNCTION("REGEXEXTRACT(C236, ""ک\s(\d{16})"")"),"5029081028402846")</f>
        <v>5029081028402846</v>
      </c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25.5" customHeight="1">
      <c r="A237" s="19">
        <v>236.0</v>
      </c>
      <c r="B237" s="19" t="s">
        <v>650</v>
      </c>
      <c r="C237" s="21" t="s">
        <v>692</v>
      </c>
      <c r="D237" s="21" t="str">
        <f>VLOOKUP(G237, Cards!A:B, 2, FALSE)</f>
        <v>#N/A</v>
      </c>
      <c r="E237" s="22">
        <v>0.0</v>
      </c>
      <c r="F237" s="23">
        <v>9000.0</v>
      </c>
      <c r="G237" s="24" t="str">
        <f>IFERROR(__xludf.DUMMYFUNCTION("REGEXEXTRACT(C237, ""ک\s(\d{16})"")"),"6219861085979838")</f>
        <v>6219861085979838</v>
      </c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25.5" customHeight="1">
      <c r="A238" s="19">
        <v>237.0</v>
      </c>
      <c r="B238" s="19" t="s">
        <v>650</v>
      </c>
      <c r="C238" s="21" t="s">
        <v>694</v>
      </c>
      <c r="D238" s="21" t="str">
        <f>VLOOKUP(G238, Cards!A:B, 2, FALSE)</f>
        <v>#N/A</v>
      </c>
      <c r="E238" s="22">
        <v>1650000.0</v>
      </c>
      <c r="F238" s="23">
        <v>0.0</v>
      </c>
      <c r="G238" s="24" t="str">
        <f>IFERROR(__xludf.DUMMYFUNCTION("REGEXEXTRACT(C238, ""ک\s(\d{16})"")"),"5894631178082228")</f>
        <v>5894631178082228</v>
      </c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25.5" customHeight="1">
      <c r="A239" s="19">
        <v>238.0</v>
      </c>
      <c r="B239" s="19" t="s">
        <v>650</v>
      </c>
      <c r="C239" s="21" t="s">
        <v>697</v>
      </c>
      <c r="D239" s="21" t="str">
        <f>VLOOKUP(G239, Cards!A:B, 2, FALSE)</f>
        <v>#N/A</v>
      </c>
      <c r="E239" s="22">
        <v>1400000.0</v>
      </c>
      <c r="F239" s="23">
        <v>0.0</v>
      </c>
      <c r="G239" s="24" t="str">
        <f>IFERROR(__xludf.DUMMYFUNCTION("REGEXEXTRACT(C239, ""ک\s(\d{16})"")"),"6037998190920818")</f>
        <v>6037998190920818</v>
      </c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25.5" customHeight="1">
      <c r="A240" s="19">
        <v>239.0</v>
      </c>
      <c r="B240" s="19" t="s">
        <v>650</v>
      </c>
      <c r="C240" s="21" t="s">
        <v>700</v>
      </c>
      <c r="D240" s="39" t="str">
        <f>VLOOKUP(G240, Cards!A:B, 2, FALSE)</f>
        <v>محمد کوچکي</v>
      </c>
      <c r="E240" s="22">
        <v>0.0</v>
      </c>
      <c r="F240" s="23">
        <v>5200000.0</v>
      </c>
      <c r="G240" s="24" t="str">
        <f>IFERROR(__xludf.DUMMYFUNCTION("REGEXEXTRACT(C240, ""ک\s(\d{16})"")"),"6037697600840968")</f>
        <v>6037697600840968</v>
      </c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25.5" customHeight="1">
      <c r="A241" s="19">
        <v>240.0</v>
      </c>
      <c r="B241" s="19" t="s">
        <v>650</v>
      </c>
      <c r="C241" s="21" t="s">
        <v>702</v>
      </c>
      <c r="D241" s="21" t="str">
        <f>VLOOKUP(G241, Cards!A:B, 2, FALSE)</f>
        <v>#N/A</v>
      </c>
      <c r="E241" s="22">
        <v>0.0</v>
      </c>
      <c r="F241" s="23">
        <v>9000.0</v>
      </c>
      <c r="G241" s="24" t="str">
        <f>IFERROR(__xludf.DUMMYFUNCTION("REGEXEXTRACT(C241, ""ک\s(\d{16})"")"),"6219861085979838")</f>
        <v>6219861085979838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25.5" customHeight="1">
      <c r="A242" s="19">
        <v>241.0</v>
      </c>
      <c r="B242" s="19" t="s">
        <v>703</v>
      </c>
      <c r="C242" s="21" t="s">
        <v>705</v>
      </c>
      <c r="D242" s="21" t="str">
        <f>VLOOKUP(G242, Cards!A:B, 2, FALSE)</f>
        <v>#N/A</v>
      </c>
      <c r="E242" s="22">
        <v>1.38E8</v>
      </c>
      <c r="F242" s="23">
        <v>0.0</v>
      </c>
      <c r="G242" s="24" t="str">
        <f>IFERROR(__xludf.DUMMYFUNCTION("REGEXEXTRACT(C242, ""ک\s(\d{16})"")"),"#N/A")</f>
        <v>#N/A</v>
      </c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25.5" customHeight="1">
      <c r="A243" s="19">
        <v>242.0</v>
      </c>
      <c r="B243" s="19" t="s">
        <v>703</v>
      </c>
      <c r="C243" s="21" t="s">
        <v>709</v>
      </c>
      <c r="D243" s="39" t="str">
        <f>VLOOKUP(G243, Cards!A:B, 2, FALSE)</f>
        <v>جواد ابراهيميان</v>
      </c>
      <c r="E243" s="22">
        <v>0.0</v>
      </c>
      <c r="F243" s="23">
        <v>7000000.0</v>
      </c>
      <c r="G243" s="24" t="str">
        <f>IFERROR(__xludf.DUMMYFUNCTION("REGEXEXTRACT(C243, ""ک\s(\d{16})"")"),"5029081028402846")</f>
        <v>5029081028402846</v>
      </c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25.5" customHeight="1">
      <c r="A244" s="19">
        <v>243.0</v>
      </c>
      <c r="B244" s="19" t="s">
        <v>703</v>
      </c>
      <c r="C244" s="21" t="s">
        <v>711</v>
      </c>
      <c r="D244" s="21" t="str">
        <f>VLOOKUP(G244, Cards!A:B, 2, FALSE)</f>
        <v>#N/A</v>
      </c>
      <c r="E244" s="22">
        <v>0.0</v>
      </c>
      <c r="F244" s="23">
        <v>9000.0</v>
      </c>
      <c r="G244" s="24" t="str">
        <f>IFERROR(__xludf.DUMMYFUNCTION("REGEXEXTRACT(C244, ""ک\s(\d{16})"")"),"6219861085979838")</f>
        <v>6219861085979838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25.5" customHeight="1">
      <c r="A245" s="19">
        <v>244.0</v>
      </c>
      <c r="B245" s="19" t="s">
        <v>703</v>
      </c>
      <c r="C245" s="21" t="s">
        <v>713</v>
      </c>
      <c r="D245" s="21" t="str">
        <f>VLOOKUP(G245, Cards!A:B, 2, FALSE)</f>
        <v>#N/A</v>
      </c>
      <c r="E245" s="22">
        <v>0.0</v>
      </c>
      <c r="F245" s="23">
        <v>1.56E7</v>
      </c>
      <c r="G245" s="24" t="str">
        <f>IFERROR(__xludf.DUMMYFUNCTION("REGEXEXTRACT(C245, ""ک\s(\d{16})"")"),"6219861085979838")</f>
        <v>6219861085979838</v>
      </c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25.5" customHeight="1">
      <c r="A246" s="19">
        <v>245.0</v>
      </c>
      <c r="B246" s="19" t="s">
        <v>703</v>
      </c>
      <c r="C246" s="21" t="s">
        <v>716</v>
      </c>
      <c r="D246" s="21" t="str">
        <f>VLOOKUP(G246, Cards!A:B, 2, FALSE)</f>
        <v>#N/A</v>
      </c>
      <c r="E246" s="22">
        <v>0.0</v>
      </c>
      <c r="F246" s="23">
        <v>7500000.0</v>
      </c>
      <c r="G246" s="24" t="str">
        <f>IFERROR(__xludf.DUMMYFUNCTION("REGEXEXTRACT(C246, ""ک\s(\d{16})"")"),"6219861085979838")</f>
        <v>6219861085979838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25.5" customHeight="1">
      <c r="A247" s="19">
        <v>246.0</v>
      </c>
      <c r="B247" s="19" t="s">
        <v>703</v>
      </c>
      <c r="C247" s="21" t="s">
        <v>719</v>
      </c>
      <c r="D247" s="39" t="str">
        <f>VLOOKUP(G247, Cards!A:B, 2, FALSE)</f>
        <v>محسن خانگاه</v>
      </c>
      <c r="E247" s="22">
        <v>0.0</v>
      </c>
      <c r="F247" s="23">
        <v>5.23E7</v>
      </c>
      <c r="G247" s="24" t="str">
        <f>IFERROR(__xludf.DUMMYFUNCTION("REGEXEXTRACT(C247, ""ک\s(\d{16})"")"),"6274121208660688")</f>
        <v>6274121208660688</v>
      </c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25.5" customHeight="1">
      <c r="A248" s="19">
        <v>247.0</v>
      </c>
      <c r="B248" s="19" t="s">
        <v>703</v>
      </c>
      <c r="C248" s="21" t="s">
        <v>721</v>
      </c>
      <c r="D248" s="21" t="str">
        <f>VLOOKUP(G248, Cards!A:B, 2, FALSE)</f>
        <v>#N/A</v>
      </c>
      <c r="E248" s="22">
        <v>0.0</v>
      </c>
      <c r="F248" s="23">
        <v>25000.0</v>
      </c>
      <c r="G248" s="24" t="str">
        <f>IFERROR(__xludf.DUMMYFUNCTION("REGEXEXTRACT(C248, ""ک\s(\d{16})"")"),"6219861085979838")</f>
        <v>6219861085979838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25.5" customHeight="1">
      <c r="A249" s="19">
        <v>248.0</v>
      </c>
      <c r="B249" s="19" t="s">
        <v>703</v>
      </c>
      <c r="C249" s="21" t="s">
        <v>723</v>
      </c>
      <c r="D249" s="21" t="str">
        <f>VLOOKUP(G249, Cards!A:B, 2, FALSE)</f>
        <v>#N/A</v>
      </c>
      <c r="E249" s="22">
        <v>0.0</v>
      </c>
      <c r="F249" s="23">
        <v>1.053E7</v>
      </c>
      <c r="G249" s="24" t="str">
        <f>IFERROR(__xludf.DUMMYFUNCTION("REGEXEXTRACT(C249, ""ک\s(\d{16})"")"),"5894631178646402")</f>
        <v>5894631178646402</v>
      </c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25.5" customHeight="1">
      <c r="A250" s="19">
        <v>249.0</v>
      </c>
      <c r="B250" s="19" t="s">
        <v>703</v>
      </c>
      <c r="C250" s="21" t="s">
        <v>725</v>
      </c>
      <c r="D250" s="21" t="str">
        <f>VLOOKUP(G250, Cards!A:B, 2, FALSE)</f>
        <v>#N/A</v>
      </c>
      <c r="E250" s="22">
        <v>0.0</v>
      </c>
      <c r="F250" s="23">
        <v>12200.0</v>
      </c>
      <c r="G250" s="24" t="str">
        <f>IFERROR(__xludf.DUMMYFUNCTION("REGEXEXTRACT(C250, ""ک\s(\d{16})"")"),"6219861085979838")</f>
        <v>6219861085979838</v>
      </c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25.5" customHeight="1">
      <c r="A251" s="19">
        <v>250.0</v>
      </c>
      <c r="B251" s="19" t="s">
        <v>703</v>
      </c>
      <c r="C251" s="21" t="s">
        <v>727</v>
      </c>
      <c r="D251" s="21" t="str">
        <f>VLOOKUP(G251, Cards!A:B, 2, FALSE)</f>
        <v>#N/A</v>
      </c>
      <c r="E251" s="22">
        <v>0.0</v>
      </c>
      <c r="F251" s="23">
        <v>1800.0</v>
      </c>
      <c r="G251" s="24" t="str">
        <f>IFERROR(__xludf.DUMMYFUNCTION("REGEXEXTRACT(C251, ""ک\s(\d{16})"")"),"6219861085979838")</f>
        <v>6219861085979838</v>
      </c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25.5" customHeight="1">
      <c r="A252" s="19">
        <v>251.0</v>
      </c>
      <c r="B252" s="19" t="s">
        <v>703</v>
      </c>
      <c r="C252" s="21" t="s">
        <v>730</v>
      </c>
      <c r="D252" s="21" t="str">
        <f>VLOOKUP(G252, Cards!A:B, 2, FALSE)</f>
        <v>#N/A</v>
      </c>
      <c r="E252" s="22">
        <v>0.0</v>
      </c>
      <c r="F252" s="23">
        <v>2.33E7</v>
      </c>
      <c r="G252" s="24" t="str">
        <f>IFERROR(__xludf.DUMMYFUNCTION("REGEXEXTRACT(C252, ""ک\s(\d{16})"")"),"6219861085979838")</f>
        <v>6219861085979838</v>
      </c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25.5" customHeight="1">
      <c r="A253" s="19">
        <v>252.0</v>
      </c>
      <c r="B253" s="19" t="s">
        <v>703</v>
      </c>
      <c r="C253" s="21" t="s">
        <v>733</v>
      </c>
      <c r="D253" s="21" t="str">
        <f>VLOOKUP(G253, Cards!A:B, 2, FALSE)</f>
        <v>#N/A</v>
      </c>
      <c r="E253" s="22">
        <v>2100000.0</v>
      </c>
      <c r="F253" s="23">
        <v>0.0</v>
      </c>
      <c r="G253" s="24" t="str">
        <f>IFERROR(__xludf.DUMMYFUNCTION("REGEXEXTRACT(C253, ""ک\s(\d{16})"")"),"6037997307504895")</f>
        <v>6037997307504895</v>
      </c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25.5" customHeight="1">
      <c r="A254" s="19">
        <v>253.0</v>
      </c>
      <c r="B254" s="19" t="s">
        <v>703</v>
      </c>
      <c r="C254" s="21" t="s">
        <v>736</v>
      </c>
      <c r="D254" s="21" t="str">
        <f>VLOOKUP(G254, Cards!A:B, 2, FALSE)</f>
        <v>#N/A</v>
      </c>
      <c r="E254" s="22">
        <v>0.0</v>
      </c>
      <c r="F254" s="23">
        <v>1800.0</v>
      </c>
      <c r="G254" s="24" t="str">
        <f>IFERROR(__xludf.DUMMYFUNCTION("REGEXEXTRACT(C254, ""ک\s(\d{16})"")"),"6219861085979838")</f>
        <v>6219861085979838</v>
      </c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25.5" customHeight="1">
      <c r="A255" s="19">
        <v>254.0</v>
      </c>
      <c r="B255" s="19" t="s">
        <v>703</v>
      </c>
      <c r="C255" s="21" t="s">
        <v>739</v>
      </c>
      <c r="D255" s="21" t="str">
        <f>VLOOKUP(G255, Cards!A:B, 2, FALSE)</f>
        <v>#N/A</v>
      </c>
      <c r="E255" s="22">
        <v>2400000.0</v>
      </c>
      <c r="F255" s="23">
        <v>0.0</v>
      </c>
      <c r="G255" s="24" t="str">
        <f>IFERROR(__xludf.DUMMYFUNCTION("REGEXEXTRACT(C255, ""ک\s(\d{16})"")"),"6274121202278347")</f>
        <v>6274121202278347</v>
      </c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25.5" customHeight="1">
      <c r="A256" s="19">
        <v>255.0</v>
      </c>
      <c r="B256" s="19" t="s">
        <v>741</v>
      </c>
      <c r="C256" s="21" t="s">
        <v>743</v>
      </c>
      <c r="D256" s="21" t="str">
        <f>VLOOKUP(G256, Cards!A:B, 2, FALSE)</f>
        <v>#N/A</v>
      </c>
      <c r="E256" s="22">
        <v>1.16E8</v>
      </c>
      <c r="F256" s="23">
        <v>0.0</v>
      </c>
      <c r="G256" s="24" t="str">
        <f>IFERROR(__xludf.DUMMYFUNCTION("REGEXEXTRACT(C256, ""ک\s(\d{16})"")"),"#N/A")</f>
        <v>#N/A</v>
      </c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25.5" customHeight="1">
      <c r="A257" s="19">
        <v>256.0</v>
      </c>
      <c r="B257" s="19" t="s">
        <v>741</v>
      </c>
      <c r="C257" s="21" t="s">
        <v>747</v>
      </c>
      <c r="D257" s="21" t="str">
        <f>VLOOKUP(G257, Cards!A:B, 2, FALSE)</f>
        <v>#N/A</v>
      </c>
      <c r="E257" s="22">
        <v>1400000.0</v>
      </c>
      <c r="F257" s="23">
        <v>0.0</v>
      </c>
      <c r="G257" s="24" t="str">
        <f>IFERROR(__xludf.DUMMYFUNCTION("REGEXEXTRACT(C257, ""ک\s(\d{16})"")"),"5859831842934894")</f>
        <v>5859831842934894</v>
      </c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25.5" customHeight="1">
      <c r="A258" s="19">
        <v>257.0</v>
      </c>
      <c r="B258" s="19" t="s">
        <v>741</v>
      </c>
      <c r="C258" s="21" t="s">
        <v>750</v>
      </c>
      <c r="D258" s="21" t="str">
        <f>VLOOKUP(G258, Cards!A:B, 2, FALSE)</f>
        <v>#N/A</v>
      </c>
      <c r="E258" s="22">
        <v>0.0</v>
      </c>
      <c r="F258" s="23">
        <v>2.9373625E7</v>
      </c>
      <c r="G258" s="24" t="str">
        <f>IFERROR(__xludf.DUMMYFUNCTION("REGEXEXTRACT(C258, ""ک\s(\d{16})"")"),"6219861085979838")</f>
        <v>6219861085979838</v>
      </c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25.5" customHeight="1">
      <c r="A259" s="19">
        <v>258.0</v>
      </c>
      <c r="B259" s="19" t="s">
        <v>741</v>
      </c>
      <c r="C259" s="21" t="s">
        <v>753</v>
      </c>
      <c r="D259" s="21" t="str">
        <f>VLOOKUP(G259, Cards!A:B, 2, FALSE)</f>
        <v>#N/A</v>
      </c>
      <c r="E259" s="22">
        <v>0.0</v>
      </c>
      <c r="F259" s="23">
        <v>2.9373625E7</v>
      </c>
      <c r="G259" s="24" t="str">
        <f>IFERROR(__xludf.DUMMYFUNCTION("REGEXEXTRACT(C259, ""ک\s(\d{16})"")"),"6219861085979838")</f>
        <v>6219861085979838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25.5" customHeight="1">
      <c r="A260" s="19">
        <v>259.0</v>
      </c>
      <c r="B260" s="19" t="s">
        <v>741</v>
      </c>
      <c r="C260" s="21" t="s">
        <v>756</v>
      </c>
      <c r="D260" s="21" t="str">
        <f>VLOOKUP(G260, Cards!A:B, 2, FALSE)</f>
        <v>#N/A</v>
      </c>
      <c r="E260" s="22">
        <v>0.0</v>
      </c>
      <c r="F260" s="23">
        <v>1800.0</v>
      </c>
      <c r="G260" s="24" t="str">
        <f>IFERROR(__xludf.DUMMYFUNCTION("REGEXEXTRACT(C260, ""ک\s(\d{16})"")"),"6219861085979838")</f>
        <v>6219861085979838</v>
      </c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25.5" customHeight="1">
      <c r="A261" s="19">
        <v>260.0</v>
      </c>
      <c r="B261" s="19" t="s">
        <v>741</v>
      </c>
      <c r="C261" s="21" t="s">
        <v>759</v>
      </c>
      <c r="D261" s="21" t="str">
        <f>VLOOKUP(G261, Cards!A:B, 2, FALSE)</f>
        <v>#N/A</v>
      </c>
      <c r="E261" s="22">
        <v>0.0</v>
      </c>
      <c r="F261" s="23">
        <v>1800.0</v>
      </c>
      <c r="G261" s="24" t="str">
        <f>IFERROR(__xludf.DUMMYFUNCTION("REGEXEXTRACT(C261, ""ک\s(\d{16})"")"),"6219861085979838")</f>
        <v>6219861085979838</v>
      </c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25.5" customHeight="1">
      <c r="A262" s="19">
        <v>261.0</v>
      </c>
      <c r="B262" s="19" t="s">
        <v>741</v>
      </c>
      <c r="C262" s="21" t="s">
        <v>762</v>
      </c>
      <c r="D262" s="21" t="str">
        <f>VLOOKUP(G262, Cards!A:B, 2, FALSE)</f>
        <v>#N/A</v>
      </c>
      <c r="E262" s="22">
        <v>0.0</v>
      </c>
      <c r="F262" s="23">
        <v>1400000.0</v>
      </c>
      <c r="G262" s="24" t="str">
        <f>IFERROR(__xludf.DUMMYFUNCTION("REGEXEXTRACT(C262, ""ک\s(\d{16})"")"),"6219861085979838")</f>
        <v>6219861085979838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25.5" customHeight="1">
      <c r="A263" s="19">
        <v>262.0</v>
      </c>
      <c r="B263" s="19" t="s">
        <v>741</v>
      </c>
      <c r="C263" s="21" t="s">
        <v>765</v>
      </c>
      <c r="D263" s="21" t="str">
        <f>VLOOKUP(G263, Cards!A:B, 2, FALSE)</f>
        <v>#N/A</v>
      </c>
      <c r="E263" s="22">
        <v>0.0</v>
      </c>
      <c r="F263" s="23">
        <v>1229000.0</v>
      </c>
      <c r="G263" s="24" t="str">
        <f>IFERROR(__xludf.DUMMYFUNCTION("REGEXEXTRACT(C263, ""ک\s(\d{16})"")"),"6219861085979838")</f>
        <v>6219861085979838</v>
      </c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25.5" customHeight="1">
      <c r="A264" s="19">
        <v>263.0</v>
      </c>
      <c r="B264" s="19" t="s">
        <v>741</v>
      </c>
      <c r="C264" s="21" t="s">
        <v>768</v>
      </c>
      <c r="D264" s="21" t="str">
        <f>VLOOKUP(G264, Cards!A:B, 2, FALSE)</f>
        <v>#N/A</v>
      </c>
      <c r="E264" s="22">
        <v>800000.0</v>
      </c>
      <c r="F264" s="23">
        <v>0.0</v>
      </c>
      <c r="G264" s="24" t="str">
        <f>IFERROR(__xludf.DUMMYFUNCTION("REGEXEXTRACT(C264, ""ک\s(\d{16})"")"),"#N/A")</f>
        <v>#N/A</v>
      </c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25.5" customHeight="1">
      <c r="A265" s="19">
        <v>264.0</v>
      </c>
      <c r="B265" s="19" t="s">
        <v>741</v>
      </c>
      <c r="C265" s="21" t="s">
        <v>771</v>
      </c>
      <c r="D265" s="21" t="str">
        <f>VLOOKUP(G265, Cards!A:B, 2, FALSE)</f>
        <v>#N/A</v>
      </c>
      <c r="E265" s="22">
        <v>1100000.0</v>
      </c>
      <c r="F265" s="23">
        <v>0.0</v>
      </c>
      <c r="G265" s="24" t="str">
        <f>IFERROR(__xludf.DUMMYFUNCTION("REGEXEXTRACT(C265, ""ک\s(\d{16})"")"),"5022291593336132")</f>
        <v>5022291593336132</v>
      </c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25.5" customHeight="1">
      <c r="A266" s="19">
        <v>265.0</v>
      </c>
      <c r="B266" s="19" t="s">
        <v>741</v>
      </c>
      <c r="C266" s="21" t="s">
        <v>774</v>
      </c>
      <c r="D266" s="21" t="str">
        <f>VLOOKUP(G266, Cards!A:B, 2, FALSE)</f>
        <v>#N/A</v>
      </c>
      <c r="E266" s="22">
        <v>600000.0</v>
      </c>
      <c r="F266" s="23">
        <v>0.0</v>
      </c>
      <c r="G266" s="24" t="str">
        <f>IFERROR(__xludf.DUMMYFUNCTION("REGEXEXTRACT(C266, ""ک\s(\d{16})"")"),"5041721237580106")</f>
        <v>5041721237580106</v>
      </c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25.5" customHeight="1">
      <c r="A267" s="19">
        <v>266.0</v>
      </c>
      <c r="B267" s="19" t="s">
        <v>741</v>
      </c>
      <c r="C267" s="21" t="s">
        <v>777</v>
      </c>
      <c r="D267" s="21" t="str">
        <f>VLOOKUP(G267, Cards!A:B, 2, FALSE)</f>
        <v>#N/A</v>
      </c>
      <c r="E267" s="22">
        <v>0.0</v>
      </c>
      <c r="F267" s="23">
        <v>1.445E7</v>
      </c>
      <c r="G267" s="24" t="str">
        <f>IFERROR(__xludf.DUMMYFUNCTION("REGEXEXTRACT(C267, ""ک\s(\d{16})"")"),"5894631178646402")</f>
        <v>5894631178646402</v>
      </c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25.5" customHeight="1">
      <c r="A268" s="19">
        <v>267.0</v>
      </c>
      <c r="B268" s="19" t="s">
        <v>741</v>
      </c>
      <c r="C268" s="21" t="s">
        <v>779</v>
      </c>
      <c r="D268" s="21" t="str">
        <f>VLOOKUP(G268, Cards!A:B, 2, FALSE)</f>
        <v>#N/A</v>
      </c>
      <c r="E268" s="22">
        <v>0.0</v>
      </c>
      <c r="F268" s="23">
        <v>12200.0</v>
      </c>
      <c r="G268" s="24" t="str">
        <f>IFERROR(__xludf.DUMMYFUNCTION("REGEXEXTRACT(C268, ""ک\s(\d{16})"")"),"6219861085979838")</f>
        <v>6219861085979838</v>
      </c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25.5" customHeight="1">
      <c r="A269" s="19">
        <v>268.0</v>
      </c>
      <c r="B269" s="19" t="s">
        <v>741</v>
      </c>
      <c r="C269" s="21" t="s">
        <v>781</v>
      </c>
      <c r="D269" s="21" t="str">
        <f>VLOOKUP(G269, Cards!A:B, 2, FALSE)</f>
        <v>#N/A</v>
      </c>
      <c r="E269" s="22">
        <v>0.0</v>
      </c>
      <c r="F269" s="23">
        <v>2.02094E7</v>
      </c>
      <c r="G269" s="24" t="str">
        <f>IFERROR(__xludf.DUMMYFUNCTION("REGEXEXTRACT(C269, ""ک\s(\d{16})"")"),"6104338738476148")</f>
        <v>6104338738476148</v>
      </c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25.5" customHeight="1">
      <c r="A270" s="19">
        <v>269.0</v>
      </c>
      <c r="B270" s="19" t="s">
        <v>741</v>
      </c>
      <c r="C270" s="21" t="s">
        <v>783</v>
      </c>
      <c r="D270" s="21" t="str">
        <f>VLOOKUP(G270, Cards!A:B, 2, FALSE)</f>
        <v>#N/A</v>
      </c>
      <c r="E270" s="22">
        <v>0.0</v>
      </c>
      <c r="F270" s="23">
        <v>15400.0</v>
      </c>
      <c r="G270" s="24" t="str">
        <f>IFERROR(__xludf.DUMMYFUNCTION("REGEXEXTRACT(C270, ""ک\s(\d{16})"")"),"6219861085979838")</f>
        <v>6219861085979838</v>
      </c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25.5" customHeight="1">
      <c r="A271" s="19">
        <v>270.0</v>
      </c>
      <c r="B271" s="19" t="s">
        <v>741</v>
      </c>
      <c r="C271" s="21" t="s">
        <v>785</v>
      </c>
      <c r="D271" s="39" t="str">
        <f>VLOOKUP(G271, Cards!A:B, 2, FALSE)</f>
        <v>محسن خانگاه</v>
      </c>
      <c r="E271" s="22">
        <v>0.0</v>
      </c>
      <c r="F271" s="23">
        <v>3.412E7</v>
      </c>
      <c r="G271" s="24" t="str">
        <f>IFERROR(__xludf.DUMMYFUNCTION("REGEXEXTRACT(C271, ""ک\s(\d{16})"")"),"6274121208660688")</f>
        <v>6274121208660688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25.5" customHeight="1">
      <c r="A272" s="19">
        <v>271.0</v>
      </c>
      <c r="B272" s="19" t="s">
        <v>741</v>
      </c>
      <c r="C272" s="21" t="s">
        <v>787</v>
      </c>
      <c r="D272" s="21" t="str">
        <f>VLOOKUP(G272, Cards!A:B, 2, FALSE)</f>
        <v>#N/A</v>
      </c>
      <c r="E272" s="22">
        <v>0.0</v>
      </c>
      <c r="F272" s="23">
        <v>18600.0</v>
      </c>
      <c r="G272" s="24" t="str">
        <f>IFERROR(__xludf.DUMMYFUNCTION("REGEXEXTRACT(C272, ""ک\s(\d{16})"")"),"6219861085979838")</f>
        <v>6219861085979838</v>
      </c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25.5" customHeight="1">
      <c r="A273" s="19">
        <v>272.0</v>
      </c>
      <c r="B273" s="19" t="s">
        <v>741</v>
      </c>
      <c r="C273" s="21" t="s">
        <v>789</v>
      </c>
      <c r="D273" s="21" t="str">
        <f>VLOOKUP(G273, Cards!A:B, 2, FALSE)</f>
        <v>#N/A</v>
      </c>
      <c r="E273" s="22">
        <v>0.0</v>
      </c>
      <c r="F273" s="23">
        <v>2730000.0</v>
      </c>
      <c r="G273" s="24" t="str">
        <f>IFERROR(__xludf.DUMMYFUNCTION("REGEXEXTRACT(C273, ""ک\s(\d{16})"")"),"6219861085979838")</f>
        <v>6219861085979838</v>
      </c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25.5" customHeight="1">
      <c r="A274" s="19">
        <v>273.0</v>
      </c>
      <c r="B274" s="19" t="s">
        <v>791</v>
      </c>
      <c r="C274" s="21" t="s">
        <v>793</v>
      </c>
      <c r="D274" s="21" t="str">
        <f>VLOOKUP(G274, Cards!A:B, 2, FALSE)</f>
        <v>#N/A</v>
      </c>
      <c r="E274" s="22">
        <v>4.4E7</v>
      </c>
      <c r="F274" s="23">
        <v>0.0</v>
      </c>
      <c r="G274" s="24" t="str">
        <f>IFERROR(__xludf.DUMMYFUNCTION("REGEXEXTRACT(C274, ""ک\s(\d{16})"")"),"#N/A")</f>
        <v>#N/A</v>
      </c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25.5" customHeight="1">
      <c r="A275" s="19">
        <v>274.0</v>
      </c>
      <c r="B275" s="19" t="s">
        <v>791</v>
      </c>
      <c r="C275" s="21" t="s">
        <v>797</v>
      </c>
      <c r="D275" s="21" t="str">
        <f>VLOOKUP(G275, Cards!A:B, 2, FALSE)</f>
        <v>#N/A</v>
      </c>
      <c r="E275" s="22">
        <v>5.9E7</v>
      </c>
      <c r="F275" s="23">
        <v>0.0</v>
      </c>
      <c r="G275" s="24" t="str">
        <f>IFERROR(__xludf.DUMMYFUNCTION("REGEXEXTRACT(C275, ""ک\s(\d{16})"")"),"#N/A")</f>
        <v>#N/A</v>
      </c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25.5" customHeight="1">
      <c r="A276" s="19">
        <v>275.0</v>
      </c>
      <c r="B276" s="19" t="s">
        <v>791</v>
      </c>
      <c r="C276" s="21" t="s">
        <v>801</v>
      </c>
      <c r="D276" s="21" t="str">
        <f>VLOOKUP(G276, Cards!A:B, 2, FALSE)</f>
        <v>#N/A</v>
      </c>
      <c r="E276" s="22">
        <v>0.0</v>
      </c>
      <c r="F276" s="23">
        <v>1.56E7</v>
      </c>
      <c r="G276" s="24" t="str">
        <f>IFERROR(__xludf.DUMMYFUNCTION("REGEXEXTRACT(C276, ""ک\s(\d{16})"")"),"6219861085979838")</f>
        <v>6219861085979838</v>
      </c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25.5" customHeight="1">
      <c r="A277" s="19">
        <v>276.0</v>
      </c>
      <c r="B277" s="19" t="s">
        <v>791</v>
      </c>
      <c r="C277" s="21" t="s">
        <v>804</v>
      </c>
      <c r="D277" s="21" t="str">
        <f>VLOOKUP(G277, Cards!A:B, 2, FALSE)</f>
        <v>#N/A</v>
      </c>
      <c r="E277" s="22">
        <v>0.0</v>
      </c>
      <c r="F277" s="23">
        <v>1800.0</v>
      </c>
      <c r="G277" s="24" t="str">
        <f>IFERROR(__xludf.DUMMYFUNCTION("REGEXEXTRACT(C277, ""ک\s(\d{16})"")"),"6219861085979838")</f>
        <v>6219861085979838</v>
      </c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25.5" customHeight="1">
      <c r="A278" s="19">
        <v>277.0</v>
      </c>
      <c r="B278" s="19" t="s">
        <v>791</v>
      </c>
      <c r="C278" s="21" t="s">
        <v>807</v>
      </c>
      <c r="D278" s="21" t="str">
        <f>VLOOKUP(G278, Cards!A:B, 2, FALSE)</f>
        <v>#N/A</v>
      </c>
      <c r="E278" s="22">
        <v>0.0</v>
      </c>
      <c r="F278" s="23">
        <v>7000000.0</v>
      </c>
      <c r="G278" s="24" t="str">
        <f>IFERROR(__xludf.DUMMYFUNCTION("REGEXEXTRACT(C278, ""ک\s(\d{16})"")"),"5859831103338371")</f>
        <v>5859831103338371</v>
      </c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25.5" customHeight="1">
      <c r="A279" s="19">
        <v>278.0</v>
      </c>
      <c r="B279" s="19" t="s">
        <v>791</v>
      </c>
      <c r="C279" s="21" t="s">
        <v>809</v>
      </c>
      <c r="D279" s="21" t="str">
        <f>VLOOKUP(G279, Cards!A:B, 2, FALSE)</f>
        <v>#N/A</v>
      </c>
      <c r="E279" s="22">
        <v>0.0</v>
      </c>
      <c r="F279" s="23">
        <v>9000.0</v>
      </c>
      <c r="G279" s="24" t="str">
        <f>IFERROR(__xludf.DUMMYFUNCTION("REGEXEXTRACT(C279, ""ک\s(\d{16})"")"),"6219861085979838")</f>
        <v>6219861085979838</v>
      </c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25.5" customHeight="1">
      <c r="A280" s="19">
        <v>279.0</v>
      </c>
      <c r="B280" s="19" t="s">
        <v>791</v>
      </c>
      <c r="C280" s="21" t="s">
        <v>811</v>
      </c>
      <c r="D280" s="21" t="str">
        <f>VLOOKUP(G280, Cards!A:B, 2, FALSE)</f>
        <v>#N/A</v>
      </c>
      <c r="E280" s="22">
        <v>0.0</v>
      </c>
      <c r="F280" s="23">
        <v>1.06E7</v>
      </c>
      <c r="G280" s="24" t="str">
        <f>IFERROR(__xludf.DUMMYFUNCTION("REGEXEXTRACT(C280, ""ک\s(\d{16})"")"),"5894631178646402")</f>
        <v>5894631178646402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25.5" customHeight="1">
      <c r="A281" s="19">
        <v>280.0</v>
      </c>
      <c r="B281" s="19" t="s">
        <v>791</v>
      </c>
      <c r="C281" s="21" t="s">
        <v>813</v>
      </c>
      <c r="D281" s="21" t="str">
        <f>VLOOKUP(G281, Cards!A:B, 2, FALSE)</f>
        <v>#N/A</v>
      </c>
      <c r="E281" s="22">
        <v>0.0</v>
      </c>
      <c r="F281" s="23">
        <v>12200.0</v>
      </c>
      <c r="G281" s="24" t="str">
        <f>IFERROR(__xludf.DUMMYFUNCTION("REGEXEXTRACT(C281, ""ک\s(\d{16})"")"),"6219861085979838")</f>
        <v>6219861085979838</v>
      </c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25.5" customHeight="1">
      <c r="A282" s="19">
        <v>281.0</v>
      </c>
      <c r="B282" s="19" t="s">
        <v>791</v>
      </c>
      <c r="C282" s="21" t="s">
        <v>815</v>
      </c>
      <c r="D282" s="39" t="str">
        <f>VLOOKUP(G282, Cards!A:B, 2, FALSE)</f>
        <v>محسن خانگاه</v>
      </c>
      <c r="E282" s="22">
        <v>0.0</v>
      </c>
      <c r="F282" s="23">
        <v>5.91E7</v>
      </c>
      <c r="G282" s="24" t="str">
        <f>IFERROR(__xludf.DUMMYFUNCTION("REGEXEXTRACT(C282, ""ک\s(\d{16})"")"),"6274121208660688")</f>
        <v>6274121208660688</v>
      </c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25.5" customHeight="1">
      <c r="A283" s="19">
        <v>282.0</v>
      </c>
      <c r="B283" s="19" t="s">
        <v>791</v>
      </c>
      <c r="C283" s="21" t="s">
        <v>817</v>
      </c>
      <c r="D283" s="21" t="str">
        <f>VLOOKUP(G283, Cards!A:B, 2, FALSE)</f>
        <v>#N/A</v>
      </c>
      <c r="E283" s="22">
        <v>0.0</v>
      </c>
      <c r="F283" s="23">
        <v>25000.0</v>
      </c>
      <c r="G283" s="24" t="str">
        <f>IFERROR(__xludf.DUMMYFUNCTION("REGEXEXTRACT(C283, ""ک\s(\d{16})"")"),"6219861085979838")</f>
        <v>6219861085979838</v>
      </c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25.5" customHeight="1">
      <c r="A284" s="19">
        <v>283.0</v>
      </c>
      <c r="B284" s="19" t="s">
        <v>791</v>
      </c>
      <c r="C284" s="21" t="s">
        <v>819</v>
      </c>
      <c r="D284" s="21" t="str">
        <f>VLOOKUP(G284, Cards!A:B, 2, FALSE)</f>
        <v>#N/A</v>
      </c>
      <c r="E284" s="22">
        <v>0.0</v>
      </c>
      <c r="F284" s="23">
        <v>2.0498E7</v>
      </c>
      <c r="G284" s="24" t="str">
        <f>IFERROR(__xludf.DUMMYFUNCTION("REGEXEXTRACT(C284, ""ک\s(\d{16})"")"),"6104338738476148")</f>
        <v>6104338738476148</v>
      </c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25.5" customHeight="1">
      <c r="A285" s="19">
        <v>284.0</v>
      </c>
      <c r="B285" s="19" t="s">
        <v>791</v>
      </c>
      <c r="C285" s="21" t="s">
        <v>821</v>
      </c>
      <c r="D285" s="21" t="str">
        <f>VLOOKUP(G285, Cards!A:B, 2, FALSE)</f>
        <v>#N/A</v>
      </c>
      <c r="E285" s="22">
        <v>0.0</v>
      </c>
      <c r="F285" s="23">
        <v>15400.0</v>
      </c>
      <c r="G285" s="24" t="str">
        <f>IFERROR(__xludf.DUMMYFUNCTION("REGEXEXTRACT(C285, ""ک\s(\d{16})"")"),"6219861085979838")</f>
        <v>6219861085979838</v>
      </c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25.5" customHeight="1">
      <c r="A286" s="19">
        <v>285.0</v>
      </c>
      <c r="B286" s="19" t="s">
        <v>791</v>
      </c>
      <c r="C286" s="21" t="s">
        <v>823</v>
      </c>
      <c r="D286" s="21" t="str">
        <f>VLOOKUP(G286, Cards!A:B, 2, FALSE)</f>
        <v>#N/A</v>
      </c>
      <c r="E286" s="22">
        <v>1350000.0</v>
      </c>
      <c r="F286" s="23">
        <v>0.0</v>
      </c>
      <c r="G286" s="24" t="str">
        <f>IFERROR(__xludf.DUMMYFUNCTION("REGEXEXTRACT(C286, ""ک\s(\d{16})"")"),"5859831168886793")</f>
        <v>5859831168886793</v>
      </c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25.5" customHeight="1">
      <c r="A287" s="19">
        <v>286.0</v>
      </c>
      <c r="B287" s="19" t="s">
        <v>791</v>
      </c>
      <c r="C287" s="21" t="s">
        <v>826</v>
      </c>
      <c r="D287" s="21" t="str">
        <f>VLOOKUP(G287, Cards!A:B, 2, FALSE)</f>
        <v>#N/A</v>
      </c>
      <c r="E287" s="22">
        <v>1750000.0</v>
      </c>
      <c r="F287" s="23">
        <v>0.0</v>
      </c>
      <c r="G287" s="24" t="str">
        <f>IFERROR(__xludf.DUMMYFUNCTION("REGEXEXTRACT(C287, ""ک\s(\d{16})"")"),"6037998176433810")</f>
        <v>6037998176433810</v>
      </c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25.5" customHeight="1">
      <c r="A288" s="19">
        <v>287.0</v>
      </c>
      <c r="B288" s="19" t="s">
        <v>828</v>
      </c>
      <c r="C288" s="21" t="s">
        <v>830</v>
      </c>
      <c r="D288" s="21" t="str">
        <f>VLOOKUP(G288, Cards!A:B, 2, FALSE)</f>
        <v>#N/A</v>
      </c>
      <c r="E288" s="22">
        <v>7.2E7</v>
      </c>
      <c r="F288" s="23">
        <v>0.0</v>
      </c>
      <c r="G288" s="24" t="str">
        <f>IFERROR(__xludf.DUMMYFUNCTION("REGEXEXTRACT(C288, ""ک\s(\d{16})"")"),"#N/A")</f>
        <v>#N/A</v>
      </c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25.5" customHeight="1">
      <c r="A289" s="19">
        <v>288.0</v>
      </c>
      <c r="B289" s="19" t="s">
        <v>828</v>
      </c>
      <c r="C289" s="21" t="s">
        <v>834</v>
      </c>
      <c r="D289" s="21" t="str">
        <f>VLOOKUP(G289, Cards!A:B, 2, FALSE)</f>
        <v>#N/A</v>
      </c>
      <c r="E289" s="22">
        <v>6.8E7</v>
      </c>
      <c r="F289" s="23">
        <v>0.0</v>
      </c>
      <c r="G289" s="24" t="str">
        <f>IFERROR(__xludf.DUMMYFUNCTION("REGEXEXTRACT(C289, ""ک\s(\d{16})"")"),"#N/A")</f>
        <v>#N/A</v>
      </c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25.5" customHeight="1">
      <c r="A290" s="19">
        <v>289.0</v>
      </c>
      <c r="B290" s="19" t="s">
        <v>828</v>
      </c>
      <c r="C290" s="21" t="s">
        <v>838</v>
      </c>
      <c r="D290" s="21" t="str">
        <f>VLOOKUP(G290, Cards!A:B, 2, FALSE)</f>
        <v>#N/A</v>
      </c>
      <c r="E290" s="22">
        <v>0.0</v>
      </c>
      <c r="F290" s="23">
        <v>1.56E7</v>
      </c>
      <c r="G290" s="24" t="str">
        <f>IFERROR(__xludf.DUMMYFUNCTION("REGEXEXTRACT(C290, ""ک\s(\d{16})"")"),"6219861085979838")</f>
        <v>6219861085979838</v>
      </c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25.5" customHeight="1">
      <c r="A291" s="19">
        <v>290.0</v>
      </c>
      <c r="B291" s="19" t="s">
        <v>828</v>
      </c>
      <c r="C291" s="21" t="s">
        <v>841</v>
      </c>
      <c r="D291" s="21" t="str">
        <f>VLOOKUP(G291, Cards!A:B, 2, FALSE)</f>
        <v>#N/A</v>
      </c>
      <c r="E291" s="22">
        <v>0.0</v>
      </c>
      <c r="F291" s="23">
        <v>1800.0</v>
      </c>
      <c r="G291" s="24" t="str">
        <f>IFERROR(__xludf.DUMMYFUNCTION("REGEXEXTRACT(C291, ""ک\s(\d{16})"")"),"6219861085979838")</f>
        <v>6219861085979838</v>
      </c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25.5" customHeight="1">
      <c r="A292" s="19">
        <v>291.0</v>
      </c>
      <c r="B292" s="19" t="s">
        <v>828</v>
      </c>
      <c r="C292" s="21" t="s">
        <v>844</v>
      </c>
      <c r="D292" s="21" t="str">
        <f>VLOOKUP(G292, Cards!A:B, 2, FALSE)</f>
        <v>#N/A</v>
      </c>
      <c r="E292" s="22">
        <v>0.0</v>
      </c>
      <c r="F292" s="23">
        <v>1.364E7</v>
      </c>
      <c r="G292" s="24" t="str">
        <f>IFERROR(__xludf.DUMMYFUNCTION("REGEXEXTRACT(C292, ""ک\s(\d{16})"")"),"5894631178646402")</f>
        <v>5894631178646402</v>
      </c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25.5" customHeight="1">
      <c r="A293" s="19">
        <v>292.0</v>
      </c>
      <c r="B293" s="19" t="s">
        <v>828</v>
      </c>
      <c r="C293" s="21" t="s">
        <v>846</v>
      </c>
      <c r="D293" s="21" t="str">
        <f>VLOOKUP(G293, Cards!A:B, 2, FALSE)</f>
        <v>#N/A</v>
      </c>
      <c r="E293" s="22">
        <v>0.0</v>
      </c>
      <c r="F293" s="23">
        <v>12200.0</v>
      </c>
      <c r="G293" s="24" t="str">
        <f>IFERROR(__xludf.DUMMYFUNCTION("REGEXEXTRACT(C293, ""ک\s(\d{16})"")"),"6219861085979838")</f>
        <v>6219861085979838</v>
      </c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25.5" customHeight="1">
      <c r="A294" s="19">
        <v>293.0</v>
      </c>
      <c r="B294" s="19" t="s">
        <v>828</v>
      </c>
      <c r="C294" s="21" t="s">
        <v>848</v>
      </c>
      <c r="D294" s="39" t="str">
        <f>VLOOKUP(G294, Cards!A:B, 2, FALSE)</f>
        <v>محسن خانگاه</v>
      </c>
      <c r="E294" s="22">
        <v>0.0</v>
      </c>
      <c r="F294" s="23">
        <v>2.171E7</v>
      </c>
      <c r="G294" s="24" t="str">
        <f>IFERROR(__xludf.DUMMYFUNCTION("REGEXEXTRACT(C294, ""ک\s(\d{16})"")"),"6274121208660688")</f>
        <v>6274121208660688</v>
      </c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25.5" customHeight="1">
      <c r="A295" s="19">
        <v>294.0</v>
      </c>
      <c r="B295" s="19" t="s">
        <v>828</v>
      </c>
      <c r="C295" s="21" t="s">
        <v>850</v>
      </c>
      <c r="D295" s="21" t="str">
        <f>VLOOKUP(G295, Cards!A:B, 2, FALSE)</f>
        <v>#N/A</v>
      </c>
      <c r="E295" s="22">
        <v>0.0</v>
      </c>
      <c r="F295" s="23">
        <v>15400.0</v>
      </c>
      <c r="G295" s="24" t="str">
        <f>IFERROR(__xludf.DUMMYFUNCTION("REGEXEXTRACT(C295, ""ک\s(\d{16})"")"),"6219861085979838")</f>
        <v>6219861085979838</v>
      </c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25.5" customHeight="1">
      <c r="A296" s="19">
        <v>295.0</v>
      </c>
      <c r="B296" s="19" t="s">
        <v>828</v>
      </c>
      <c r="C296" s="21" t="s">
        <v>852</v>
      </c>
      <c r="D296" s="21" t="str">
        <f>VLOOKUP(G296, Cards!A:B, 2, FALSE)</f>
        <v>#N/A</v>
      </c>
      <c r="E296" s="22">
        <v>0.0</v>
      </c>
      <c r="F296" s="23">
        <v>5.0E7</v>
      </c>
      <c r="G296" s="24" t="str">
        <f>IFERROR(__xludf.DUMMYFUNCTION("REGEXEXTRACT(C296, ""ک\s(\d{16})"")"),"6037697709482571")</f>
        <v>6037697709482571</v>
      </c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25.5" customHeight="1">
      <c r="A297" s="19">
        <v>296.0</v>
      </c>
      <c r="B297" s="19" t="s">
        <v>828</v>
      </c>
      <c r="C297" s="21" t="s">
        <v>854</v>
      </c>
      <c r="D297" s="21" t="str">
        <f>VLOOKUP(G297, Cards!A:B, 2, FALSE)</f>
        <v>#N/A</v>
      </c>
      <c r="E297" s="22">
        <v>0.0</v>
      </c>
      <c r="F297" s="23">
        <v>21800.0</v>
      </c>
      <c r="G297" s="24" t="str">
        <f>IFERROR(__xludf.DUMMYFUNCTION("REGEXEXTRACT(C297, ""ک\s(\d{16})"")"),"6219861085979838")</f>
        <v>6219861085979838</v>
      </c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25.5" customHeight="1">
      <c r="A298" s="19">
        <v>297.0</v>
      </c>
      <c r="B298" s="19" t="s">
        <v>828</v>
      </c>
      <c r="C298" s="21" t="s">
        <v>856</v>
      </c>
      <c r="D298" s="21" t="str">
        <f>VLOOKUP(G298, Cards!A:B, 2, FALSE)</f>
        <v>#N/A</v>
      </c>
      <c r="E298" s="22">
        <v>0.0</v>
      </c>
      <c r="F298" s="23">
        <v>1.05E7</v>
      </c>
      <c r="G298" s="24" t="str">
        <f>IFERROR(__xludf.DUMMYFUNCTION("REGEXEXTRACT(C298, ""ک\s(\d{16})"")"),"5894631178646402")</f>
        <v>5894631178646402</v>
      </c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25.5" customHeight="1">
      <c r="A299" s="19">
        <v>298.0</v>
      </c>
      <c r="B299" s="19" t="s">
        <v>828</v>
      </c>
      <c r="C299" s="21" t="s">
        <v>858</v>
      </c>
      <c r="D299" s="21" t="str">
        <f>VLOOKUP(G299, Cards!A:B, 2, FALSE)</f>
        <v>#N/A</v>
      </c>
      <c r="E299" s="22">
        <v>0.0</v>
      </c>
      <c r="F299" s="23">
        <v>12200.0</v>
      </c>
      <c r="G299" s="24" t="str">
        <f>IFERROR(__xludf.DUMMYFUNCTION("REGEXEXTRACT(C299, ""ک\s(\d{16})"")"),"6219861085979838")</f>
        <v>6219861085979838</v>
      </c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25.5" customHeight="1">
      <c r="A300" s="19">
        <v>299.0</v>
      </c>
      <c r="B300" s="19" t="s">
        <v>859</v>
      </c>
      <c r="C300" s="21" t="s">
        <v>861</v>
      </c>
      <c r="D300" s="21" t="str">
        <f>VLOOKUP(G300, Cards!A:B, 2, FALSE)</f>
        <v>#N/A</v>
      </c>
      <c r="E300" s="22">
        <v>9.3E7</v>
      </c>
      <c r="F300" s="23">
        <v>0.0</v>
      </c>
      <c r="G300" s="24" t="str">
        <f>IFERROR(__xludf.DUMMYFUNCTION("REGEXEXTRACT(C300, ""ک\s(\d{16})"")"),"#N/A")</f>
        <v>#N/A</v>
      </c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25.5" customHeight="1">
      <c r="A301" s="19">
        <v>300.0</v>
      </c>
      <c r="B301" s="19" t="s">
        <v>864</v>
      </c>
      <c r="C301" s="21" t="s">
        <v>866</v>
      </c>
      <c r="D301" s="21" t="str">
        <f>VLOOKUP(G301, Cards!A:B, 2, FALSE)</f>
        <v>#N/A</v>
      </c>
      <c r="E301" s="22">
        <v>0.0</v>
      </c>
      <c r="F301" s="23">
        <v>5400000.0</v>
      </c>
      <c r="G301" s="24" t="str">
        <f>IFERROR(__xludf.DUMMYFUNCTION("REGEXEXTRACT(C301, ""ک\s(\d{16})"")"),"6219861085979838")</f>
        <v>6219861085979838</v>
      </c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25.5" customHeight="1">
      <c r="A302" s="19">
        <v>301.0</v>
      </c>
      <c r="B302" s="19" t="s">
        <v>864</v>
      </c>
      <c r="C302" s="21" t="s">
        <v>869</v>
      </c>
      <c r="D302" s="21" t="str">
        <f>VLOOKUP(G302, Cards!A:B, 2, FALSE)</f>
        <v>#N/A</v>
      </c>
      <c r="E302" s="22">
        <v>0.0</v>
      </c>
      <c r="F302" s="23">
        <v>3.42E7</v>
      </c>
      <c r="G302" s="24" t="str">
        <f>IFERROR(__xludf.DUMMYFUNCTION("REGEXEXTRACT(C302, ""ک\s(\d{16})"")"),"6219861085979838")</f>
        <v>6219861085979838</v>
      </c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25.5" customHeight="1">
      <c r="A303" s="19">
        <v>302.0</v>
      </c>
      <c r="B303" s="19" t="s">
        <v>864</v>
      </c>
      <c r="C303" s="21" t="s">
        <v>872</v>
      </c>
      <c r="D303" s="21" t="str">
        <f>VLOOKUP(G303, Cards!A:B, 2, FALSE)</f>
        <v>#N/A</v>
      </c>
      <c r="E303" s="22">
        <v>900000.0</v>
      </c>
      <c r="F303" s="23">
        <v>0.0</v>
      </c>
      <c r="G303" s="24" t="str">
        <f>IFERROR(__xludf.DUMMYFUNCTION("REGEXEXTRACT(C303, ""ک\s(\d{16})"")"),"6037998268673539")</f>
        <v>6037998268673539</v>
      </c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25.5" customHeight="1">
      <c r="A304" s="19">
        <v>303.0</v>
      </c>
      <c r="B304" s="19" t="s">
        <v>864</v>
      </c>
      <c r="C304" s="21" t="s">
        <v>875</v>
      </c>
      <c r="D304" s="21" t="str">
        <f>VLOOKUP(G304, Cards!A:B, 2, FALSE)</f>
        <v>#N/A</v>
      </c>
      <c r="E304" s="22">
        <v>0.0</v>
      </c>
      <c r="F304" s="23">
        <v>1800.0</v>
      </c>
      <c r="G304" s="24" t="str">
        <f>IFERROR(__xludf.DUMMYFUNCTION("REGEXEXTRACT(C304, ""ک\s(\d{16})"")"),"6219861085979838")</f>
        <v>6219861085979838</v>
      </c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25.5" customHeight="1">
      <c r="A305" s="19">
        <v>304.0</v>
      </c>
      <c r="B305" s="19" t="s">
        <v>864</v>
      </c>
      <c r="C305" s="21" t="s">
        <v>878</v>
      </c>
      <c r="D305" s="21" t="str">
        <f>VLOOKUP(G305, Cards!A:B, 2, FALSE)</f>
        <v>#N/A</v>
      </c>
      <c r="E305" s="22">
        <v>0.0</v>
      </c>
      <c r="F305" s="23">
        <v>6500000.0</v>
      </c>
      <c r="G305" s="24" t="str">
        <f>IFERROR(__xludf.DUMMYFUNCTION("REGEXEXTRACT(C305, ""ک\s(\d{16})"")"),"6219861085979838")</f>
        <v>6219861085979838</v>
      </c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25.5" customHeight="1">
      <c r="A306" s="19">
        <v>305.0</v>
      </c>
      <c r="B306" s="19" t="s">
        <v>864</v>
      </c>
      <c r="C306" s="21" t="s">
        <v>881</v>
      </c>
      <c r="D306" s="21" t="str">
        <f>VLOOKUP(G306, Cards!A:B, 2, FALSE)</f>
        <v>#N/A</v>
      </c>
      <c r="E306" s="22">
        <v>0.0</v>
      </c>
      <c r="F306" s="23">
        <v>1.45E7</v>
      </c>
      <c r="G306" s="24" t="str">
        <f>IFERROR(__xludf.DUMMYFUNCTION("REGEXEXTRACT(C306, ""ک\s(\d{16})"")"),"6219861085979838")</f>
        <v>6219861085979838</v>
      </c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25.5" customHeight="1">
      <c r="A307" s="19">
        <v>306.0</v>
      </c>
      <c r="B307" s="19" t="s">
        <v>864</v>
      </c>
      <c r="C307" s="21" t="s">
        <v>884</v>
      </c>
      <c r="D307" s="21" t="str">
        <f>VLOOKUP(G307, Cards!A:B, 2, FALSE)</f>
        <v>#N/A</v>
      </c>
      <c r="E307" s="22">
        <v>2200000.0</v>
      </c>
      <c r="F307" s="23">
        <v>0.0</v>
      </c>
      <c r="G307" s="24" t="str">
        <f>IFERROR(__xludf.DUMMYFUNCTION("REGEXEXTRACT(C307, ""ک\s(\d{16})"")"),"5859831141763309")</f>
        <v>5859831141763309</v>
      </c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25.5" customHeight="1">
      <c r="A308" s="19">
        <v>307.0</v>
      </c>
      <c r="B308" s="19" t="s">
        <v>864</v>
      </c>
      <c r="C308" s="21" t="s">
        <v>887</v>
      </c>
      <c r="D308" s="21" t="str">
        <f>VLOOKUP(G308, Cards!A:B, 2, FALSE)</f>
        <v>#N/A</v>
      </c>
      <c r="E308" s="22">
        <v>0.0</v>
      </c>
      <c r="F308" s="23">
        <v>1800.0</v>
      </c>
      <c r="G308" s="24" t="str">
        <f>IFERROR(__xludf.DUMMYFUNCTION("REGEXEXTRACT(C308, ""ک\s(\d{16})"")"),"6219861085979838")</f>
        <v>6219861085979838</v>
      </c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25.5" customHeight="1">
      <c r="A309" s="19">
        <v>308.0</v>
      </c>
      <c r="B309" s="19" t="s">
        <v>864</v>
      </c>
      <c r="C309" s="21" t="s">
        <v>890</v>
      </c>
      <c r="D309" s="21" t="str">
        <f>VLOOKUP(G309, Cards!A:B, 2, FALSE)</f>
        <v>#N/A</v>
      </c>
      <c r="E309" s="22">
        <v>0.0</v>
      </c>
      <c r="F309" s="23">
        <v>2.07496E7</v>
      </c>
      <c r="G309" s="24" t="str">
        <f>IFERROR(__xludf.DUMMYFUNCTION("REGEXEXTRACT(C309, ""ک\s(\d{16})"")"),"6104338738476148")</f>
        <v>6104338738476148</v>
      </c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25.5" customHeight="1">
      <c r="A310" s="19">
        <v>309.0</v>
      </c>
      <c r="B310" s="19" t="s">
        <v>864</v>
      </c>
      <c r="C310" s="21" t="s">
        <v>892</v>
      </c>
      <c r="D310" s="21" t="str">
        <f>VLOOKUP(G310, Cards!A:B, 2, FALSE)</f>
        <v>#N/A</v>
      </c>
      <c r="E310" s="22">
        <v>0.0</v>
      </c>
      <c r="F310" s="23">
        <v>15400.0</v>
      </c>
      <c r="G310" s="24" t="str">
        <f>IFERROR(__xludf.DUMMYFUNCTION("REGEXEXTRACT(C310, ""ک\s(\d{16})"")"),"6219861085979838")</f>
        <v>6219861085979838</v>
      </c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25.5" customHeight="1">
      <c r="A311" s="19">
        <v>310.0</v>
      </c>
      <c r="B311" s="19" t="s">
        <v>864</v>
      </c>
      <c r="C311" s="21" t="s">
        <v>894</v>
      </c>
      <c r="D311" s="21" t="str">
        <f>VLOOKUP(G311, Cards!A:B, 2, FALSE)</f>
        <v>#N/A</v>
      </c>
      <c r="E311" s="22">
        <v>0.0</v>
      </c>
      <c r="F311" s="23">
        <v>4.0E7</v>
      </c>
      <c r="G311" s="24" t="str">
        <f>IFERROR(__xludf.DUMMYFUNCTION("REGEXEXTRACT(C311, ""ک\s(\d{16})"")"),"6280238033262159")</f>
        <v>6280238033262159</v>
      </c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25.5" customHeight="1">
      <c r="A312" s="19">
        <v>311.0</v>
      </c>
      <c r="B312" s="19" t="s">
        <v>864</v>
      </c>
      <c r="C312" s="21" t="s">
        <v>896</v>
      </c>
      <c r="D312" s="21" t="str">
        <f>VLOOKUP(G312, Cards!A:B, 2, FALSE)</f>
        <v>#N/A</v>
      </c>
      <c r="E312" s="22">
        <v>0.0</v>
      </c>
      <c r="F312" s="23">
        <v>18600.0</v>
      </c>
      <c r="G312" s="24" t="str">
        <f>IFERROR(__xludf.DUMMYFUNCTION("REGEXEXTRACT(C312, ""ک\s(\d{16})"")"),"6219861085979838")</f>
        <v>6219861085979838</v>
      </c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25.5" customHeight="1">
      <c r="A313" s="19">
        <v>312.0</v>
      </c>
      <c r="B313" s="19" t="s">
        <v>897</v>
      </c>
      <c r="C313" s="21" t="s">
        <v>899</v>
      </c>
      <c r="D313" s="21" t="str">
        <f>VLOOKUP(G313, Cards!A:B, 2, FALSE)</f>
        <v>#N/A</v>
      </c>
      <c r="E313" s="22">
        <v>1.74E8</v>
      </c>
      <c r="F313" s="23">
        <v>0.0</v>
      </c>
      <c r="G313" s="24" t="str">
        <f>IFERROR(__xludf.DUMMYFUNCTION("REGEXEXTRACT(C313, ""ک\s(\d{16})"")"),"#N/A")</f>
        <v>#N/A</v>
      </c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25.5" customHeight="1">
      <c r="A314" s="19">
        <v>313.0</v>
      </c>
      <c r="B314" s="19" t="s">
        <v>897</v>
      </c>
      <c r="C314" s="21" t="s">
        <v>903</v>
      </c>
      <c r="D314" s="21" t="str">
        <f>VLOOKUP(G314, Cards!A:B, 2, FALSE)</f>
        <v>#N/A</v>
      </c>
      <c r="E314" s="22">
        <v>0.0</v>
      </c>
      <c r="F314" s="23">
        <v>1.56E7</v>
      </c>
      <c r="G314" s="24" t="str">
        <f>IFERROR(__xludf.DUMMYFUNCTION("REGEXEXTRACT(C314, ""ک\s(\d{16})"")"),"6219861085979838")</f>
        <v>6219861085979838</v>
      </c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25.5" customHeight="1">
      <c r="A315" s="19">
        <v>314.0</v>
      </c>
      <c r="B315" s="19" t="s">
        <v>897</v>
      </c>
      <c r="C315" s="21" t="s">
        <v>906</v>
      </c>
      <c r="D315" s="21" t="str">
        <f>VLOOKUP(G315, Cards!A:B, 2, FALSE)</f>
        <v>#N/A</v>
      </c>
      <c r="E315" s="22">
        <v>0.0</v>
      </c>
      <c r="F315" s="23">
        <v>5.00526E7</v>
      </c>
      <c r="G315" s="24" t="str">
        <f>IFERROR(__xludf.DUMMYFUNCTION("REGEXEXTRACT(C315, ""ک\s(\d{16})"")"),"6219861085979838")</f>
        <v>6219861085979838</v>
      </c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25.5" customHeight="1">
      <c r="A316" s="19">
        <v>315.0</v>
      </c>
      <c r="B316" s="19" t="s">
        <v>897</v>
      </c>
      <c r="C316" s="21" t="s">
        <v>909</v>
      </c>
      <c r="D316" s="21" t="str">
        <f>VLOOKUP(G316, Cards!A:B, 2, FALSE)</f>
        <v>#N/A</v>
      </c>
      <c r="E316" s="22">
        <v>0.0</v>
      </c>
      <c r="F316" s="23">
        <v>800000.0</v>
      </c>
      <c r="G316" s="24" t="str">
        <f>IFERROR(__xludf.DUMMYFUNCTION("REGEXEXTRACT(C316, ""ک\s(\d{16})"")"),"6219861085979838")</f>
        <v>6219861085979838</v>
      </c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25.5" customHeight="1">
      <c r="A317" s="19">
        <v>316.0</v>
      </c>
      <c r="B317" s="19" t="s">
        <v>897</v>
      </c>
      <c r="C317" s="21" t="s">
        <v>912</v>
      </c>
      <c r="D317" s="21" t="str">
        <f>VLOOKUP(G317, Cards!A:B, 2, FALSE)</f>
        <v>#N/A</v>
      </c>
      <c r="E317" s="22">
        <v>1500000.0</v>
      </c>
      <c r="F317" s="23">
        <v>0.0</v>
      </c>
      <c r="G317" s="24" t="str">
        <f>IFERROR(__xludf.DUMMYFUNCTION("REGEXEXTRACT(C317, ""ک\s(\d{16})"")"),"5894631136109329")</f>
        <v>5894631136109329</v>
      </c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25.5" customHeight="1">
      <c r="A318" s="19">
        <v>317.0</v>
      </c>
      <c r="B318" s="19" t="s">
        <v>897</v>
      </c>
      <c r="C318" s="21" t="s">
        <v>915</v>
      </c>
      <c r="D318" s="21" t="str">
        <f>VLOOKUP(G318, Cards!A:B, 2, FALSE)</f>
        <v>#N/A</v>
      </c>
      <c r="E318" s="22">
        <v>600000.0</v>
      </c>
      <c r="F318" s="23">
        <v>0.0</v>
      </c>
      <c r="G318" s="24" t="str">
        <f>IFERROR(__xludf.DUMMYFUNCTION("REGEXEXTRACT(C318, ""ک\s(\d{16})"")"),"6037997153050548")</f>
        <v>6037997153050548</v>
      </c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25.5" customHeight="1">
      <c r="A319" s="19">
        <v>318.0</v>
      </c>
      <c r="B319" s="19" t="s">
        <v>897</v>
      </c>
      <c r="C319" s="21" t="s">
        <v>919</v>
      </c>
      <c r="D319" s="21" t="str">
        <f>VLOOKUP(G319, Cards!A:B, 2, FALSE)</f>
        <v>#N/A</v>
      </c>
      <c r="E319" s="22">
        <v>1.5E8</v>
      </c>
      <c r="F319" s="23">
        <v>0.0</v>
      </c>
      <c r="G319" s="24" t="str">
        <f>IFERROR(__xludf.DUMMYFUNCTION("REGEXEXTRACT(C319, ""ک\s(\d{16})"")"),"#N/A")</f>
        <v>#N/A</v>
      </c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25.5" customHeight="1">
      <c r="A320" s="19">
        <v>319.0</v>
      </c>
      <c r="B320" s="19" t="s">
        <v>897</v>
      </c>
      <c r="C320" s="21" t="s">
        <v>923</v>
      </c>
      <c r="D320" s="21" t="str">
        <f>VLOOKUP(G320, Cards!A:B, 2, FALSE)</f>
        <v>#N/A</v>
      </c>
      <c r="E320" s="22">
        <v>0.0</v>
      </c>
      <c r="F320" s="23">
        <v>2.9373625E7</v>
      </c>
      <c r="G320" s="24" t="str">
        <f>IFERROR(__xludf.DUMMYFUNCTION("REGEXEXTRACT(C320, ""ک\s(\d{16})"")"),"6219861085979838")</f>
        <v>6219861085979838</v>
      </c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25.5" customHeight="1">
      <c r="A321" s="19">
        <v>320.0</v>
      </c>
      <c r="B321" s="19" t="s">
        <v>897</v>
      </c>
      <c r="C321" s="21" t="s">
        <v>926</v>
      </c>
      <c r="D321" s="21" t="str">
        <f>VLOOKUP(G321, Cards!A:B, 2, FALSE)</f>
        <v>#N/A</v>
      </c>
      <c r="E321" s="22">
        <v>0.0</v>
      </c>
      <c r="F321" s="23">
        <v>2.9373625E7</v>
      </c>
      <c r="G321" s="24" t="str">
        <f>IFERROR(__xludf.DUMMYFUNCTION("REGEXEXTRACT(C321, ""ک\s(\d{16})"")"),"6219861085979838")</f>
        <v>6219861085979838</v>
      </c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25.5" customHeight="1">
      <c r="A322" s="19">
        <v>321.0</v>
      </c>
      <c r="B322" s="19" t="s">
        <v>897</v>
      </c>
      <c r="C322" s="21" t="s">
        <v>929</v>
      </c>
      <c r="D322" s="21" t="str">
        <f>VLOOKUP(G322, Cards!A:B, 2, FALSE)</f>
        <v>#N/A</v>
      </c>
      <c r="E322" s="22">
        <v>0.0</v>
      </c>
      <c r="F322" s="23">
        <v>2.9373625E7</v>
      </c>
      <c r="G322" s="24" t="str">
        <f>IFERROR(__xludf.DUMMYFUNCTION("REGEXEXTRACT(C322, ""ک\s(\d{16})"")"),"6219861085979838")</f>
        <v>6219861085979838</v>
      </c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25.5" customHeight="1">
      <c r="A323" s="19">
        <v>322.0</v>
      </c>
      <c r="B323" s="19" t="s">
        <v>897</v>
      </c>
      <c r="C323" s="21" t="s">
        <v>932</v>
      </c>
      <c r="D323" s="21" t="str">
        <f>VLOOKUP(G323, Cards!A:B, 2, FALSE)</f>
        <v>#N/A</v>
      </c>
      <c r="E323" s="22">
        <v>0.0</v>
      </c>
      <c r="F323" s="23">
        <v>2.9373625E7</v>
      </c>
      <c r="G323" s="24" t="str">
        <f>IFERROR(__xludf.DUMMYFUNCTION("REGEXEXTRACT(C323, ""ک\s(\d{16})"")"),"6219861085979838")</f>
        <v>6219861085979838</v>
      </c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25.5" customHeight="1">
      <c r="A324" s="19">
        <v>323.0</v>
      </c>
      <c r="B324" s="19" t="s">
        <v>897</v>
      </c>
      <c r="C324" s="21" t="s">
        <v>923</v>
      </c>
      <c r="D324" s="21" t="str">
        <f>VLOOKUP(G324, Cards!A:B, 2, FALSE)</f>
        <v>#N/A</v>
      </c>
      <c r="E324" s="22">
        <v>0.0</v>
      </c>
      <c r="F324" s="23">
        <v>2.9373625E7</v>
      </c>
      <c r="G324" s="24" t="str">
        <f>IFERROR(__xludf.DUMMYFUNCTION("REGEXEXTRACT(C324, ""ک\s(\d{16})"")"),"6219861085979838")</f>
        <v>6219861085979838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25.5" customHeight="1">
      <c r="A325" s="19">
        <v>324.0</v>
      </c>
      <c r="B325" s="19" t="s">
        <v>897</v>
      </c>
      <c r="C325" s="21" t="s">
        <v>929</v>
      </c>
      <c r="D325" s="21" t="str">
        <f>VLOOKUP(G325, Cards!A:B, 2, FALSE)</f>
        <v>#N/A</v>
      </c>
      <c r="E325" s="22">
        <v>0.0</v>
      </c>
      <c r="F325" s="23">
        <v>2.9373625E7</v>
      </c>
      <c r="G325" s="24" t="str">
        <f>IFERROR(__xludf.DUMMYFUNCTION("REGEXEXTRACT(C325, ""ک\s(\d{16})"")"),"6219861085979838")</f>
        <v>6219861085979838</v>
      </c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25.5" customHeight="1">
      <c r="A326" s="19">
        <v>325.0</v>
      </c>
      <c r="B326" s="19" t="s">
        <v>897</v>
      </c>
      <c r="C326" s="21" t="s">
        <v>939</v>
      </c>
      <c r="D326" s="21" t="str">
        <f>VLOOKUP(G326, Cards!A:B, 2, FALSE)</f>
        <v>#N/A</v>
      </c>
      <c r="E326" s="22">
        <v>0.0</v>
      </c>
      <c r="F326" s="23">
        <v>1800.0</v>
      </c>
      <c r="G326" s="24" t="str">
        <f>IFERROR(__xludf.DUMMYFUNCTION("REGEXEXTRACT(C326, ""ک\s(\d{16})"")"),"6219861085979838")</f>
        <v>6219861085979838</v>
      </c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25.5" customHeight="1">
      <c r="A327" s="19">
        <v>326.0</v>
      </c>
      <c r="B327" s="19" t="s">
        <v>897</v>
      </c>
      <c r="C327" s="21" t="s">
        <v>942</v>
      </c>
      <c r="D327" s="21" t="str">
        <f>VLOOKUP(G327, Cards!A:B, 2, FALSE)</f>
        <v>#N/A</v>
      </c>
      <c r="E327" s="22">
        <v>0.0</v>
      </c>
      <c r="F327" s="23">
        <v>5.0E7</v>
      </c>
      <c r="G327" s="24" t="str">
        <f>IFERROR(__xludf.DUMMYFUNCTION("REGEXEXTRACT(C327, ""ک\s(\d{16})"")"),"#N/A")</f>
        <v>#N/A</v>
      </c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25.5" customHeight="1">
      <c r="A328" s="19">
        <v>327.0</v>
      </c>
      <c r="B328" s="19" t="s">
        <v>897</v>
      </c>
      <c r="C328" s="21" t="s">
        <v>335</v>
      </c>
      <c r="D328" s="21" t="str">
        <f>VLOOKUP(G328, Cards!A:B, 2, FALSE)</f>
        <v>#N/A</v>
      </c>
      <c r="E328" s="22">
        <v>0.0</v>
      </c>
      <c r="F328" s="23">
        <v>10000.0</v>
      </c>
      <c r="G328" s="24" t="str">
        <f>IFERROR(__xludf.DUMMYFUNCTION("REGEXEXTRACT(C328, ""ک\s(\d{16})"")"),"#N/A")</f>
        <v>#N/A</v>
      </c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25.5" customHeight="1">
      <c r="A329" s="19">
        <v>328.0</v>
      </c>
      <c r="B329" s="19" t="s">
        <v>897</v>
      </c>
      <c r="C329" s="21" t="s">
        <v>947</v>
      </c>
      <c r="D329" s="21" t="str">
        <f>VLOOKUP(G329, Cards!A:B, 2, FALSE)</f>
        <v>#N/A</v>
      </c>
      <c r="E329" s="22">
        <v>0.0</v>
      </c>
      <c r="F329" s="23">
        <v>1800.0</v>
      </c>
      <c r="G329" s="24" t="str">
        <f>IFERROR(__xludf.DUMMYFUNCTION("REGEXEXTRACT(C329, ""ک\s(\d{16})"")"),"6219861085979838")</f>
        <v>6219861085979838</v>
      </c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25.5" customHeight="1">
      <c r="A330" s="19">
        <v>329.0</v>
      </c>
      <c r="B330" s="19" t="s">
        <v>897</v>
      </c>
      <c r="C330" s="21" t="s">
        <v>950</v>
      </c>
      <c r="D330" s="21" t="str">
        <f>VLOOKUP(G330, Cards!A:B, 2, FALSE)</f>
        <v>#N/A</v>
      </c>
      <c r="E330" s="22">
        <v>0.0</v>
      </c>
      <c r="F330" s="23">
        <v>1.92696E7</v>
      </c>
      <c r="G330" s="24" t="str">
        <f>IFERROR(__xludf.DUMMYFUNCTION("REGEXEXTRACT(C330, ""ک\s(\d{16})"")"),"6104338738476148")</f>
        <v>6104338738476148</v>
      </c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25.5" customHeight="1">
      <c r="A331" s="19">
        <v>330.0</v>
      </c>
      <c r="B331" s="19" t="s">
        <v>897</v>
      </c>
      <c r="C331" s="21" t="s">
        <v>952</v>
      </c>
      <c r="D331" s="21" t="str">
        <f>VLOOKUP(G331, Cards!A:B, 2, FALSE)</f>
        <v>#N/A</v>
      </c>
      <c r="E331" s="22">
        <v>0.0</v>
      </c>
      <c r="F331" s="23">
        <v>12200.0</v>
      </c>
      <c r="G331" s="24" t="str">
        <f>IFERROR(__xludf.DUMMYFUNCTION("REGEXEXTRACT(C331, ""ک\s(\d{16})"")"),"6219861085979838")</f>
        <v>6219861085979838</v>
      </c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ht="25.5" customHeight="1">
      <c r="A332" s="19">
        <v>331.0</v>
      </c>
      <c r="B332" s="19" t="s">
        <v>897</v>
      </c>
      <c r="C332" s="21" t="s">
        <v>954</v>
      </c>
      <c r="D332" s="39" t="str">
        <f>VLOOKUP(G332, Cards!A:B, 2, FALSE)</f>
        <v>محسن خانگاه</v>
      </c>
      <c r="E332" s="22">
        <v>0.0</v>
      </c>
      <c r="F332" s="23">
        <v>2.835E7</v>
      </c>
      <c r="G332" s="24" t="str">
        <f>IFERROR(__xludf.DUMMYFUNCTION("REGEXEXTRACT(C332, ""ک\s(\d{16})"")"),"6274121208660688")</f>
        <v>6274121208660688</v>
      </c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ht="25.5" customHeight="1">
      <c r="A333" s="19">
        <v>332.0</v>
      </c>
      <c r="B333" s="19" t="s">
        <v>897</v>
      </c>
      <c r="C333" s="21" t="s">
        <v>956</v>
      </c>
      <c r="D333" s="21" t="str">
        <f>VLOOKUP(G333, Cards!A:B, 2, FALSE)</f>
        <v>#N/A</v>
      </c>
      <c r="E333" s="22">
        <v>0.0</v>
      </c>
      <c r="F333" s="23">
        <v>15400.0</v>
      </c>
      <c r="G333" s="24" t="str">
        <f>IFERROR(__xludf.DUMMYFUNCTION("REGEXEXTRACT(C333, ""ک\s(\d{16})"")"),"6219861085979838")</f>
        <v>6219861085979838</v>
      </c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ht="25.5" customHeight="1">
      <c r="A334" s="19">
        <v>333.0</v>
      </c>
      <c r="B334" s="19" t="s">
        <v>897</v>
      </c>
      <c r="C334" s="21" t="s">
        <v>958</v>
      </c>
      <c r="D334" s="21" t="str">
        <f>VLOOKUP(G334, Cards!A:B, 2, FALSE)</f>
        <v>#N/A</v>
      </c>
      <c r="E334" s="22">
        <v>0.0</v>
      </c>
      <c r="F334" s="23">
        <v>1278900.0</v>
      </c>
      <c r="G334" s="24" t="str">
        <f>IFERROR(__xludf.DUMMYFUNCTION("REGEXEXTRACT(C334, ""ک\s(\d{16})"")"),"6219861085979838")</f>
        <v>6219861085979838</v>
      </c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ht="25.5" customHeight="1">
      <c r="A335" s="19">
        <v>334.0</v>
      </c>
      <c r="B335" s="19" t="s">
        <v>897</v>
      </c>
      <c r="C335" s="21" t="s">
        <v>961</v>
      </c>
      <c r="D335" s="21" t="str">
        <f>VLOOKUP(G335, Cards!A:B, 2, FALSE)</f>
        <v>#N/A</v>
      </c>
      <c r="E335" s="22">
        <v>0.0</v>
      </c>
      <c r="F335" s="23">
        <v>2300000.0</v>
      </c>
      <c r="G335" s="24" t="str">
        <f>IFERROR(__xludf.DUMMYFUNCTION("REGEXEXTRACT(C335, ""ک\s(\d{16})"")"),"6219861085979838")</f>
        <v>6219861085979838</v>
      </c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ht="25.5" customHeight="1">
      <c r="A336" s="19">
        <v>335.0</v>
      </c>
      <c r="B336" s="19" t="s">
        <v>897</v>
      </c>
      <c r="C336" s="21" t="s">
        <v>964</v>
      </c>
      <c r="D336" s="21" t="str">
        <f>VLOOKUP(G336, Cards!A:B, 2, FALSE)</f>
        <v>#N/A</v>
      </c>
      <c r="E336" s="22">
        <v>500000.0</v>
      </c>
      <c r="F336" s="23">
        <v>0.0</v>
      </c>
      <c r="G336" s="24" t="str">
        <f>IFERROR(__xludf.DUMMYFUNCTION("REGEXEXTRACT(C336, ""ک\s(\d{16})"")"),"6037991557459314")</f>
        <v>6037991557459314</v>
      </c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ht="25.5" customHeight="1">
      <c r="A337" s="19">
        <v>336.0</v>
      </c>
      <c r="B337" s="19" t="s">
        <v>897</v>
      </c>
      <c r="C337" s="21" t="s">
        <v>967</v>
      </c>
      <c r="D337" s="21" t="str">
        <f>VLOOKUP(G337, Cards!A:B, 2, FALSE)</f>
        <v>#N/A</v>
      </c>
      <c r="E337" s="22">
        <v>900000.0</v>
      </c>
      <c r="F337" s="23">
        <v>0.0</v>
      </c>
      <c r="G337" s="24" t="str">
        <f>IFERROR(__xludf.DUMMYFUNCTION("REGEXEXTRACT(C337, ""ک\s(\d{16})"")"),"5022291564975769")</f>
        <v>5022291564975769</v>
      </c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ht="25.5" customHeight="1">
      <c r="A338" s="19">
        <v>337.0</v>
      </c>
      <c r="B338" s="19" t="s">
        <v>969</v>
      </c>
      <c r="C338" s="21" t="s">
        <v>971</v>
      </c>
      <c r="D338" s="21" t="str">
        <f>VLOOKUP(G338, Cards!A:B, 2, FALSE)</f>
        <v>#N/A</v>
      </c>
      <c r="E338" s="22">
        <v>1.2E8</v>
      </c>
      <c r="F338" s="23">
        <v>0.0</v>
      </c>
      <c r="G338" s="24" t="str">
        <f>IFERROR(__xludf.DUMMYFUNCTION("REGEXEXTRACT(C338, ""ک\s(\d{16})"")"),"#N/A")</f>
        <v>#N/A</v>
      </c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ht="25.5" customHeight="1">
      <c r="A339" s="19">
        <v>338.0</v>
      </c>
      <c r="B339" s="19" t="s">
        <v>969</v>
      </c>
      <c r="C339" s="21" t="s">
        <v>975</v>
      </c>
      <c r="D339" s="21" t="str">
        <f>VLOOKUP(G339, Cards!A:B, 2, FALSE)</f>
        <v>#N/A</v>
      </c>
      <c r="E339" s="22">
        <v>0.0</v>
      </c>
      <c r="F339" s="23">
        <v>2.68E7</v>
      </c>
      <c r="G339" s="24" t="str">
        <f>IFERROR(__xludf.DUMMYFUNCTION("REGEXEXTRACT(C339, ""ک\s(\d{16})"")"),"6219861085979838")</f>
        <v>6219861085979838</v>
      </c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ht="25.5" customHeight="1">
      <c r="A340" s="19">
        <v>339.0</v>
      </c>
      <c r="B340" s="19" t="s">
        <v>969</v>
      </c>
      <c r="C340" s="21" t="s">
        <v>978</v>
      </c>
      <c r="D340" s="21" t="str">
        <f>VLOOKUP(G340, Cards!A:B, 2, FALSE)</f>
        <v>#N/A</v>
      </c>
      <c r="E340" s="22">
        <v>0.0</v>
      </c>
      <c r="F340" s="23">
        <v>1.598E7</v>
      </c>
      <c r="G340" s="24" t="str">
        <f>IFERROR(__xludf.DUMMYFUNCTION("REGEXEXTRACT(C340, ""ک\s(\d{16})"")"),"6219861085979838")</f>
        <v>6219861085979838</v>
      </c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ht="25.5" customHeight="1">
      <c r="A341" s="19">
        <v>340.0</v>
      </c>
      <c r="B341" s="19" t="s">
        <v>969</v>
      </c>
      <c r="C341" s="21" t="s">
        <v>981</v>
      </c>
      <c r="D341" s="21" t="str">
        <f>VLOOKUP(G341, Cards!A:B, 2, FALSE)</f>
        <v>#N/A</v>
      </c>
      <c r="E341" s="22">
        <v>0.0</v>
      </c>
      <c r="F341" s="23">
        <v>3444600.0</v>
      </c>
      <c r="G341" s="24" t="str">
        <f>IFERROR(__xludf.DUMMYFUNCTION("REGEXEXTRACT(C341, ""ک\s(\d{16})"")"),"6219861085979838")</f>
        <v>6219861085979838</v>
      </c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ht="25.5" customHeight="1">
      <c r="A342" s="19">
        <v>341.0</v>
      </c>
      <c r="B342" s="19" t="s">
        <v>969</v>
      </c>
      <c r="C342" s="21" t="s">
        <v>984</v>
      </c>
      <c r="D342" s="21" t="str">
        <f>VLOOKUP(G342, Cards!A:B, 2, FALSE)</f>
        <v>#N/A</v>
      </c>
      <c r="E342" s="22">
        <v>0.0</v>
      </c>
      <c r="F342" s="23">
        <v>1600000.0</v>
      </c>
      <c r="G342" s="24" t="str">
        <f>IFERROR(__xludf.DUMMYFUNCTION("REGEXEXTRACT(C342, ""ک\s(\d{16})"")"),"6219861085979838")</f>
        <v>6219861085979838</v>
      </c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ht="25.5" customHeight="1">
      <c r="A343" s="19">
        <v>342.0</v>
      </c>
      <c r="B343" s="19" t="s">
        <v>969</v>
      </c>
      <c r="C343" s="21" t="s">
        <v>987</v>
      </c>
      <c r="D343" s="21" t="str">
        <f>VLOOKUP(G343, Cards!A:B, 2, FALSE)</f>
        <v>#N/A</v>
      </c>
      <c r="E343" s="22">
        <v>0.0</v>
      </c>
      <c r="F343" s="23">
        <v>1800.0</v>
      </c>
      <c r="G343" s="24" t="str">
        <f>IFERROR(__xludf.DUMMYFUNCTION("REGEXEXTRACT(C343, ""ک\s(\d{16})"")"),"6219861085979838")</f>
        <v>6219861085979838</v>
      </c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ht="25.5" customHeight="1">
      <c r="A344" s="19">
        <v>343.0</v>
      </c>
      <c r="B344" s="19" t="s">
        <v>969</v>
      </c>
      <c r="C344" s="21" t="s">
        <v>990</v>
      </c>
      <c r="D344" s="39" t="str">
        <f>VLOOKUP(G344, Cards!A:B, 2, FALSE)</f>
        <v>محسن خانگاه</v>
      </c>
      <c r="E344" s="22">
        <v>0.0</v>
      </c>
      <c r="F344" s="23">
        <v>2.978E7</v>
      </c>
      <c r="G344" s="24" t="str">
        <f>IFERROR(__xludf.DUMMYFUNCTION("REGEXEXTRACT(C344, ""ک\s(\d{16})"")"),"6274121208660688")</f>
        <v>6274121208660688</v>
      </c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ht="25.5" customHeight="1">
      <c r="A345" s="19">
        <v>344.0</v>
      </c>
      <c r="B345" s="19" t="s">
        <v>969</v>
      </c>
      <c r="C345" s="21" t="s">
        <v>992</v>
      </c>
      <c r="D345" s="21" t="str">
        <f>VLOOKUP(G345, Cards!A:B, 2, FALSE)</f>
        <v>#N/A</v>
      </c>
      <c r="E345" s="22">
        <v>0.0</v>
      </c>
      <c r="F345" s="23">
        <v>15400.0</v>
      </c>
      <c r="G345" s="24" t="str">
        <f>IFERROR(__xludf.DUMMYFUNCTION("REGEXEXTRACT(C345, ""ک\s(\d{16})"")"),"6219861085979838")</f>
        <v>6219861085979838</v>
      </c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ht="25.5" customHeight="1">
      <c r="A346" s="19">
        <v>345.0</v>
      </c>
      <c r="B346" s="19" t="s">
        <v>969</v>
      </c>
      <c r="C346" s="21" t="s">
        <v>994</v>
      </c>
      <c r="D346" s="39" t="str">
        <f>VLOOKUP(G346, Cards!A:B, 2, FALSE)</f>
        <v>محمد کوچکي</v>
      </c>
      <c r="E346" s="22">
        <v>0.0</v>
      </c>
      <c r="F346" s="23">
        <v>1.04E7</v>
      </c>
      <c r="G346" s="24" t="str">
        <f>IFERROR(__xludf.DUMMYFUNCTION("REGEXEXTRACT(C346, ""ک\s(\d{16})"")"),"6037697600840968")</f>
        <v>6037697600840968</v>
      </c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ht="25.5" customHeight="1">
      <c r="A347" s="19">
        <v>346.0</v>
      </c>
      <c r="B347" s="19" t="s">
        <v>969</v>
      </c>
      <c r="C347" s="21" t="s">
        <v>996</v>
      </c>
      <c r="D347" s="21" t="str">
        <f>VLOOKUP(G347, Cards!A:B, 2, FALSE)</f>
        <v>#N/A</v>
      </c>
      <c r="E347" s="22">
        <v>0.0</v>
      </c>
      <c r="F347" s="23">
        <v>12200.0</v>
      </c>
      <c r="G347" s="24" t="str">
        <f>IFERROR(__xludf.DUMMYFUNCTION("REGEXEXTRACT(C347, ""ک\s(\d{16})"")"),"6219861085979838")</f>
        <v>6219861085979838</v>
      </c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ht="25.5" customHeight="1">
      <c r="A348" s="19">
        <v>347.0</v>
      </c>
      <c r="B348" s="19" t="s">
        <v>969</v>
      </c>
      <c r="C348" s="21" t="s">
        <v>998</v>
      </c>
      <c r="D348" s="21" t="str">
        <f>VLOOKUP(G348, Cards!A:B, 2, FALSE)</f>
        <v>#N/A</v>
      </c>
      <c r="E348" s="22">
        <v>0.0</v>
      </c>
      <c r="F348" s="23">
        <v>3450000.0</v>
      </c>
      <c r="G348" s="24" t="str">
        <f>IFERROR(__xludf.DUMMYFUNCTION("REGEXEXTRACT(C348, ""ک\s(\d{16})"")"),"6219861085979838")</f>
        <v>6219861085979838</v>
      </c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ht="25.5" customHeight="1">
      <c r="A349" s="19">
        <v>348.0</v>
      </c>
      <c r="B349" s="19" t="s">
        <v>969</v>
      </c>
      <c r="C349" s="21" t="s">
        <v>1001</v>
      </c>
      <c r="D349" s="21" t="str">
        <f>VLOOKUP(G349, Cards!A:B, 2, FALSE)</f>
        <v>#N/A</v>
      </c>
      <c r="E349" s="22">
        <v>1250000.0</v>
      </c>
      <c r="F349" s="23">
        <v>0.0</v>
      </c>
      <c r="G349" s="24" t="str">
        <f>IFERROR(__xludf.DUMMYFUNCTION("REGEXEXTRACT(C349, ""ک\s(\d{16})"")"),"#N/A")</f>
        <v>#N/A</v>
      </c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ht="25.5" customHeight="1">
      <c r="A350" s="19">
        <v>349.0</v>
      </c>
      <c r="B350" s="19" t="s">
        <v>969</v>
      </c>
      <c r="C350" s="21" t="s">
        <v>1004</v>
      </c>
      <c r="D350" s="21" t="str">
        <f>VLOOKUP(G350, Cards!A:B, 2, FALSE)</f>
        <v>#N/A</v>
      </c>
      <c r="E350" s="22">
        <v>0.0</v>
      </c>
      <c r="F350" s="23">
        <v>1800.0</v>
      </c>
      <c r="G350" s="24" t="str">
        <f>IFERROR(__xludf.DUMMYFUNCTION("REGEXEXTRACT(C350, ""ک\s(\d{16})"")"),"6219861085979838")</f>
        <v>6219861085979838</v>
      </c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ht="25.5" customHeight="1">
      <c r="A351" s="19">
        <v>350.0</v>
      </c>
      <c r="B351" s="19" t="s">
        <v>969</v>
      </c>
      <c r="C351" s="21" t="s">
        <v>1007</v>
      </c>
      <c r="D351" s="21" t="str">
        <f>VLOOKUP(G351, Cards!A:B, 2, FALSE)</f>
        <v>#N/A</v>
      </c>
      <c r="E351" s="22">
        <v>0.0</v>
      </c>
      <c r="F351" s="23">
        <v>1800.0</v>
      </c>
      <c r="G351" s="24" t="str">
        <f>IFERROR(__xludf.DUMMYFUNCTION("REGEXEXTRACT(C351, ""ک\s(\d{16})"")"),"6219861085979838")</f>
        <v>6219861085979838</v>
      </c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ht="25.5" customHeight="1">
      <c r="A352" s="19">
        <v>351.0</v>
      </c>
      <c r="B352" s="19" t="s">
        <v>969</v>
      </c>
      <c r="C352" s="21" t="s">
        <v>1010</v>
      </c>
      <c r="D352" s="39" t="str">
        <f>VLOOKUP(G352, Cards!A:B, 2, FALSE)</f>
        <v>عليرضا سيد ابادي</v>
      </c>
      <c r="E352" s="22">
        <v>0.0</v>
      </c>
      <c r="F352" s="23">
        <v>9000000.0</v>
      </c>
      <c r="G352" s="24" t="str">
        <f>IFERROR(__xludf.DUMMYFUNCTION("REGEXEXTRACT(C352, ""ک\s(\d{16})"")"),"6104338653250742")</f>
        <v>6104338653250742</v>
      </c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ht="25.5" customHeight="1">
      <c r="A353" s="19">
        <v>352.0</v>
      </c>
      <c r="B353" s="19" t="s">
        <v>969</v>
      </c>
      <c r="C353" s="21" t="s">
        <v>1012</v>
      </c>
      <c r="D353" s="21" t="str">
        <f>VLOOKUP(G353, Cards!A:B, 2, FALSE)</f>
        <v>#N/A</v>
      </c>
      <c r="E353" s="22">
        <v>0.0</v>
      </c>
      <c r="F353" s="23">
        <v>9000.0</v>
      </c>
      <c r="G353" s="24" t="str">
        <f>IFERROR(__xludf.DUMMYFUNCTION("REGEXEXTRACT(C353, ""ک\s(\d{16})"")"),"6219861085979838")</f>
        <v>6219861085979838</v>
      </c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ht="25.5" customHeight="1">
      <c r="A354" s="19">
        <v>353.0</v>
      </c>
      <c r="B354" s="19" t="s">
        <v>969</v>
      </c>
      <c r="C354" s="21" t="s">
        <v>1014</v>
      </c>
      <c r="D354" s="21" t="str">
        <f>VLOOKUP(G354, Cards!A:B, 2, FALSE)</f>
        <v>#N/A</v>
      </c>
      <c r="E354" s="22">
        <v>0.0</v>
      </c>
      <c r="F354" s="23">
        <v>1574000.0</v>
      </c>
      <c r="G354" s="24" t="str">
        <f>IFERROR(__xludf.DUMMYFUNCTION("REGEXEXTRACT(C354, ""ک\s(\d{16})"")"),"6219861085979838")</f>
        <v>6219861085979838</v>
      </c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</sheetData>
  <drawing r:id="rId1"/>
</worksheet>
</file>