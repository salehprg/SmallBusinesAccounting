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K:\Projects\SmallBussiness Accounting\Python Script For Insert Bulk Data\"/>
    </mc:Choice>
  </mc:AlternateContent>
  <xr:revisionPtr revIDLastSave="0" documentId="13_ncr:1_{FFB3A236-1595-48FA-AA71-9D849D97D21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port" sheetId="1" r:id="rId1"/>
    <sheet name="Cards" sheetId="2" r:id="rId2"/>
    <sheet name="Final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9" i="3" l="1"/>
  <c r="D389" i="3" s="1"/>
  <c r="G388" i="3"/>
  <c r="D388" i="3" s="1"/>
  <c r="G387" i="3"/>
  <c r="D387" i="3" s="1"/>
  <c r="G386" i="3"/>
  <c r="D386" i="3" s="1"/>
  <c r="G385" i="3"/>
  <c r="D385" i="3" s="1"/>
  <c r="G384" i="3"/>
  <c r="D384" i="3" s="1"/>
  <c r="G383" i="3"/>
  <c r="D383" i="3" s="1"/>
  <c r="G382" i="3"/>
  <c r="D382" i="3" s="1"/>
  <c r="G381" i="3"/>
  <c r="D381" i="3" s="1"/>
  <c r="G380" i="3"/>
  <c r="D380" i="3" s="1"/>
  <c r="G379" i="3"/>
  <c r="D379" i="3" s="1"/>
  <c r="G378" i="3"/>
  <c r="D378" i="3" s="1"/>
  <c r="G377" i="3"/>
  <c r="D377" i="3" s="1"/>
  <c r="G376" i="3"/>
  <c r="D376" i="3"/>
  <c r="G375" i="3"/>
  <c r="D375" i="3" s="1"/>
  <c r="G374" i="3"/>
  <c r="D374" i="3" s="1"/>
  <c r="G373" i="3"/>
  <c r="D373" i="3" s="1"/>
  <c r="G372" i="3"/>
  <c r="D372" i="3" s="1"/>
  <c r="G371" i="3"/>
  <c r="D371" i="3" s="1"/>
  <c r="G370" i="3"/>
  <c r="D370" i="3" s="1"/>
  <c r="G369" i="3"/>
  <c r="D369" i="3" s="1"/>
  <c r="G368" i="3"/>
  <c r="D368" i="3" s="1"/>
  <c r="G367" i="3"/>
  <c r="D367" i="3" s="1"/>
  <c r="G366" i="3"/>
  <c r="D366" i="3" s="1"/>
  <c r="G365" i="3"/>
  <c r="D365" i="3" s="1"/>
  <c r="G364" i="3"/>
  <c r="D364" i="3"/>
  <c r="G363" i="3"/>
  <c r="D363" i="3" s="1"/>
  <c r="G362" i="3"/>
  <c r="D362" i="3" s="1"/>
  <c r="G361" i="3"/>
  <c r="D361" i="3" s="1"/>
  <c r="G360" i="3"/>
  <c r="D360" i="3" s="1"/>
  <c r="G359" i="3"/>
  <c r="D359" i="3" s="1"/>
  <c r="G358" i="3"/>
  <c r="D358" i="3" s="1"/>
  <c r="G357" i="3"/>
  <c r="D357" i="3" s="1"/>
  <c r="G356" i="3"/>
  <c r="D356" i="3" s="1"/>
  <c r="G355" i="3"/>
  <c r="D355" i="3" s="1"/>
  <c r="G354" i="3"/>
  <c r="D354" i="3" s="1"/>
  <c r="G353" i="3"/>
  <c r="D353" i="3" s="1"/>
  <c r="G352" i="3"/>
  <c r="D352" i="3" s="1"/>
  <c r="G351" i="3"/>
  <c r="D351" i="3" s="1"/>
  <c r="G350" i="3"/>
  <c r="D350" i="3" s="1"/>
  <c r="G349" i="3"/>
  <c r="D349" i="3" s="1"/>
  <c r="G348" i="3"/>
  <c r="D348" i="3" s="1"/>
  <c r="G347" i="3"/>
  <c r="D347" i="3" s="1"/>
  <c r="G346" i="3"/>
  <c r="D346" i="3" s="1"/>
  <c r="G345" i="3"/>
  <c r="D345" i="3"/>
  <c r="G344" i="3"/>
  <c r="D344" i="3" s="1"/>
  <c r="G343" i="3"/>
  <c r="D343" i="3" s="1"/>
  <c r="G342" i="3"/>
  <c r="D342" i="3" s="1"/>
  <c r="G341" i="3"/>
  <c r="D341" i="3" s="1"/>
  <c r="G340" i="3"/>
  <c r="D340" i="3" s="1"/>
  <c r="G339" i="3"/>
  <c r="D339" i="3" s="1"/>
  <c r="G338" i="3"/>
  <c r="D338" i="3" s="1"/>
  <c r="G337" i="3"/>
  <c r="D337" i="3" s="1"/>
  <c r="G336" i="3"/>
  <c r="D336" i="3" s="1"/>
  <c r="G335" i="3"/>
  <c r="D335" i="3" s="1"/>
  <c r="G334" i="3"/>
  <c r="D334" i="3" s="1"/>
  <c r="G333" i="3"/>
  <c r="D333" i="3" s="1"/>
  <c r="G332" i="3"/>
  <c r="D332" i="3" s="1"/>
  <c r="G331" i="3"/>
  <c r="D331" i="3" s="1"/>
  <c r="G330" i="3"/>
  <c r="D330" i="3" s="1"/>
  <c r="G329" i="3"/>
  <c r="D329" i="3" s="1"/>
  <c r="G328" i="3"/>
  <c r="D328" i="3" s="1"/>
  <c r="G327" i="3"/>
  <c r="D327" i="3" s="1"/>
  <c r="G326" i="3"/>
  <c r="D326" i="3" s="1"/>
  <c r="G325" i="3"/>
  <c r="D325" i="3" s="1"/>
  <c r="G324" i="3"/>
  <c r="D324" i="3" s="1"/>
  <c r="G323" i="3"/>
  <c r="D323" i="3" s="1"/>
  <c r="G322" i="3"/>
  <c r="D322" i="3" s="1"/>
  <c r="G321" i="3"/>
  <c r="D321" i="3"/>
  <c r="G320" i="3"/>
  <c r="D320" i="3" s="1"/>
  <c r="G319" i="3"/>
  <c r="D319" i="3" s="1"/>
  <c r="G318" i="3"/>
  <c r="D318" i="3" s="1"/>
  <c r="G317" i="3"/>
  <c r="D317" i="3" s="1"/>
  <c r="G316" i="3"/>
  <c r="D316" i="3" s="1"/>
  <c r="G315" i="3"/>
  <c r="D315" i="3" s="1"/>
  <c r="G314" i="3"/>
  <c r="D314" i="3"/>
  <c r="G313" i="3"/>
  <c r="D313" i="3" s="1"/>
  <c r="G312" i="3"/>
  <c r="D312" i="3" s="1"/>
  <c r="G311" i="3"/>
  <c r="D311" i="3" s="1"/>
  <c r="G310" i="3"/>
  <c r="D310" i="3" s="1"/>
  <c r="G309" i="3"/>
  <c r="D309" i="3" s="1"/>
  <c r="G308" i="3"/>
  <c r="D308" i="3" s="1"/>
  <c r="G307" i="3"/>
  <c r="D307" i="3" s="1"/>
  <c r="G306" i="3"/>
  <c r="D306" i="3" s="1"/>
  <c r="G305" i="3"/>
  <c r="D305" i="3" s="1"/>
  <c r="G304" i="3"/>
  <c r="D304" i="3" s="1"/>
  <c r="G303" i="3"/>
  <c r="D303" i="3" s="1"/>
  <c r="G302" i="3"/>
  <c r="D302" i="3"/>
  <c r="G301" i="3"/>
  <c r="D301" i="3" s="1"/>
  <c r="G300" i="3"/>
  <c r="D300" i="3" s="1"/>
  <c r="G299" i="3"/>
  <c r="D299" i="3" s="1"/>
  <c r="G298" i="3"/>
  <c r="D298" i="3" s="1"/>
  <c r="G297" i="3"/>
  <c r="D297" i="3" s="1"/>
  <c r="G296" i="3"/>
  <c r="D296" i="3" s="1"/>
  <c r="G295" i="3"/>
  <c r="D295" i="3" s="1"/>
  <c r="G294" i="3"/>
  <c r="D294" i="3" s="1"/>
  <c r="G293" i="3"/>
  <c r="D293" i="3" s="1"/>
  <c r="G292" i="3"/>
  <c r="D292" i="3" s="1"/>
  <c r="G291" i="3"/>
  <c r="D291" i="3" s="1"/>
  <c r="G290" i="3"/>
  <c r="D290" i="3" s="1"/>
  <c r="G289" i="3"/>
  <c r="D289" i="3"/>
  <c r="G288" i="3"/>
  <c r="D288" i="3" s="1"/>
  <c r="G287" i="3"/>
  <c r="D287" i="3" s="1"/>
  <c r="G286" i="3"/>
  <c r="D286" i="3" s="1"/>
  <c r="G285" i="3"/>
  <c r="D285" i="3" s="1"/>
  <c r="G284" i="3"/>
  <c r="D284" i="3" s="1"/>
  <c r="G283" i="3"/>
  <c r="D283" i="3" s="1"/>
  <c r="G282" i="3"/>
  <c r="D282" i="3" s="1"/>
  <c r="G281" i="3"/>
  <c r="D281" i="3" s="1"/>
  <c r="G280" i="3"/>
  <c r="D280" i="3" s="1"/>
  <c r="G279" i="3"/>
  <c r="D279" i="3" s="1"/>
  <c r="G278" i="3"/>
  <c r="D278" i="3" s="1"/>
  <c r="G277" i="3"/>
  <c r="D277" i="3" s="1"/>
  <c r="G276" i="3"/>
  <c r="D276" i="3" s="1"/>
  <c r="G275" i="3"/>
  <c r="D275" i="3" s="1"/>
  <c r="G274" i="3"/>
  <c r="D274" i="3" s="1"/>
  <c r="G273" i="3"/>
  <c r="D273" i="3" s="1"/>
  <c r="G272" i="3"/>
  <c r="D272" i="3" s="1"/>
  <c r="G271" i="3"/>
  <c r="D271" i="3" s="1"/>
  <c r="G270" i="3"/>
  <c r="D270" i="3" s="1"/>
  <c r="G269" i="3"/>
  <c r="D269" i="3" s="1"/>
  <c r="G268" i="3"/>
  <c r="D268" i="3" s="1"/>
  <c r="G267" i="3"/>
  <c r="D267" i="3" s="1"/>
  <c r="G266" i="3"/>
  <c r="D266" i="3" s="1"/>
  <c r="G265" i="3"/>
  <c r="D265" i="3" s="1"/>
  <c r="G264" i="3"/>
  <c r="D264" i="3" s="1"/>
  <c r="G263" i="3"/>
  <c r="D263" i="3" s="1"/>
  <c r="G262" i="3"/>
  <c r="D262" i="3" s="1"/>
  <c r="G261" i="3"/>
  <c r="D261" i="3" s="1"/>
  <c r="G260" i="3"/>
  <c r="D260" i="3" s="1"/>
  <c r="G259" i="3"/>
  <c r="D259" i="3" s="1"/>
  <c r="G258" i="3"/>
  <c r="D258" i="3" s="1"/>
  <c r="G257" i="3"/>
  <c r="D257" i="3" s="1"/>
  <c r="G256" i="3"/>
  <c r="D256" i="3" s="1"/>
  <c r="G255" i="3"/>
  <c r="D255" i="3" s="1"/>
  <c r="G254" i="3"/>
  <c r="D254" i="3" s="1"/>
  <c r="G253" i="3"/>
  <c r="D253" i="3" s="1"/>
  <c r="G252" i="3"/>
  <c r="D252" i="3" s="1"/>
  <c r="G251" i="3"/>
  <c r="D251" i="3" s="1"/>
  <c r="G250" i="3"/>
  <c r="D250" i="3" s="1"/>
  <c r="G249" i="3"/>
  <c r="D249" i="3" s="1"/>
  <c r="G248" i="3"/>
  <c r="D248" i="3" s="1"/>
  <c r="G247" i="3"/>
  <c r="D247" i="3" s="1"/>
  <c r="G246" i="3"/>
  <c r="D246" i="3" s="1"/>
  <c r="G245" i="3"/>
  <c r="D245" i="3" s="1"/>
  <c r="G244" i="3"/>
  <c r="D244" i="3" s="1"/>
  <c r="G243" i="3"/>
  <c r="D243" i="3" s="1"/>
  <c r="G242" i="3"/>
  <c r="D242" i="3" s="1"/>
  <c r="G241" i="3"/>
  <c r="D241" i="3" s="1"/>
  <c r="G240" i="3"/>
  <c r="D240" i="3" s="1"/>
  <c r="G239" i="3"/>
  <c r="D239" i="3" s="1"/>
  <c r="G238" i="3"/>
  <c r="D238" i="3" s="1"/>
  <c r="G237" i="3"/>
  <c r="D237" i="3" s="1"/>
  <c r="G236" i="3"/>
  <c r="D236" i="3" s="1"/>
  <c r="G235" i="3"/>
  <c r="D235" i="3"/>
  <c r="G234" i="3"/>
  <c r="D234" i="3" s="1"/>
  <c r="G233" i="3"/>
  <c r="D233" i="3" s="1"/>
  <c r="G232" i="3"/>
  <c r="D232" i="3" s="1"/>
  <c r="G231" i="3"/>
  <c r="D231" i="3" s="1"/>
  <c r="G230" i="3"/>
  <c r="D230" i="3" s="1"/>
  <c r="G229" i="3"/>
  <c r="D229" i="3" s="1"/>
  <c r="G228" i="3"/>
  <c r="D228" i="3" s="1"/>
  <c r="G227" i="3"/>
  <c r="D227" i="3" s="1"/>
  <c r="G226" i="3"/>
  <c r="D226" i="3" s="1"/>
  <c r="G225" i="3"/>
  <c r="D225" i="3" s="1"/>
  <c r="G224" i="3"/>
  <c r="D224" i="3" s="1"/>
  <c r="G223" i="3"/>
  <c r="D223" i="3" s="1"/>
  <c r="G222" i="3"/>
  <c r="D222" i="3" s="1"/>
  <c r="G221" i="3"/>
  <c r="D221" i="3" s="1"/>
  <c r="G220" i="3"/>
  <c r="D220" i="3" s="1"/>
  <c r="G219" i="3"/>
  <c r="D219" i="3" s="1"/>
  <c r="G218" i="3"/>
  <c r="D218" i="3" s="1"/>
  <c r="G217" i="3"/>
  <c r="D217" i="3" s="1"/>
  <c r="G216" i="3"/>
  <c r="D216" i="3" s="1"/>
  <c r="G215" i="3"/>
  <c r="D215" i="3" s="1"/>
  <c r="G214" i="3"/>
  <c r="D214" i="3" s="1"/>
  <c r="G213" i="3"/>
  <c r="D213" i="3" s="1"/>
  <c r="G212" i="3"/>
  <c r="D212" i="3" s="1"/>
  <c r="G211" i="3"/>
  <c r="D211" i="3" s="1"/>
  <c r="G210" i="3"/>
  <c r="D210" i="3" s="1"/>
  <c r="G209" i="3"/>
  <c r="D209" i="3" s="1"/>
  <c r="G208" i="3"/>
  <c r="D208" i="3" s="1"/>
  <c r="G207" i="3"/>
  <c r="D207" i="3" s="1"/>
  <c r="G206" i="3"/>
  <c r="D206" i="3" s="1"/>
  <c r="G205" i="3"/>
  <c r="D205" i="3" s="1"/>
  <c r="G204" i="3"/>
  <c r="D204" i="3" s="1"/>
  <c r="G203" i="3"/>
  <c r="D203" i="3" s="1"/>
  <c r="G202" i="3"/>
  <c r="D202" i="3" s="1"/>
  <c r="G201" i="3"/>
  <c r="D201" i="3" s="1"/>
  <c r="G200" i="3"/>
  <c r="D200" i="3" s="1"/>
  <c r="G199" i="3"/>
  <c r="D199" i="3" s="1"/>
  <c r="G198" i="3"/>
  <c r="D198" i="3" s="1"/>
  <c r="G197" i="3"/>
  <c r="D197" i="3" s="1"/>
  <c r="G196" i="3"/>
  <c r="D196" i="3" s="1"/>
  <c r="G195" i="3"/>
  <c r="D195" i="3" s="1"/>
  <c r="G194" i="3"/>
  <c r="D194" i="3" s="1"/>
  <c r="G193" i="3"/>
  <c r="D193" i="3" s="1"/>
  <c r="G192" i="3"/>
  <c r="D192" i="3" s="1"/>
  <c r="G191" i="3"/>
  <c r="D191" i="3" s="1"/>
  <c r="G190" i="3"/>
  <c r="D190" i="3" s="1"/>
  <c r="G189" i="3"/>
  <c r="D189" i="3" s="1"/>
  <c r="G188" i="3"/>
  <c r="D188" i="3" s="1"/>
  <c r="G187" i="3"/>
  <c r="D187" i="3" s="1"/>
  <c r="G186" i="3"/>
  <c r="D186" i="3" s="1"/>
  <c r="G185" i="3"/>
  <c r="D185" i="3" s="1"/>
  <c r="G184" i="3"/>
  <c r="D184" i="3" s="1"/>
  <c r="G183" i="3"/>
  <c r="D183" i="3" s="1"/>
  <c r="G182" i="3"/>
  <c r="D182" i="3" s="1"/>
  <c r="G181" i="3"/>
  <c r="D181" i="3" s="1"/>
  <c r="G180" i="3"/>
  <c r="D180" i="3" s="1"/>
  <c r="G179" i="3"/>
  <c r="D179" i="3" s="1"/>
  <c r="G178" i="3"/>
  <c r="D178" i="3" s="1"/>
  <c r="G177" i="3"/>
  <c r="D177" i="3" s="1"/>
  <c r="G176" i="3"/>
  <c r="D176" i="3" s="1"/>
  <c r="G175" i="3"/>
  <c r="D175" i="3" s="1"/>
  <c r="G174" i="3"/>
  <c r="D174" i="3" s="1"/>
  <c r="G173" i="3"/>
  <c r="D173" i="3" s="1"/>
  <c r="G172" i="3"/>
  <c r="D172" i="3"/>
  <c r="G171" i="3"/>
  <c r="D171" i="3" s="1"/>
  <c r="G170" i="3"/>
  <c r="D170" i="3" s="1"/>
  <c r="G169" i="3"/>
  <c r="D169" i="3" s="1"/>
  <c r="G168" i="3"/>
  <c r="D168" i="3" s="1"/>
  <c r="G167" i="3"/>
  <c r="D167" i="3" s="1"/>
  <c r="G166" i="3"/>
  <c r="D166" i="3" s="1"/>
  <c r="G165" i="3"/>
  <c r="D165" i="3" s="1"/>
  <c r="G164" i="3"/>
  <c r="D164" i="3" s="1"/>
  <c r="G163" i="3"/>
  <c r="D163" i="3" s="1"/>
  <c r="G162" i="3"/>
  <c r="D162" i="3" s="1"/>
  <c r="G161" i="3"/>
  <c r="D161" i="3" s="1"/>
  <c r="G160" i="3"/>
  <c r="D160" i="3" s="1"/>
  <c r="G159" i="3"/>
  <c r="D159" i="3" s="1"/>
  <c r="G158" i="3"/>
  <c r="D158" i="3"/>
  <c r="G157" i="3"/>
  <c r="D157" i="3" s="1"/>
  <c r="G156" i="3"/>
  <c r="D156" i="3"/>
  <c r="G155" i="3"/>
  <c r="D155" i="3" s="1"/>
  <c r="G154" i="3"/>
  <c r="D154" i="3" s="1"/>
  <c r="G153" i="3"/>
  <c r="D153" i="3" s="1"/>
  <c r="G152" i="3"/>
  <c r="D152" i="3" s="1"/>
  <c r="G151" i="3"/>
  <c r="D151" i="3" s="1"/>
  <c r="G150" i="3"/>
  <c r="D150" i="3" s="1"/>
  <c r="G149" i="3"/>
  <c r="D149" i="3" s="1"/>
  <c r="G148" i="3"/>
  <c r="D148" i="3" s="1"/>
  <c r="G147" i="3"/>
  <c r="D147" i="3" s="1"/>
  <c r="G146" i="3"/>
  <c r="D146" i="3" s="1"/>
  <c r="G145" i="3"/>
  <c r="D145" i="3" s="1"/>
  <c r="G144" i="3"/>
  <c r="D144" i="3" s="1"/>
  <c r="G143" i="3"/>
  <c r="D143" i="3" s="1"/>
  <c r="G142" i="3"/>
  <c r="D142" i="3" s="1"/>
  <c r="G141" i="3"/>
  <c r="D141" i="3" s="1"/>
  <c r="G140" i="3"/>
  <c r="D140" i="3" s="1"/>
  <c r="G139" i="3"/>
  <c r="D139" i="3" s="1"/>
  <c r="G138" i="3"/>
  <c r="D138" i="3" s="1"/>
  <c r="G137" i="3"/>
  <c r="D137" i="3"/>
  <c r="G136" i="3"/>
  <c r="D136" i="3" s="1"/>
  <c r="G135" i="3"/>
  <c r="D135" i="3" s="1"/>
  <c r="G134" i="3"/>
  <c r="D134" i="3" s="1"/>
  <c r="G133" i="3"/>
  <c r="D133" i="3" s="1"/>
  <c r="G132" i="3"/>
  <c r="D132" i="3" s="1"/>
  <c r="G131" i="3"/>
  <c r="D131" i="3" s="1"/>
  <c r="G130" i="3"/>
  <c r="D130" i="3" s="1"/>
  <c r="G129" i="3"/>
  <c r="D129" i="3" s="1"/>
  <c r="G128" i="3"/>
  <c r="D128" i="3" s="1"/>
  <c r="G127" i="3"/>
  <c r="D127" i="3"/>
  <c r="G126" i="3"/>
  <c r="D126" i="3" s="1"/>
  <c r="G125" i="3"/>
  <c r="D125" i="3" s="1"/>
  <c r="G124" i="3"/>
  <c r="D124" i="3" s="1"/>
  <c r="G123" i="3"/>
  <c r="D123" i="3" s="1"/>
  <c r="G122" i="3"/>
  <c r="D122" i="3" s="1"/>
  <c r="G121" i="3"/>
  <c r="D121" i="3" s="1"/>
  <c r="G120" i="3"/>
  <c r="D120" i="3" s="1"/>
  <c r="G119" i="3"/>
  <c r="D119" i="3" s="1"/>
  <c r="G118" i="3"/>
  <c r="D118" i="3" s="1"/>
  <c r="G117" i="3"/>
  <c r="D117" i="3" s="1"/>
  <c r="G116" i="3"/>
  <c r="D116" i="3" s="1"/>
  <c r="G115" i="3"/>
  <c r="D115" i="3" s="1"/>
  <c r="G114" i="3"/>
  <c r="D114" i="3" s="1"/>
  <c r="G113" i="3"/>
  <c r="D113" i="3" s="1"/>
  <c r="G112" i="3"/>
  <c r="D112" i="3" s="1"/>
  <c r="G111" i="3"/>
  <c r="D111" i="3" s="1"/>
  <c r="G110" i="3"/>
  <c r="D110" i="3" s="1"/>
  <c r="G109" i="3"/>
  <c r="D109" i="3" s="1"/>
  <c r="G108" i="3"/>
  <c r="D108" i="3" s="1"/>
  <c r="G107" i="3"/>
  <c r="D107" i="3" s="1"/>
  <c r="G106" i="3"/>
  <c r="D106" i="3" s="1"/>
  <c r="G105" i="3"/>
  <c r="D105" i="3" s="1"/>
  <c r="G104" i="3"/>
  <c r="D104" i="3" s="1"/>
  <c r="G103" i="3"/>
  <c r="D103" i="3" s="1"/>
  <c r="G102" i="3"/>
  <c r="D102" i="3" s="1"/>
  <c r="G101" i="3"/>
  <c r="D101" i="3" s="1"/>
  <c r="G100" i="3"/>
  <c r="D100" i="3" s="1"/>
  <c r="G99" i="3"/>
  <c r="D99" i="3" s="1"/>
  <c r="G98" i="3"/>
  <c r="D98" i="3" s="1"/>
  <c r="G97" i="3"/>
  <c r="D97" i="3" s="1"/>
  <c r="G96" i="3"/>
  <c r="D96" i="3" s="1"/>
  <c r="G95" i="3"/>
  <c r="D95" i="3" s="1"/>
  <c r="G94" i="3"/>
  <c r="D94" i="3" s="1"/>
  <c r="G93" i="3"/>
  <c r="D93" i="3" s="1"/>
  <c r="G92" i="3"/>
  <c r="D92" i="3" s="1"/>
  <c r="G91" i="3"/>
  <c r="D91" i="3" s="1"/>
  <c r="G90" i="3"/>
  <c r="D90" i="3" s="1"/>
  <c r="G89" i="3"/>
  <c r="D89" i="3" s="1"/>
  <c r="G88" i="3"/>
  <c r="D88" i="3" s="1"/>
  <c r="G87" i="3"/>
  <c r="D87" i="3" s="1"/>
  <c r="G86" i="3"/>
  <c r="D86" i="3" s="1"/>
  <c r="G85" i="3"/>
  <c r="D85" i="3" s="1"/>
  <c r="G84" i="3"/>
  <c r="D84" i="3" s="1"/>
  <c r="G83" i="3"/>
  <c r="D83" i="3" s="1"/>
  <c r="G82" i="3"/>
  <c r="D82" i="3" s="1"/>
  <c r="G81" i="3"/>
  <c r="D81" i="3" s="1"/>
  <c r="G80" i="3"/>
  <c r="D80" i="3" s="1"/>
  <c r="G79" i="3"/>
  <c r="D79" i="3" s="1"/>
  <c r="G78" i="3"/>
  <c r="D78" i="3" s="1"/>
  <c r="G77" i="3"/>
  <c r="D77" i="3" s="1"/>
  <c r="G76" i="3"/>
  <c r="D76" i="3" s="1"/>
  <c r="G75" i="3"/>
  <c r="D75" i="3" s="1"/>
  <c r="G74" i="3"/>
  <c r="D74" i="3" s="1"/>
  <c r="G73" i="3"/>
  <c r="D73" i="3" s="1"/>
  <c r="G72" i="3"/>
  <c r="D72" i="3" s="1"/>
  <c r="G71" i="3"/>
  <c r="D71" i="3" s="1"/>
  <c r="G70" i="3"/>
  <c r="D70" i="3" s="1"/>
  <c r="G69" i="3"/>
  <c r="D69" i="3"/>
  <c r="G68" i="3"/>
  <c r="D68" i="3" s="1"/>
  <c r="G67" i="3"/>
  <c r="D67" i="3" s="1"/>
  <c r="G66" i="3"/>
  <c r="D66" i="3" s="1"/>
  <c r="G65" i="3"/>
  <c r="D65" i="3" s="1"/>
  <c r="G64" i="3"/>
  <c r="D64" i="3" s="1"/>
  <c r="G63" i="3"/>
  <c r="D63" i="3" s="1"/>
  <c r="G62" i="3"/>
  <c r="D62" i="3" s="1"/>
  <c r="G61" i="3"/>
  <c r="D61" i="3" s="1"/>
  <c r="G60" i="3"/>
  <c r="D60" i="3" s="1"/>
  <c r="G59" i="3"/>
  <c r="D59" i="3" s="1"/>
  <c r="G58" i="3"/>
  <c r="D58" i="3" s="1"/>
  <c r="G57" i="3"/>
  <c r="D57" i="3" s="1"/>
  <c r="G56" i="3"/>
  <c r="D56" i="3" s="1"/>
  <c r="G55" i="3"/>
  <c r="D55" i="3" s="1"/>
  <c r="G54" i="3"/>
  <c r="D54" i="3" s="1"/>
  <c r="G53" i="3"/>
  <c r="D53" i="3"/>
  <c r="G52" i="3"/>
  <c r="D52" i="3"/>
  <c r="G51" i="3"/>
  <c r="D51" i="3" s="1"/>
  <c r="G50" i="3"/>
  <c r="D50" i="3" s="1"/>
  <c r="G49" i="3"/>
  <c r="D49" i="3" s="1"/>
  <c r="G48" i="3"/>
  <c r="D48" i="3" s="1"/>
  <c r="G47" i="3"/>
  <c r="D47" i="3" s="1"/>
  <c r="G46" i="3"/>
  <c r="D46" i="3" s="1"/>
  <c r="G45" i="3"/>
  <c r="D45" i="3" s="1"/>
  <c r="G44" i="3"/>
  <c r="D44" i="3" s="1"/>
  <c r="G43" i="3"/>
  <c r="D43" i="3"/>
  <c r="G42" i="3"/>
  <c r="D42" i="3" s="1"/>
  <c r="G41" i="3"/>
  <c r="D41" i="3" s="1"/>
  <c r="G40" i="3"/>
  <c r="D40" i="3" s="1"/>
  <c r="G39" i="3"/>
  <c r="D39" i="3" s="1"/>
  <c r="G38" i="3"/>
  <c r="D38" i="3" s="1"/>
  <c r="G37" i="3"/>
  <c r="D37" i="3" s="1"/>
  <c r="G36" i="3"/>
  <c r="D36" i="3" s="1"/>
  <c r="G35" i="3"/>
  <c r="D35" i="3" s="1"/>
  <c r="G34" i="3"/>
  <c r="D34" i="3" s="1"/>
  <c r="G33" i="3"/>
  <c r="D33" i="3" s="1"/>
  <c r="G32" i="3"/>
  <c r="D32" i="3" s="1"/>
  <c r="G31" i="3"/>
  <c r="D31" i="3" s="1"/>
  <c r="G30" i="3"/>
  <c r="D30" i="3" s="1"/>
  <c r="G29" i="3"/>
  <c r="D29" i="3" s="1"/>
  <c r="G28" i="3"/>
  <c r="D28" i="3"/>
  <c r="G27" i="3"/>
  <c r="D27" i="3" s="1"/>
  <c r="G26" i="3"/>
  <c r="D26" i="3" s="1"/>
  <c r="G25" i="3"/>
  <c r="D25" i="3" s="1"/>
  <c r="G24" i="3"/>
  <c r="D24" i="3" s="1"/>
  <c r="G23" i="3"/>
  <c r="D23" i="3" s="1"/>
  <c r="G22" i="3"/>
  <c r="D22" i="3" s="1"/>
  <c r="G21" i="3"/>
  <c r="D21" i="3" s="1"/>
  <c r="G20" i="3"/>
  <c r="D20" i="3" s="1"/>
  <c r="G19" i="3"/>
  <c r="D19" i="3"/>
  <c r="G18" i="3"/>
  <c r="D18" i="3" s="1"/>
  <c r="G17" i="3"/>
  <c r="D17" i="3" s="1"/>
  <c r="G16" i="3"/>
  <c r="D16" i="3" s="1"/>
  <c r="G15" i="3"/>
  <c r="D15" i="3" s="1"/>
  <c r="G14" i="3"/>
  <c r="D14" i="3" s="1"/>
  <c r="G13" i="3"/>
  <c r="D13" i="3" s="1"/>
  <c r="G12" i="3"/>
  <c r="D12" i="3" s="1"/>
  <c r="G11" i="3"/>
  <c r="D11" i="3"/>
  <c r="G10" i="3"/>
  <c r="D10" i="3" s="1"/>
  <c r="G9" i="3"/>
  <c r="D9" i="3" s="1"/>
  <c r="G8" i="3"/>
  <c r="D8" i="3" s="1"/>
  <c r="G7" i="3"/>
  <c r="D7" i="3" s="1"/>
  <c r="G6" i="3"/>
  <c r="D6" i="3" s="1"/>
  <c r="G5" i="3"/>
  <c r="D5" i="3"/>
  <c r="G4" i="3"/>
  <c r="D4" i="3" s="1"/>
  <c r="G3" i="3"/>
  <c r="D3" i="3" s="1"/>
  <c r="G2" i="3"/>
  <c r="D2" i="3" s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I421" i="1"/>
  <c r="H421" i="1"/>
  <c r="M420" i="1"/>
  <c r="G420" i="1" s="1"/>
  <c r="M419" i="1"/>
  <c r="G419" i="1" s="1"/>
  <c r="M418" i="1"/>
  <c r="G418" i="1" s="1"/>
  <c r="M417" i="1"/>
  <c r="G417" i="1" s="1"/>
  <c r="M416" i="1"/>
  <c r="G416" i="1" s="1"/>
  <c r="M415" i="1"/>
  <c r="G415" i="1" s="1"/>
  <c r="M414" i="1"/>
  <c r="G414" i="1" s="1"/>
  <c r="M413" i="1"/>
  <c r="G413" i="1" s="1"/>
  <c r="M412" i="1"/>
  <c r="G412" i="1" s="1"/>
  <c r="M411" i="1"/>
  <c r="G411" i="1" s="1"/>
  <c r="M410" i="1"/>
  <c r="G410" i="1" s="1"/>
  <c r="M409" i="1"/>
  <c r="G409" i="1" s="1"/>
  <c r="M408" i="1"/>
  <c r="G408" i="1" s="1"/>
  <c r="M407" i="1"/>
  <c r="G407" i="1" s="1"/>
  <c r="M406" i="1"/>
  <c r="G406" i="1" s="1"/>
  <c r="M405" i="1"/>
  <c r="G405" i="1" s="1"/>
  <c r="M404" i="1"/>
  <c r="G404" i="1" s="1"/>
  <c r="M403" i="1"/>
  <c r="G403" i="1" s="1"/>
  <c r="M402" i="1"/>
  <c r="G402" i="1" s="1"/>
  <c r="M401" i="1"/>
  <c r="G401" i="1" s="1"/>
  <c r="M400" i="1"/>
  <c r="G400" i="1" s="1"/>
  <c r="M399" i="1"/>
  <c r="G399" i="1" s="1"/>
  <c r="M398" i="1"/>
  <c r="G398" i="1" s="1"/>
  <c r="M397" i="1"/>
  <c r="G397" i="1" s="1"/>
  <c r="M396" i="1"/>
  <c r="G396" i="1" s="1"/>
  <c r="M395" i="1"/>
  <c r="G395" i="1" s="1"/>
  <c r="M394" i="1"/>
  <c r="G394" i="1" s="1"/>
  <c r="M393" i="1"/>
  <c r="G393" i="1" s="1"/>
  <c r="M392" i="1"/>
  <c r="G392" i="1" s="1"/>
  <c r="M391" i="1"/>
  <c r="G391" i="1" s="1"/>
  <c r="M390" i="1"/>
  <c r="G390" i="1" s="1"/>
  <c r="M389" i="1"/>
  <c r="G389" i="1" s="1"/>
  <c r="M388" i="1"/>
  <c r="G388" i="1" s="1"/>
  <c r="M387" i="1"/>
  <c r="G387" i="1" s="1"/>
  <c r="M386" i="1"/>
  <c r="G386" i="1" s="1"/>
  <c r="M385" i="1"/>
  <c r="G385" i="1" s="1"/>
  <c r="M384" i="1"/>
  <c r="G384" i="1" s="1"/>
  <c r="M383" i="1"/>
  <c r="G383" i="1" s="1"/>
  <c r="M382" i="1"/>
  <c r="G382" i="1" s="1"/>
  <c r="M381" i="1"/>
  <c r="G381" i="1" s="1"/>
  <c r="M380" i="1"/>
  <c r="G380" i="1" s="1"/>
  <c r="M379" i="1"/>
  <c r="G379" i="1" s="1"/>
  <c r="M378" i="1"/>
  <c r="G378" i="1" s="1"/>
  <c r="M377" i="1"/>
  <c r="G377" i="1" s="1"/>
  <c r="M376" i="1"/>
  <c r="G376" i="1" s="1"/>
  <c r="M375" i="1"/>
  <c r="G375" i="1" s="1"/>
  <c r="M374" i="1"/>
  <c r="G374" i="1" s="1"/>
  <c r="M373" i="1"/>
  <c r="G373" i="1" s="1"/>
  <c r="M372" i="1"/>
  <c r="G372" i="1" s="1"/>
  <c r="M371" i="1"/>
  <c r="G371" i="1" s="1"/>
  <c r="M370" i="1"/>
  <c r="G370" i="1" s="1"/>
  <c r="M369" i="1"/>
  <c r="G369" i="1" s="1"/>
  <c r="M368" i="1"/>
  <c r="G368" i="1" s="1"/>
  <c r="M367" i="1"/>
  <c r="G367" i="1" s="1"/>
  <c r="M366" i="1"/>
  <c r="G366" i="1" s="1"/>
  <c r="M365" i="1"/>
  <c r="G365" i="1" s="1"/>
  <c r="M364" i="1"/>
  <c r="G364" i="1" s="1"/>
  <c r="M363" i="1"/>
  <c r="G363" i="1" s="1"/>
  <c r="M362" i="1"/>
  <c r="G362" i="1" s="1"/>
  <c r="M361" i="1"/>
  <c r="G361" i="1" s="1"/>
  <c r="M360" i="1"/>
  <c r="G360" i="1" s="1"/>
  <c r="M359" i="1"/>
  <c r="G359" i="1" s="1"/>
  <c r="M358" i="1"/>
  <c r="G358" i="1" s="1"/>
  <c r="M357" i="1"/>
  <c r="G357" i="1" s="1"/>
  <c r="M356" i="1"/>
  <c r="G356" i="1" s="1"/>
  <c r="M355" i="1"/>
  <c r="G355" i="1" s="1"/>
  <c r="M354" i="1"/>
  <c r="G354" i="1" s="1"/>
  <c r="M353" i="1"/>
  <c r="G353" i="1" s="1"/>
  <c r="M352" i="1"/>
  <c r="G352" i="1" s="1"/>
  <c r="M351" i="1"/>
  <c r="G351" i="1" s="1"/>
  <c r="M350" i="1"/>
  <c r="G350" i="1" s="1"/>
  <c r="M349" i="1"/>
  <c r="G349" i="1" s="1"/>
  <c r="M348" i="1"/>
  <c r="G348" i="1" s="1"/>
  <c r="M347" i="1"/>
  <c r="G347" i="1" s="1"/>
  <c r="M346" i="1"/>
  <c r="G346" i="1" s="1"/>
  <c r="M345" i="1"/>
  <c r="G345" i="1" s="1"/>
  <c r="M344" i="1"/>
  <c r="G344" i="1" s="1"/>
  <c r="M343" i="1"/>
  <c r="G343" i="1" s="1"/>
  <c r="M342" i="1"/>
  <c r="G342" i="1" s="1"/>
  <c r="M341" i="1"/>
  <c r="G341" i="1" s="1"/>
  <c r="M340" i="1"/>
  <c r="G340" i="1" s="1"/>
  <c r="M339" i="1"/>
  <c r="G339" i="1" s="1"/>
  <c r="M338" i="1"/>
  <c r="G338" i="1" s="1"/>
  <c r="M337" i="1"/>
  <c r="G337" i="1" s="1"/>
  <c r="M336" i="1"/>
  <c r="G336" i="1" s="1"/>
  <c r="M335" i="1"/>
  <c r="G335" i="1" s="1"/>
  <c r="M334" i="1"/>
  <c r="G334" i="1" s="1"/>
  <c r="M333" i="1"/>
  <c r="G333" i="1" s="1"/>
  <c r="M332" i="1"/>
  <c r="G332" i="1" s="1"/>
  <c r="M331" i="1"/>
  <c r="G331" i="1" s="1"/>
  <c r="M330" i="1"/>
  <c r="G330" i="1" s="1"/>
  <c r="M329" i="1"/>
  <c r="G329" i="1" s="1"/>
  <c r="M328" i="1"/>
  <c r="G328" i="1" s="1"/>
  <c r="M327" i="1"/>
  <c r="G327" i="1" s="1"/>
  <c r="M326" i="1"/>
  <c r="G326" i="1" s="1"/>
  <c r="M325" i="1"/>
  <c r="G325" i="1" s="1"/>
  <c r="M324" i="1"/>
  <c r="G324" i="1" s="1"/>
  <c r="M323" i="1"/>
  <c r="G323" i="1" s="1"/>
  <c r="M322" i="1"/>
  <c r="G322" i="1" s="1"/>
  <c r="M321" i="1"/>
  <c r="G321" i="1" s="1"/>
  <c r="M320" i="1"/>
  <c r="G320" i="1" s="1"/>
  <c r="M319" i="1"/>
  <c r="G319" i="1" s="1"/>
  <c r="M318" i="1"/>
  <c r="G318" i="1" s="1"/>
  <c r="M317" i="1"/>
  <c r="G317" i="1" s="1"/>
  <c r="M316" i="1"/>
  <c r="G316" i="1" s="1"/>
  <c r="M315" i="1"/>
  <c r="G315" i="1" s="1"/>
  <c r="M314" i="1"/>
  <c r="G314" i="1" s="1"/>
  <c r="M313" i="1"/>
  <c r="G313" i="1" s="1"/>
  <c r="M312" i="1"/>
  <c r="G312" i="1" s="1"/>
  <c r="M311" i="1"/>
  <c r="G311" i="1" s="1"/>
  <c r="M310" i="1"/>
  <c r="G310" i="1" s="1"/>
  <c r="M309" i="1"/>
  <c r="G309" i="1" s="1"/>
  <c r="M308" i="1"/>
  <c r="G308" i="1" s="1"/>
  <c r="M307" i="1"/>
  <c r="G307" i="1" s="1"/>
  <c r="M306" i="1"/>
  <c r="G306" i="1" s="1"/>
  <c r="M305" i="1"/>
  <c r="G305" i="1" s="1"/>
  <c r="M304" i="1"/>
  <c r="G304" i="1" s="1"/>
  <c r="M303" i="1"/>
  <c r="G303" i="1" s="1"/>
  <c r="M302" i="1"/>
  <c r="G302" i="1" s="1"/>
  <c r="M301" i="1"/>
  <c r="G301" i="1" s="1"/>
  <c r="M300" i="1"/>
  <c r="G300" i="1" s="1"/>
  <c r="M299" i="1"/>
  <c r="G299" i="1" s="1"/>
  <c r="M298" i="1"/>
  <c r="G298" i="1" s="1"/>
  <c r="M297" i="1"/>
  <c r="G297" i="1" s="1"/>
  <c r="M296" i="1"/>
  <c r="G296" i="1" s="1"/>
  <c r="M295" i="1"/>
  <c r="G295" i="1" s="1"/>
  <c r="M294" i="1"/>
  <c r="G294" i="1" s="1"/>
  <c r="M293" i="1"/>
  <c r="G293" i="1" s="1"/>
  <c r="M292" i="1"/>
  <c r="G292" i="1" s="1"/>
  <c r="M291" i="1"/>
  <c r="G291" i="1" s="1"/>
  <c r="M290" i="1"/>
  <c r="G290" i="1" s="1"/>
  <c r="M289" i="1"/>
  <c r="G289" i="1" s="1"/>
  <c r="M288" i="1"/>
  <c r="G288" i="1" s="1"/>
  <c r="M287" i="1"/>
  <c r="G287" i="1" s="1"/>
  <c r="M286" i="1"/>
  <c r="G286" i="1" s="1"/>
  <c r="M285" i="1"/>
  <c r="G285" i="1" s="1"/>
  <c r="M284" i="1"/>
  <c r="G284" i="1" s="1"/>
  <c r="M283" i="1"/>
  <c r="G283" i="1" s="1"/>
  <c r="M282" i="1"/>
  <c r="G282" i="1" s="1"/>
  <c r="M281" i="1"/>
  <c r="G281" i="1" s="1"/>
  <c r="M280" i="1"/>
  <c r="G280" i="1" s="1"/>
  <c r="M279" i="1"/>
  <c r="G279" i="1" s="1"/>
  <c r="M278" i="1"/>
  <c r="G278" i="1" s="1"/>
  <c r="M277" i="1"/>
  <c r="G277" i="1" s="1"/>
  <c r="M276" i="1"/>
  <c r="G276" i="1" s="1"/>
  <c r="M275" i="1"/>
  <c r="G275" i="1" s="1"/>
  <c r="M274" i="1"/>
  <c r="G274" i="1" s="1"/>
  <c r="M273" i="1"/>
  <c r="G273" i="1" s="1"/>
  <c r="M272" i="1"/>
  <c r="G272" i="1" s="1"/>
  <c r="M271" i="1"/>
  <c r="G271" i="1" s="1"/>
  <c r="M270" i="1"/>
  <c r="G270" i="1" s="1"/>
  <c r="M269" i="1"/>
  <c r="G269" i="1" s="1"/>
  <c r="M268" i="1"/>
  <c r="G268" i="1" s="1"/>
  <c r="M267" i="1"/>
  <c r="G267" i="1" s="1"/>
  <c r="M266" i="1"/>
  <c r="G266" i="1" s="1"/>
  <c r="M265" i="1"/>
  <c r="G265" i="1" s="1"/>
  <c r="M264" i="1"/>
  <c r="G264" i="1" s="1"/>
  <c r="M263" i="1"/>
  <c r="G263" i="1" s="1"/>
  <c r="M262" i="1"/>
  <c r="G262" i="1" s="1"/>
  <c r="M261" i="1"/>
  <c r="G261" i="1" s="1"/>
  <c r="M260" i="1"/>
  <c r="G260" i="1" s="1"/>
  <c r="M259" i="1"/>
  <c r="G259" i="1" s="1"/>
  <c r="M258" i="1"/>
  <c r="G258" i="1" s="1"/>
  <c r="M257" i="1"/>
  <c r="G257" i="1" s="1"/>
  <c r="M256" i="1"/>
  <c r="G256" i="1" s="1"/>
  <c r="M255" i="1"/>
  <c r="G255" i="1" s="1"/>
  <c r="M254" i="1"/>
  <c r="G254" i="1" s="1"/>
  <c r="M253" i="1"/>
  <c r="G253" i="1" s="1"/>
  <c r="M252" i="1"/>
  <c r="G252" i="1" s="1"/>
  <c r="M251" i="1"/>
  <c r="G251" i="1" s="1"/>
  <c r="M250" i="1"/>
  <c r="G250" i="1" s="1"/>
  <c r="M249" i="1"/>
  <c r="G249" i="1" s="1"/>
  <c r="M248" i="1"/>
  <c r="G248" i="1" s="1"/>
  <c r="M247" i="1"/>
  <c r="G247" i="1" s="1"/>
  <c r="M246" i="1"/>
  <c r="G246" i="1" s="1"/>
  <c r="M245" i="1"/>
  <c r="G245" i="1" s="1"/>
  <c r="M244" i="1"/>
  <c r="G244" i="1" s="1"/>
  <c r="M243" i="1"/>
  <c r="G243" i="1" s="1"/>
  <c r="M242" i="1"/>
  <c r="G242" i="1" s="1"/>
  <c r="M241" i="1"/>
  <c r="G241" i="1" s="1"/>
  <c r="M240" i="1"/>
  <c r="G240" i="1" s="1"/>
  <c r="M239" i="1"/>
  <c r="G239" i="1" s="1"/>
  <c r="M238" i="1"/>
  <c r="G238" i="1" s="1"/>
  <c r="M237" i="1"/>
  <c r="G237" i="1" s="1"/>
  <c r="M236" i="1"/>
  <c r="G236" i="1" s="1"/>
  <c r="M235" i="1"/>
  <c r="G235" i="1" s="1"/>
  <c r="M234" i="1"/>
  <c r="G234" i="1" s="1"/>
  <c r="M233" i="1"/>
  <c r="G233" i="1" s="1"/>
  <c r="M232" i="1"/>
  <c r="G232" i="1" s="1"/>
  <c r="M231" i="1"/>
  <c r="G231" i="1" s="1"/>
  <c r="M230" i="1"/>
  <c r="G230" i="1" s="1"/>
  <c r="M229" i="1"/>
  <c r="G229" i="1" s="1"/>
  <c r="M228" i="1"/>
  <c r="G228" i="1" s="1"/>
  <c r="M227" i="1"/>
  <c r="G227" i="1" s="1"/>
  <c r="M226" i="1"/>
  <c r="G226" i="1" s="1"/>
  <c r="M225" i="1"/>
  <c r="G225" i="1" s="1"/>
  <c r="M224" i="1"/>
  <c r="G224" i="1" s="1"/>
  <c r="M223" i="1"/>
  <c r="G223" i="1" s="1"/>
  <c r="M222" i="1"/>
  <c r="G222" i="1" s="1"/>
  <c r="M221" i="1"/>
  <c r="G221" i="1" s="1"/>
  <c r="M220" i="1"/>
  <c r="G220" i="1" s="1"/>
  <c r="M219" i="1"/>
  <c r="G219" i="1" s="1"/>
  <c r="M218" i="1"/>
  <c r="G218" i="1" s="1"/>
  <c r="M217" i="1"/>
  <c r="G217" i="1" s="1"/>
  <c r="M216" i="1"/>
  <c r="G216" i="1" s="1"/>
  <c r="M215" i="1"/>
  <c r="G215" i="1" s="1"/>
  <c r="M214" i="1"/>
  <c r="G214" i="1" s="1"/>
  <c r="M213" i="1"/>
  <c r="G213" i="1" s="1"/>
  <c r="M212" i="1"/>
  <c r="G212" i="1" s="1"/>
  <c r="M211" i="1"/>
  <c r="G211" i="1" s="1"/>
  <c r="M210" i="1"/>
  <c r="G210" i="1" s="1"/>
  <c r="M209" i="1"/>
  <c r="G209" i="1" s="1"/>
  <c r="M208" i="1"/>
  <c r="G208" i="1" s="1"/>
  <c r="M207" i="1"/>
  <c r="G207" i="1" s="1"/>
  <c r="M206" i="1"/>
  <c r="G206" i="1" s="1"/>
  <c r="M205" i="1"/>
  <c r="G205" i="1" s="1"/>
  <c r="M204" i="1"/>
  <c r="G204" i="1" s="1"/>
  <c r="M203" i="1"/>
  <c r="G203" i="1" s="1"/>
  <c r="M202" i="1"/>
  <c r="G202" i="1" s="1"/>
  <c r="M201" i="1"/>
  <c r="G201" i="1" s="1"/>
  <c r="M200" i="1"/>
  <c r="G200" i="1" s="1"/>
  <c r="M199" i="1"/>
  <c r="G199" i="1" s="1"/>
  <c r="M198" i="1"/>
  <c r="G198" i="1" s="1"/>
  <c r="M197" i="1"/>
  <c r="G197" i="1" s="1"/>
  <c r="M196" i="1"/>
  <c r="G196" i="1" s="1"/>
  <c r="M195" i="1"/>
  <c r="G195" i="1" s="1"/>
  <c r="M194" i="1"/>
  <c r="G194" i="1" s="1"/>
  <c r="M193" i="1"/>
  <c r="G193" i="1" s="1"/>
  <c r="M192" i="1"/>
  <c r="G192" i="1" s="1"/>
  <c r="M191" i="1"/>
  <c r="G191" i="1" s="1"/>
  <c r="M190" i="1"/>
  <c r="G190" i="1" s="1"/>
  <c r="M189" i="1"/>
  <c r="G189" i="1" s="1"/>
  <c r="M188" i="1"/>
  <c r="G188" i="1" s="1"/>
  <c r="M187" i="1"/>
  <c r="G187" i="1" s="1"/>
  <c r="M186" i="1"/>
  <c r="G186" i="1" s="1"/>
  <c r="M185" i="1"/>
  <c r="G185" i="1" s="1"/>
  <c r="M184" i="1"/>
  <c r="G184" i="1" s="1"/>
  <c r="M183" i="1"/>
  <c r="G183" i="1" s="1"/>
  <c r="M182" i="1"/>
  <c r="G182" i="1" s="1"/>
  <c r="M181" i="1"/>
  <c r="G181" i="1" s="1"/>
  <c r="M180" i="1"/>
  <c r="G180" i="1" s="1"/>
  <c r="M179" i="1"/>
  <c r="G179" i="1" s="1"/>
  <c r="M178" i="1"/>
  <c r="G178" i="1" s="1"/>
  <c r="M177" i="1"/>
  <c r="G177" i="1" s="1"/>
  <c r="M176" i="1"/>
  <c r="G176" i="1" s="1"/>
  <c r="M175" i="1"/>
  <c r="G175" i="1" s="1"/>
  <c r="M174" i="1"/>
  <c r="G174" i="1" s="1"/>
  <c r="M173" i="1"/>
  <c r="G173" i="1" s="1"/>
  <c r="M172" i="1"/>
  <c r="G172" i="1" s="1"/>
  <c r="M171" i="1"/>
  <c r="G171" i="1" s="1"/>
  <c r="M170" i="1"/>
  <c r="G170" i="1" s="1"/>
  <c r="M169" i="1"/>
  <c r="G169" i="1" s="1"/>
  <c r="M168" i="1"/>
  <c r="G168" i="1" s="1"/>
  <c r="M167" i="1"/>
  <c r="G167" i="1" s="1"/>
  <c r="M166" i="1"/>
  <c r="G166" i="1" s="1"/>
  <c r="M165" i="1"/>
  <c r="G165" i="1" s="1"/>
  <c r="M164" i="1"/>
  <c r="G164" i="1" s="1"/>
  <c r="M163" i="1"/>
  <c r="G163" i="1" s="1"/>
  <c r="M162" i="1"/>
  <c r="G162" i="1" s="1"/>
  <c r="M161" i="1"/>
  <c r="G161" i="1" s="1"/>
  <c r="M160" i="1"/>
  <c r="G160" i="1" s="1"/>
  <c r="M159" i="1"/>
  <c r="G159" i="1" s="1"/>
  <c r="M158" i="1"/>
  <c r="G158" i="1" s="1"/>
  <c r="M157" i="1"/>
  <c r="G157" i="1" s="1"/>
  <c r="M156" i="1"/>
  <c r="G156" i="1" s="1"/>
  <c r="M155" i="1"/>
  <c r="G155" i="1" s="1"/>
  <c r="M154" i="1"/>
  <c r="G154" i="1" s="1"/>
  <c r="M153" i="1"/>
  <c r="G153" i="1" s="1"/>
  <c r="M152" i="1"/>
  <c r="G152" i="1" s="1"/>
  <c r="M151" i="1"/>
  <c r="G151" i="1" s="1"/>
  <c r="M150" i="1"/>
  <c r="G150" i="1" s="1"/>
  <c r="M149" i="1"/>
  <c r="G149" i="1" s="1"/>
  <c r="M148" i="1"/>
  <c r="G148" i="1" s="1"/>
  <c r="M147" i="1"/>
  <c r="G147" i="1" s="1"/>
  <c r="M146" i="1"/>
  <c r="G146" i="1" s="1"/>
  <c r="M145" i="1"/>
  <c r="G145" i="1" s="1"/>
  <c r="M144" i="1"/>
  <c r="G144" i="1" s="1"/>
  <c r="M143" i="1"/>
  <c r="G143" i="1" s="1"/>
  <c r="M142" i="1"/>
  <c r="G142" i="1" s="1"/>
  <c r="M141" i="1"/>
  <c r="G141" i="1" s="1"/>
  <c r="M140" i="1"/>
  <c r="G140" i="1" s="1"/>
  <c r="M139" i="1"/>
  <c r="G139" i="1" s="1"/>
  <c r="M138" i="1"/>
  <c r="G138" i="1" s="1"/>
  <c r="M137" i="1"/>
  <c r="G137" i="1" s="1"/>
  <c r="M136" i="1"/>
  <c r="G136" i="1" s="1"/>
  <c r="M135" i="1"/>
  <c r="G135" i="1" s="1"/>
  <c r="M134" i="1"/>
  <c r="G134" i="1" s="1"/>
  <c r="M133" i="1"/>
  <c r="G133" i="1" s="1"/>
  <c r="M132" i="1"/>
  <c r="G132" i="1" s="1"/>
  <c r="M131" i="1"/>
  <c r="G131" i="1" s="1"/>
  <c r="M130" i="1"/>
  <c r="G130" i="1" s="1"/>
  <c r="M129" i="1"/>
  <c r="G129" i="1" s="1"/>
  <c r="M128" i="1"/>
  <c r="G128" i="1" s="1"/>
  <c r="M127" i="1"/>
  <c r="G127" i="1" s="1"/>
  <c r="M126" i="1"/>
  <c r="G126" i="1" s="1"/>
  <c r="M125" i="1"/>
  <c r="G125" i="1" s="1"/>
  <c r="M124" i="1"/>
  <c r="G124" i="1" s="1"/>
  <c r="M123" i="1"/>
  <c r="G123" i="1" s="1"/>
  <c r="M122" i="1"/>
  <c r="G122" i="1" s="1"/>
  <c r="M121" i="1"/>
  <c r="G121" i="1" s="1"/>
  <c r="M120" i="1"/>
  <c r="G120" i="1" s="1"/>
  <c r="M119" i="1"/>
  <c r="G119" i="1" s="1"/>
  <c r="M118" i="1"/>
  <c r="G118" i="1" s="1"/>
  <c r="M117" i="1"/>
  <c r="G117" i="1" s="1"/>
  <c r="M116" i="1"/>
  <c r="G116" i="1" s="1"/>
  <c r="M115" i="1"/>
  <c r="G115" i="1" s="1"/>
  <c r="M114" i="1"/>
  <c r="G114" i="1" s="1"/>
  <c r="M113" i="1"/>
  <c r="G113" i="1" s="1"/>
  <c r="M112" i="1"/>
  <c r="G112" i="1" s="1"/>
  <c r="M111" i="1"/>
  <c r="G111" i="1" s="1"/>
  <c r="M110" i="1"/>
  <c r="G110" i="1" s="1"/>
  <c r="M109" i="1"/>
  <c r="G109" i="1" s="1"/>
  <c r="M108" i="1"/>
  <c r="G108" i="1" s="1"/>
  <c r="M107" i="1"/>
  <c r="G107" i="1" s="1"/>
  <c r="M106" i="1"/>
  <c r="G106" i="1" s="1"/>
  <c r="M105" i="1"/>
  <c r="G105" i="1" s="1"/>
  <c r="M104" i="1"/>
  <c r="G104" i="1" s="1"/>
  <c r="M103" i="1"/>
  <c r="G103" i="1" s="1"/>
  <c r="M102" i="1"/>
  <c r="G102" i="1" s="1"/>
  <c r="M101" i="1"/>
  <c r="G101" i="1" s="1"/>
  <c r="M100" i="1"/>
  <c r="G100" i="1" s="1"/>
  <c r="M99" i="1"/>
  <c r="G99" i="1" s="1"/>
  <c r="M98" i="1"/>
  <c r="G98" i="1" s="1"/>
  <c r="M97" i="1"/>
  <c r="G97" i="1" s="1"/>
  <c r="M96" i="1"/>
  <c r="G96" i="1" s="1"/>
  <c r="M95" i="1"/>
  <c r="G95" i="1" s="1"/>
  <c r="M94" i="1"/>
  <c r="G94" i="1" s="1"/>
  <c r="M93" i="1"/>
  <c r="G93" i="1" s="1"/>
  <c r="M92" i="1"/>
  <c r="G92" i="1" s="1"/>
  <c r="M91" i="1"/>
  <c r="G91" i="1" s="1"/>
  <c r="M90" i="1"/>
  <c r="G90" i="1" s="1"/>
  <c r="M89" i="1"/>
  <c r="G89" i="1" s="1"/>
  <c r="M88" i="1"/>
  <c r="G88" i="1" s="1"/>
  <c r="M87" i="1"/>
  <c r="G87" i="1" s="1"/>
  <c r="M86" i="1"/>
  <c r="G86" i="1" s="1"/>
  <c r="M85" i="1"/>
  <c r="G85" i="1" s="1"/>
  <c r="M84" i="1"/>
  <c r="G84" i="1" s="1"/>
  <c r="M83" i="1"/>
  <c r="G83" i="1" s="1"/>
  <c r="M82" i="1"/>
  <c r="G82" i="1" s="1"/>
  <c r="M81" i="1"/>
  <c r="G81" i="1" s="1"/>
  <c r="M80" i="1"/>
  <c r="G80" i="1" s="1"/>
  <c r="M79" i="1"/>
  <c r="G79" i="1" s="1"/>
  <c r="M78" i="1"/>
  <c r="G78" i="1" s="1"/>
  <c r="M77" i="1"/>
  <c r="G77" i="1" s="1"/>
  <c r="M76" i="1"/>
  <c r="G76" i="1" s="1"/>
  <c r="M75" i="1"/>
  <c r="G75" i="1" s="1"/>
  <c r="M74" i="1"/>
  <c r="G74" i="1" s="1"/>
  <c r="M73" i="1"/>
  <c r="G73" i="1" s="1"/>
  <c r="M72" i="1"/>
  <c r="G72" i="1" s="1"/>
  <c r="M71" i="1"/>
  <c r="G71" i="1" s="1"/>
  <c r="M70" i="1"/>
  <c r="G70" i="1" s="1"/>
  <c r="M69" i="1"/>
  <c r="G69" i="1" s="1"/>
  <c r="M68" i="1"/>
  <c r="G68" i="1" s="1"/>
  <c r="M67" i="1"/>
  <c r="G67" i="1" s="1"/>
  <c r="M66" i="1"/>
  <c r="G66" i="1" s="1"/>
  <c r="M65" i="1"/>
  <c r="G65" i="1" s="1"/>
  <c r="M64" i="1"/>
  <c r="G64" i="1" s="1"/>
  <c r="M63" i="1"/>
  <c r="G63" i="1" s="1"/>
  <c r="M62" i="1"/>
  <c r="G62" i="1" s="1"/>
  <c r="M61" i="1"/>
  <c r="G61" i="1" s="1"/>
  <c r="M60" i="1"/>
  <c r="G60" i="1" s="1"/>
  <c r="M59" i="1"/>
  <c r="G59" i="1" s="1"/>
  <c r="M58" i="1"/>
  <c r="G58" i="1" s="1"/>
  <c r="M57" i="1"/>
  <c r="G57" i="1" s="1"/>
  <c r="M56" i="1"/>
  <c r="G56" i="1" s="1"/>
  <c r="M55" i="1"/>
  <c r="G55" i="1" s="1"/>
  <c r="M54" i="1"/>
  <c r="G54" i="1" s="1"/>
  <c r="M53" i="1"/>
  <c r="G53" i="1" s="1"/>
  <c r="M52" i="1"/>
  <c r="G52" i="1" s="1"/>
  <c r="M51" i="1"/>
  <c r="G51" i="1" s="1"/>
  <c r="M50" i="1"/>
  <c r="G50" i="1" s="1"/>
  <c r="M49" i="1"/>
  <c r="G49" i="1" s="1"/>
  <c r="M48" i="1"/>
  <c r="G48" i="1" s="1"/>
  <c r="M47" i="1"/>
  <c r="G47" i="1" s="1"/>
  <c r="M46" i="1"/>
  <c r="G46" i="1" s="1"/>
  <c r="M45" i="1"/>
  <c r="G45" i="1" s="1"/>
  <c r="M44" i="1"/>
  <c r="G44" i="1" s="1"/>
  <c r="M43" i="1"/>
  <c r="G43" i="1" s="1"/>
  <c r="M42" i="1"/>
  <c r="G42" i="1" s="1"/>
  <c r="M41" i="1"/>
  <c r="G41" i="1" s="1"/>
  <c r="M40" i="1"/>
  <c r="G40" i="1" s="1"/>
  <c r="M39" i="1"/>
  <c r="G39" i="1" s="1"/>
  <c r="M38" i="1"/>
  <c r="G38" i="1" s="1"/>
  <c r="M37" i="1"/>
  <c r="G37" i="1" s="1"/>
  <c r="M36" i="1"/>
  <c r="G36" i="1" s="1"/>
  <c r="M35" i="1"/>
  <c r="G35" i="1" s="1"/>
  <c r="M34" i="1"/>
  <c r="G34" i="1" s="1"/>
  <c r="M33" i="1"/>
  <c r="G33" i="1" s="1"/>
  <c r="M32" i="1"/>
  <c r="G32" i="1" s="1"/>
  <c r="M31" i="1"/>
  <c r="G31" i="1" s="1"/>
  <c r="M30" i="1"/>
  <c r="G30" i="1" s="1"/>
  <c r="M29" i="1"/>
  <c r="G29" i="1" s="1"/>
  <c r="M28" i="1"/>
  <c r="G28" i="1" s="1"/>
  <c r="M27" i="1"/>
  <c r="G27" i="1" s="1"/>
  <c r="M26" i="1"/>
  <c r="G26" i="1" s="1"/>
  <c r="M25" i="1"/>
  <c r="G25" i="1" s="1"/>
  <c r="M24" i="1"/>
  <c r="G24" i="1" s="1"/>
  <c r="M23" i="1"/>
  <c r="G23" i="1" s="1"/>
  <c r="M22" i="1"/>
  <c r="G22" i="1" s="1"/>
  <c r="M21" i="1"/>
  <c r="G21" i="1" s="1"/>
  <c r="M20" i="1"/>
  <c r="G20" i="1" s="1"/>
  <c r="M19" i="1"/>
  <c r="G19" i="1" s="1"/>
  <c r="M18" i="1"/>
  <c r="G18" i="1" s="1"/>
  <c r="M17" i="1"/>
  <c r="G17" i="1" s="1"/>
  <c r="M16" i="1"/>
  <c r="G16" i="1" s="1"/>
  <c r="M15" i="1"/>
  <c r="G15" i="1" s="1"/>
  <c r="M14" i="1"/>
  <c r="G14" i="1" s="1"/>
  <c r="M13" i="1"/>
  <c r="G13" i="1" s="1"/>
  <c r="M12" i="1"/>
  <c r="G12" i="1" s="1"/>
  <c r="M11" i="1"/>
  <c r="G11" i="1" s="1"/>
  <c r="M10" i="1"/>
  <c r="G10" i="1" s="1"/>
  <c r="M9" i="1"/>
  <c r="G9" i="1" s="1"/>
</calcChain>
</file>

<file path=xl/sharedStrings.xml><?xml version="1.0" encoding="utf-8"?>
<sst xmlns="http://schemas.openxmlformats.org/spreadsheetml/2006/main" count="3521" uniqueCount="1708">
  <si>
    <t>صورت‌حساب سپرده</t>
  </si>
  <si>
    <t>9316-800-1512735-5</t>
  </si>
  <si>
    <t xml:space="preserve">از 1404/02/01  -  00:00 تا 1404/02/31  -  23:59 </t>
  </si>
  <si>
    <t xml:space="preserve"> IR680560931680001512735005</t>
  </si>
  <si>
    <t>تاریخ ایجاد گزارش: 1404/03/13  -  18:57</t>
  </si>
  <si>
    <t>شعبه تهیه گزارش: اینترنت بانک</t>
  </si>
  <si>
    <t>ارز سپرده:</t>
  </si>
  <si>
    <t>ریال</t>
  </si>
  <si>
    <t>موجودی:</t>
  </si>
  <si>
    <t>موجودی قابل برداشت:</t>
  </si>
  <si>
    <t>مبلغ مسدودی:</t>
  </si>
  <si>
    <t>شناسه واریز:</t>
  </si>
  <si>
    <t>ترتیب تاریخ:</t>
  </si>
  <si>
    <t>نزولی</t>
  </si>
  <si>
    <t xml:space="preserve">نوع تراکنش: </t>
  </si>
  <si>
    <t>از  مبلغ:</t>
  </si>
  <si>
    <t>تا  مبلغ:</t>
  </si>
  <si>
    <t xml:space="preserve">یادداشت: </t>
  </si>
  <si>
    <t>ردیف</t>
  </si>
  <si>
    <t>تاریخ</t>
  </si>
  <si>
    <t>زمان</t>
  </si>
  <si>
    <t>عملیات</t>
  </si>
  <si>
    <t>شرح</t>
  </si>
  <si>
    <t>نام دارنده کارت</t>
  </si>
  <si>
    <t>واریز (ریال)</t>
  </si>
  <si>
    <t>برداشت (ریال)</t>
  </si>
  <si>
    <t xml:space="preserve">مانده (ریال) </t>
  </si>
  <si>
    <t>شعبه</t>
  </si>
  <si>
    <t>شماره سند</t>
  </si>
  <si>
    <t>شماره کارت</t>
  </si>
  <si>
    <t>1404/02/01</t>
  </si>
  <si>
    <t>19:29:56</t>
  </si>
  <si>
    <t>انتقال وجه داخلي</t>
  </si>
  <si>
    <t>انتقال از اينترنت 00019022 سامان از ک 6219861067456409 ش م 511119051875 ش پ 051875</t>
  </si>
  <si>
    <t>مرکز عمليات کارت(880)</t>
  </si>
  <si>
    <t>30164333</t>
  </si>
  <si>
    <t>13:33:26</t>
  </si>
  <si>
    <t>انتقال از اينترنت 17592030 ملي از ک 6037998273831502 ش م 443887504668 ش پ 159918</t>
  </si>
  <si>
    <t>40157748</t>
  </si>
  <si>
    <t>09:29:36</t>
  </si>
  <si>
    <t>انتقال از خودپرداز 109936   سپه به ک 5892101626109181 ش م 098195850883 ش پ 004729</t>
  </si>
  <si>
    <t>30151376</t>
  </si>
  <si>
    <t>09:30:54</t>
  </si>
  <si>
    <t>انتقال از خودپرداز 109936   سپه به ک 5892101643117522 ش م 098196123503 ش پ 004733</t>
  </si>
  <si>
    <t>30151388</t>
  </si>
  <si>
    <t>09:30:15</t>
  </si>
  <si>
    <t>انتقال از خودپرداز 109936   سپه به ک 6104338971567579 ش م 098196090424 ش پ 004730</t>
  </si>
  <si>
    <t>30151383</t>
  </si>
  <si>
    <t>12:48:41</t>
  </si>
  <si>
    <t>انتقال از خودپرداز 109936   سپه به ک 6362141055049986 ش م 098217942502 ش پ 004990</t>
  </si>
  <si>
    <t>30156454</t>
  </si>
  <si>
    <t>04:37:12</t>
  </si>
  <si>
    <t>انتقال وجه از طريق مدرن</t>
  </si>
  <si>
    <t>انتقال وجه موبايلت از سپرده 9316.888.1579090.1 ش.پ 00001745197632031911 - محمود ابراهيميان</t>
  </si>
  <si>
    <t>نيشابور(9316)</t>
  </si>
  <si>
    <t>20142296</t>
  </si>
  <si>
    <t>04:51:45</t>
  </si>
  <si>
    <t>انتقال وجه موبايلت از سپرده 9316.888.1579090.1 ش.پ 00001745198505475564 - محمود ابراهيميان</t>
  </si>
  <si>
    <t>20142298</t>
  </si>
  <si>
    <t>08:24:55</t>
  </si>
  <si>
    <t>خريد کالا</t>
  </si>
  <si>
    <t>خريد کالا و خدمات از پايانه فروش 06529904 به پرداخت ملت از ک 6219861085062957 ش م 305239589594 ش پ 5</t>
  </si>
  <si>
    <t>30150206</t>
  </si>
  <si>
    <t>09:02:52</t>
  </si>
  <si>
    <t>خريد کالا و خدمات از پايانه فروش 98330913 مبنا کارت آريا (اينفوتک) از ک 6219861085062957 ش م 3003116</t>
  </si>
  <si>
    <t>40150673</t>
  </si>
  <si>
    <t>کارمزد انتقال از خودپرداز 109936   سپه از ک 6219861085062957 ش م 098195850883 ش پ 004729</t>
  </si>
  <si>
    <t>کارمزد انتقال از خودپرداز 109936   سپه از ک 6219861085062957 ش م 098196090424 ش پ 004730</t>
  </si>
  <si>
    <t>کارمزد انتقال از خودپرداز 109936   سپه از ک 6219861085062957 ش م 098196123503 ش پ 004733</t>
  </si>
  <si>
    <t>کارمزد انتقال از خودپرداز 109936   سپه از ک 6219861085062957 ش م 098217942502 ش پ 004990</t>
  </si>
  <si>
    <t>20:38:33</t>
  </si>
  <si>
    <t>اعلام موجودي</t>
  </si>
  <si>
    <t>کارمزد مانده حساب از پايانه فروش 02263389 پرداخت الکترونيک سامان1 از ک 6219861085062957 ش م 85014106</t>
  </si>
  <si>
    <t>30165580</t>
  </si>
  <si>
    <t>1404/02/02</t>
  </si>
  <si>
    <t>12:00:28</t>
  </si>
  <si>
    <t>انتقال از اينترنت 17592030 ملي از ک 6037997417144129 ش م 421673302505 ش پ 124386</t>
  </si>
  <si>
    <t>30178108</t>
  </si>
  <si>
    <t>08:49:47</t>
  </si>
  <si>
    <t>انتقال از خودپرداز 109936   سپه به ک 5892101626109181 ش م 098289157232 ش پ 005366</t>
  </si>
  <si>
    <t>40173651</t>
  </si>
  <si>
    <t>08:50:28</t>
  </si>
  <si>
    <t>انتقال از خودپرداز 109936   سپه به ک 6104337886219300 ش م 098289171396 ش پ 005367</t>
  </si>
  <si>
    <t>30173566</t>
  </si>
  <si>
    <t>12:24:12</t>
  </si>
  <si>
    <t>انتقال از خودپرداز 45101693 تجارت - بين 2 به ک 6104338971567579 ش م 169311144649 ش پ 169369</t>
  </si>
  <si>
    <t>30178737</t>
  </si>
  <si>
    <t>04:49:12</t>
  </si>
  <si>
    <t>انتقال وجه موبايلت از سپرده 9316.888.1579090.1 ش.پ 00001745284752068224 - محمود ابراهيميان</t>
  </si>
  <si>
    <t>20160375</t>
  </si>
  <si>
    <t>کارمزد انتقال از خودپرداز 109936   سپه از ک 6219861085062957 ش م 098289157232 ش پ 005366</t>
  </si>
  <si>
    <t>کارمزد انتقال از خودپرداز 109936   سپه از ک 6219861085062957 ش م 098289171396 ش پ 005367</t>
  </si>
  <si>
    <t>کارمزد انتقال از خودپرداز 45101693 تجارت - بين 2 از ک 6219861085062957 ش م 169311144649 ش پ 169369</t>
  </si>
  <si>
    <t>21:00:56</t>
  </si>
  <si>
    <t>کارمزد مانده حساب از پايانه فروش 13444162 پرداخت الکترونيک سامان1 از ک 6219861085062957 ش م 85017537</t>
  </si>
  <si>
    <t>40188915</t>
  </si>
  <si>
    <t>1404/02/03</t>
  </si>
  <si>
    <t>19:59:26</t>
  </si>
  <si>
    <t>انتقال از اينترنت 00019001 قرض الحسنه مهر از ک 6063731012075140 ش م 511319586406 ش پ 586406</t>
  </si>
  <si>
    <t>30210948</t>
  </si>
  <si>
    <t>11:04:48</t>
  </si>
  <si>
    <t>انتقال از اينترنت 146      سپه از ک 5892101634813113 ش م 098389098418 ش پ 201002</t>
  </si>
  <si>
    <t>30199813</t>
  </si>
  <si>
    <t>18:02:40</t>
  </si>
  <si>
    <t>انتقال از اينترنت 148      سپه از ک 5892101600739268 ش م 098423092269 ش پ 832338</t>
  </si>
  <si>
    <t>40208138</t>
  </si>
  <si>
    <t>08:39:56</t>
  </si>
  <si>
    <t>انتقال از خودپرداز 00012111 سامان به ک 6104338930122953 ش م 511308603263 ش پ 603263</t>
  </si>
  <si>
    <t>30195712</t>
  </si>
  <si>
    <t>08:58:22</t>
  </si>
  <si>
    <t>انتقال از خودپرداز 109936   سپه به ک 5892101634724955 ش م 098377876372 ش پ 005956</t>
  </si>
  <si>
    <t>30196266</t>
  </si>
  <si>
    <t>08:57:45</t>
  </si>
  <si>
    <t>انتقال از خودپرداز 109936   سپه به ک 5892101643117522 ش م 098377849059 ش پ 005954</t>
  </si>
  <si>
    <t>40196426</t>
  </si>
  <si>
    <t>04:51:6</t>
  </si>
  <si>
    <t>انتقال وجه موبايلت از سپرده 9316.888.1579090.1 ش.پ 00001745371266321559 - محمود ابراهيميان</t>
  </si>
  <si>
    <t>50190642</t>
  </si>
  <si>
    <t>04:56:28</t>
  </si>
  <si>
    <t>انتقال وجه موبايلت از سپرده 9316.888.1579090.1 ش.پ 00001745371588907175 - محمود ابراهيميان</t>
  </si>
  <si>
    <t>20181558</t>
  </si>
  <si>
    <t>20:22:46</t>
  </si>
  <si>
    <t>واريز قبوض</t>
  </si>
  <si>
    <t>پرداخت قبوض از پايانه فروش 13444162 پرداخت الکترونيک سامان1 از ک 6219861085062957 ش م 850207465499 ش</t>
  </si>
  <si>
    <t>40211529</t>
  </si>
  <si>
    <t>08:26:1</t>
  </si>
  <si>
    <t>پرداخت قبوض تلفن همراه ش ق 4842927830154 ش پ 0000032846207 از اينترنت 00019041 سامان از ش م 51130859</t>
  </si>
  <si>
    <t>30195603</t>
  </si>
  <si>
    <t>08:25:29</t>
  </si>
  <si>
    <t>خريد کالا و خدمات از پايانه فروش 31171365 پرداخت الکترونيک سامان1 از ک 6219861085062957 ش م 85018141</t>
  </si>
  <si>
    <t>30195600</t>
  </si>
  <si>
    <t>08:22:23</t>
  </si>
  <si>
    <t>خريد کالا و خدمات از پايانه فروش 45123223 تجارت الکترونيک پارسيان از ک 6219861085062957 ش م 74635291</t>
  </si>
  <si>
    <t>40195465</t>
  </si>
  <si>
    <t>کارمزد انتقال از خودپرداز 00012111 سامان از ک 6219861085062957 ش م 511308603263 ش پ 603263</t>
  </si>
  <si>
    <t>کارمزد انتقال از خودپرداز 109936   سپه از ک 6219861085062957 ش م 098377849059 ش پ 005954</t>
  </si>
  <si>
    <t>کارمزد انتقال از خودپرداز 109936   سپه از ک 6219861085062957 ش م 098377876372 ش پ 005956</t>
  </si>
  <si>
    <t>09:03:9</t>
  </si>
  <si>
    <t>کارمزد مانده حساب از پايانه فروش 13444162 پرداخت الکترونيک سامان1 از ک 6219861085062957 ش م 85018223</t>
  </si>
  <si>
    <t>40196503</t>
  </si>
  <si>
    <t>1404/02/04</t>
  </si>
  <si>
    <t>23:01:34</t>
  </si>
  <si>
    <t>انتقال از خودپرداز 00011751 سامان به ک 6219861073786146 ش م 511423661958 ش پ 661958</t>
  </si>
  <si>
    <t>40233452</t>
  </si>
  <si>
    <t>23:00:41</t>
  </si>
  <si>
    <t>انتقال از خودپرداز 00011751 سامان به ک 6219861076095867 ش م 511423661702 ش پ 661702</t>
  </si>
  <si>
    <t>40233442</t>
  </si>
  <si>
    <t>16:56:20</t>
  </si>
  <si>
    <t>انتقال از خودپرداز 109936   سپه به ک 5029081028402846 ش م 098492958639 ش پ 006741</t>
  </si>
  <si>
    <t>40226301</t>
  </si>
  <si>
    <t>20:31:39</t>
  </si>
  <si>
    <t>انتقال از خودپرداز 109936   سپه به ک 5892101643117522 ش م 098513511852 ش پ 006861</t>
  </si>
  <si>
    <t>40230572</t>
  </si>
  <si>
    <t>16:56:59</t>
  </si>
  <si>
    <t>انتقال از خودپرداز 109936   سپه به ک 6219861050987337 ش م 098492980721 ش پ 006743</t>
  </si>
  <si>
    <t>40226309</t>
  </si>
  <si>
    <t>18:00:13</t>
  </si>
  <si>
    <t>انتقال از خودپرداز 109936   سپه به ک 6219861076095867 ش م 098498445126 ش پ 006772</t>
  </si>
  <si>
    <t>40227471</t>
  </si>
  <si>
    <t>15:01:59</t>
  </si>
  <si>
    <t>انتقال وجه موبايلت از سپرده 9316.888.1579090.1 ش.پ 00001745494319915589 - محمود ابراهيميان</t>
  </si>
  <si>
    <t>10223799</t>
  </si>
  <si>
    <t>16:31:43</t>
  </si>
  <si>
    <t>خريد کالا و خدمات از پايانه فروش 50267004 پرداخت الکترونيک سامان1 از ک 6219861085062957 ش م 85022799</t>
  </si>
  <si>
    <t>30225885</t>
  </si>
  <si>
    <t>کارمزد انتقال از خودپرداز 109936   سپه از ک 6219861085062957 ش م 098492958639 ش پ 006741</t>
  </si>
  <si>
    <t>کارمزد انتقال از خودپرداز 109936   سپه از ک 6219861085062957 ش م 098492980721 ش پ 006743</t>
  </si>
  <si>
    <t>کارمزد انتقال از خودپرداز 109936   سپه از ک 6219861085062957 ش م 098498445126 ش پ 006772</t>
  </si>
  <si>
    <t>کارمزد انتقال از خودپرداز 109936   سپه از ک 6219861085062957 ش م 098513511852 ش پ 006861</t>
  </si>
  <si>
    <t>21:05:2</t>
  </si>
  <si>
    <t>کارمزد مانده حساب از پايانه فروش 13444162 پرداخت الکترونيک سامان1 از ک 6219861085062957 ش م 85023940</t>
  </si>
  <si>
    <t>40231277</t>
  </si>
  <si>
    <t>1404/02/05</t>
  </si>
  <si>
    <t>17:16:54</t>
  </si>
  <si>
    <t>انتقال وجه موبايلت از سپرده 9316.888.1579090.1 ش.پ 00001745588814523479 - محمود ابراهيميان</t>
  </si>
  <si>
    <t>10241642</t>
  </si>
  <si>
    <t>1404/02/06</t>
  </si>
  <si>
    <t>11:02:44</t>
  </si>
  <si>
    <t>انتقال از اينترنت 00019001 قرض الحسنه مهر از ک 6063731197381008 ش م 511611593142 ش پ 593142</t>
  </si>
  <si>
    <t>30256238</t>
  </si>
  <si>
    <t>11:44:12</t>
  </si>
  <si>
    <t>انتقال از اينترنت 06590002 صادرات از ک 6037697681149024 ش م 221144115758 ش پ 135758</t>
  </si>
  <si>
    <t>40257672</t>
  </si>
  <si>
    <t>20:33:58</t>
  </si>
  <si>
    <t>انتقال از اينترنت 07770001 کشاورزي از ک 6037701513346939 ش م 042620590028 ش پ 590028</t>
  </si>
  <si>
    <t>40268321</t>
  </si>
  <si>
    <t>20:23:40</t>
  </si>
  <si>
    <t>انتقال از اينترنت 07770001 کشاورزي از ک 6037701513346939 ش م 042620892546 ش پ 892546</t>
  </si>
  <si>
    <t>40268255</t>
  </si>
  <si>
    <t>11:12:40</t>
  </si>
  <si>
    <t>انتقال از اينترنت 17592030 ملي از ک 6037998153675680 ش م 928381857347 ش پ 235348</t>
  </si>
  <si>
    <t>40256547</t>
  </si>
  <si>
    <t>17:35:50</t>
  </si>
  <si>
    <t>انتقال از خودپرداز 109936   سپه به ک 6362141055049986 ش م 098634868829 ش پ 007539</t>
  </si>
  <si>
    <t>40264192</t>
  </si>
  <si>
    <t>08:40:44</t>
  </si>
  <si>
    <t>انتقال از خودپرداز 45101693 تجارت - بين 2 به ک 5892101008944130 ش م 169311531241 ش پ 169396</t>
  </si>
  <si>
    <t>40252695</t>
  </si>
  <si>
    <t>08:40:13</t>
  </si>
  <si>
    <t>انتقال از خودپرداز 45101693 تجارت - بين 2 به ک 6104338971567579 ش م 169311531207 ش پ 169395</t>
  </si>
  <si>
    <t>40252689</t>
  </si>
  <si>
    <t>کارمزد انتقال از خودپرداز 109936   سپه از ک 6219861085062957 ش م 098634868829 ش پ 007539</t>
  </si>
  <si>
    <t>کارمزد انتقال از خودپرداز 45101693 تجارت - بين 2 از ک 6219861085062957 ش م 169311531207 ش پ 169395</t>
  </si>
  <si>
    <t>کارمزد انتقال از خودپرداز 45101693 تجارت - بين 2 از ک 6219861085062957 ش م 169311531241 ش پ 169396</t>
  </si>
  <si>
    <t>17:23:44</t>
  </si>
  <si>
    <t>کارمزد مانده حساب از پايانه فروش 02263389 پرداخت الکترونيک سامان1 از ک 6219861085062957 ش م 85028588</t>
  </si>
  <si>
    <t>40264025</t>
  </si>
  <si>
    <t>08:36:39</t>
  </si>
  <si>
    <t>کارمزد مانده حساب از پايانه فروش 13444162 پرداخت الکترونيک سامان1 از ک 6219861085062957 ش م 85027010</t>
  </si>
  <si>
    <t>40252649</t>
  </si>
  <si>
    <t>1404/02/07</t>
  </si>
  <si>
    <t>11:53:6</t>
  </si>
  <si>
    <t>انتقال از اينترنت 06590002 صادرات از ک 6037697681149024 ش م 221153066244 ش پ 136244</t>
  </si>
  <si>
    <t>30281188</t>
  </si>
  <si>
    <t>19:42:1</t>
  </si>
  <si>
    <t>انتقال از اينترنت 07770001 کشاورزي از ک 6037701613254967 ش م 042719369745 ش پ 369745</t>
  </si>
  <si>
    <t>40290572</t>
  </si>
  <si>
    <t>08:50:41</t>
  </si>
  <si>
    <t>انتقال از خودپرداز 109936   سپه به ک 5892101643117522 ش م 098676248677 ش پ 007800</t>
  </si>
  <si>
    <t>30276389</t>
  </si>
  <si>
    <t>08:51:17</t>
  </si>
  <si>
    <t>انتقال از خودپرداز 109936   سپه به ک 6104338971567579 ش م 098676265184 ش پ 007801</t>
  </si>
  <si>
    <t>40275755</t>
  </si>
  <si>
    <t>12:46:15</t>
  </si>
  <si>
    <t>انتقال از خودپرداز 109936   سپه به ک 6104338971567579 ش م 098696310123 ش پ 008073</t>
  </si>
  <si>
    <t>40282399</t>
  </si>
  <si>
    <t>13:04:13</t>
  </si>
  <si>
    <t>انتقال از خودپرداز 45101693 تجارت - بين 2 به ک 6037697600840968 ش م 169311647049 ش پ 169377</t>
  </si>
  <si>
    <t>40282934</t>
  </si>
  <si>
    <t>08:20:1</t>
  </si>
  <si>
    <t>انتقال وجه موبايلت از سپرده 9316.888.1579090.1 ش.پ 00001745729401901771 - محمود ابراهيميان</t>
  </si>
  <si>
    <t>20261161</t>
  </si>
  <si>
    <t>16:56:31</t>
  </si>
  <si>
    <t>خريد کالا و خدمات از پايانه فروش 05695906 کارت اعتباري ايران کيش از ک 6219861085062957 ش م 959061161</t>
  </si>
  <si>
    <t>40286489</t>
  </si>
  <si>
    <t>18:51:42</t>
  </si>
  <si>
    <t>خريد کالا و خدمات از پايانه فروش 10409379 پرداخت الکترونيک سامان1 از ک 6219861085062957 ش م 85032186</t>
  </si>
  <si>
    <t>30289456</t>
  </si>
  <si>
    <t>08:32:55</t>
  </si>
  <si>
    <t>خريد کالا و خدمات از پايانه فروش 12844839 پرداخت الکترونيک سامان1 از ک 6219861085062957 ش م 85030265</t>
  </si>
  <si>
    <t>30276088</t>
  </si>
  <si>
    <t>10:00:3</t>
  </si>
  <si>
    <t>خريد کالا و خدمات از پايانه فروش 71335976 پرداخت الکترونيک پاسارگاد از ک 6219861085062957 ش م 142079</t>
  </si>
  <si>
    <t>30278363</t>
  </si>
  <si>
    <t>کارمزد انتقال از خودپرداز 109936   سپه از ک 6219861085062957 ش م 098676248677 ش پ 007800</t>
  </si>
  <si>
    <t>کارمزد انتقال از خودپرداز 109936   سپه از ک 6219861085062957 ش م 098676265184 ش پ 007801</t>
  </si>
  <si>
    <t>کارمزد انتقال از خودپرداز 109936   سپه از ک 6219861085062957 ش م 098696310123 ش پ 008073</t>
  </si>
  <si>
    <t>کارمزد انتقال از خودپرداز 45101693 تجارت - بين 2 از ک 6219861085062957 ش م 169311647049 ش پ 169377</t>
  </si>
  <si>
    <t>17:03:47</t>
  </si>
  <si>
    <t>کارمزد مانده حساب از پايانه فروش 02263389 پرداخت الکترونيک سامان1 از ک 6219861085062957 ش م 85031734</t>
  </si>
  <si>
    <t>30287105</t>
  </si>
  <si>
    <t>21:33:26</t>
  </si>
  <si>
    <t>کارمزد مانده حساب از پايانه فروش 02263389 پرداخت الکترونيک سامان1 از ک 6219861085062957 ش م 85032922</t>
  </si>
  <si>
    <t>40293254</t>
  </si>
  <si>
    <t>1404/02/08</t>
  </si>
  <si>
    <t>11:00:28</t>
  </si>
  <si>
    <t>انتقال از اينترنت 00019001 قرض الحسنه مهر از ک 6063731202378833 ش م 511811985501 ش پ 985501</t>
  </si>
  <si>
    <t>30307211</t>
  </si>
  <si>
    <t>09:08:45</t>
  </si>
  <si>
    <t>انتقال از خودپرداز 109936   سپه به ک 5892101643117522 ش م 098756910227 ش پ 008485</t>
  </si>
  <si>
    <t>40301768</t>
  </si>
  <si>
    <t>20:28:32</t>
  </si>
  <si>
    <t>انتقال از خودپرداز 45101693 تجارت - بين 2 به ک 5892101626109181 ش م 169311773709 ش پ 169331</t>
  </si>
  <si>
    <t>30319374</t>
  </si>
  <si>
    <t>21:15:20</t>
  </si>
  <si>
    <t>انتقال از خودپرداز 45101693 تجارت - بين 2 به ک 5892101643117522 ش م 169311776515 ش پ 169350</t>
  </si>
  <si>
    <t>40320697</t>
  </si>
  <si>
    <t>19:28:16</t>
  </si>
  <si>
    <t>انتقال از خودپرداز 45101693 تجارت - بين 2 به ک 6037697600840968 ش م 169311770094 ش پ 169300</t>
  </si>
  <si>
    <t>40317846</t>
  </si>
  <si>
    <t>12:07:19</t>
  </si>
  <si>
    <t>انتقال از خودپرداز 45101693 تجارت - بين 2 به ک 6104338971567579 ش م 169311743629 ش پ 169342</t>
  </si>
  <si>
    <t>30309353</t>
  </si>
  <si>
    <t>20:55:31</t>
  </si>
  <si>
    <t>دستور پرداخت لحظه اي سمت ذينفع</t>
  </si>
  <si>
    <t>انتقال وجه آني از شباIR220190000000312983636000از طاهري محمد ش.پ140402080193223887769</t>
  </si>
  <si>
    <t>مديريت حسابداري و خزانه داري(475)</t>
  </si>
  <si>
    <t>10318053</t>
  </si>
  <si>
    <t>07:47:36</t>
  </si>
  <si>
    <t>انتقال وجه موبايلت از سپرده 9316.888.1579090.1 ش.پ 00001745813856398598 - محمود ابراهيميان</t>
  </si>
  <si>
    <t>10297528</t>
  </si>
  <si>
    <t>19:54:2</t>
  </si>
  <si>
    <t>پرداخت قبوض از پايانه فروش 02263389 پرداخت الکترونيک سامان1 از ک 6219861085062957 ش م 850356780776 ش</t>
  </si>
  <si>
    <t>30318692</t>
  </si>
  <si>
    <t>کارمزد انتقال از خودپرداز 109936   سپه از ک 6219861085062957 ش م 098756910227 ش پ 008485</t>
  </si>
  <si>
    <t>کارمزد انتقال از خودپرداز 45101693 تجارت - بين 2 از ک 6219861085062957 ش م 169311743629 ش پ 169342</t>
  </si>
  <si>
    <t>کارمزد انتقال از خودپرداز 45101693 تجارت - بين 2 از ک 6219861085062957 ش م 169311770094 ش پ 169300</t>
  </si>
  <si>
    <t>کارمزد انتقال از خودپرداز 45101693 تجارت - بين 2 از ک 6219861085062957 ش م 169311773709 ش پ 169331</t>
  </si>
  <si>
    <t>کارمزد انتقال از خودپرداز 45101693 تجارت - بين 2 از ک 6219861085062957 ش م 169311776515 ش پ 169350</t>
  </si>
  <si>
    <t>13:47:2</t>
  </si>
  <si>
    <t>کارمزد مانده حساب از پايانه فروش 02263389 پرداخت الکترونيک سامان1 از ک 6219861085062957 ش م 85034422</t>
  </si>
  <si>
    <t>30311781</t>
  </si>
  <si>
    <t>21:17:5</t>
  </si>
  <si>
    <t>کارمزد مانده حساب از پايانه فروش 02263389 پرداخت الکترونيک سامان1 از ک 6219861085062957 ش م 85036037</t>
  </si>
  <si>
    <t>30320536</t>
  </si>
  <si>
    <t>1404/02/09</t>
  </si>
  <si>
    <t>11:30:15</t>
  </si>
  <si>
    <t>انتقال از خودپرداز 109936   سپه به ک 5892101643117522 ش م 098848075831 ش پ 009246</t>
  </si>
  <si>
    <t>40331537</t>
  </si>
  <si>
    <t>11:18:34</t>
  </si>
  <si>
    <t>انتقال از خودپرداز 109936   سپه به ک 6037697600840968 ش م 098847129290 ش پ 009222</t>
  </si>
  <si>
    <t>40331292</t>
  </si>
  <si>
    <t>11:19:9</t>
  </si>
  <si>
    <t>انتقال از خودپرداز 109936   سپه به ک 6104338971567579 ش م 098847390820 ش پ 009224</t>
  </si>
  <si>
    <t>30331036</t>
  </si>
  <si>
    <t>11:19:39</t>
  </si>
  <si>
    <t>انتقال از خودپرداز 109936   سپه به ک 6362141055049986 ش م 098847411083 ش پ 009226</t>
  </si>
  <si>
    <t>40331315</t>
  </si>
  <si>
    <t>22:34:55</t>
  </si>
  <si>
    <t>انتقال از خودپرداز 109936   سپه به ک 6396071217181585 ش م 098901062085 ش پ 009564</t>
  </si>
  <si>
    <t>30344792</t>
  </si>
  <si>
    <t>13:22:25</t>
  </si>
  <si>
    <t>صدور سند انتقال</t>
  </si>
  <si>
    <t>انتقال وجه بلو بانک از شبا IR860560611828006422163202 ش.پ 1404517710155 - محمد مظفرپورتوپكانلو</t>
  </si>
  <si>
    <t>مرکزي(802)</t>
  </si>
  <si>
    <t>10331949</t>
  </si>
  <si>
    <t>04:56:29</t>
  </si>
  <si>
    <t>انتقال وجه موبايلت از سپرده 9316.888.1579090.1 ش.پ 00001745889989799132 - محمود ابراهيميان</t>
  </si>
  <si>
    <t>10325325</t>
  </si>
  <si>
    <t>08:45:43</t>
  </si>
  <si>
    <t>انتقال وجه موبايلت به سپرده 6118.350.2001.2 ش.پ 00001745903743288895-بانک سامان-ش.ش IR280560611828005284675801</t>
  </si>
  <si>
    <t>20325660</t>
  </si>
  <si>
    <t>08:52:18</t>
  </si>
  <si>
    <t>خريد کالا و خدمات از پايانه فروش 31194386 پرداخت الکترونيک سامان1 از ک 6219861085062957 ش م 85036630</t>
  </si>
  <si>
    <t>30327621</t>
  </si>
  <si>
    <t>کارمزد انتقال از خودپرداز 109936   سپه از ک 6219861085062957 ش م 098847129290 ش پ 009222</t>
  </si>
  <si>
    <t>کارمزد انتقال از خودپرداز 109936   سپه از ک 6219861085062957 ش م 098847390820 ش پ 009224</t>
  </si>
  <si>
    <t>کارمزد انتقال از خودپرداز 109936   سپه از ک 6219861085062957 ش م 098847411083 ش پ 009226</t>
  </si>
  <si>
    <t>کارمزد انتقال از خودپرداز 109936   سپه از ک 6219861085062957 ش م 098848075831 ش پ 009246</t>
  </si>
  <si>
    <t>کارمزد انتقال از خودپرداز 109936   سپه از ک 6219861085062957 ش م 098901062085 ش پ 009564</t>
  </si>
  <si>
    <t>11:15:36</t>
  </si>
  <si>
    <t>کارمزد مانده حساب از پايانه فروش 13444162 پرداخت الکترونيک سامان1 از ک 6219861085062957 ش م 85037052</t>
  </si>
  <si>
    <t>40331250</t>
  </si>
  <si>
    <t>11:32:55</t>
  </si>
  <si>
    <t>کارمزد مانده حساب از پايانه فروش 13444162 پرداخت الکترونيک سامان1 از ک 6219861085062957 ش م 85037115</t>
  </si>
  <si>
    <t>40331600</t>
  </si>
  <si>
    <t>22:27:48</t>
  </si>
  <si>
    <t>کارمزد مانده حساب از پايانه فروش 13444162 پرداخت الکترونيک سامان1 از ک 6219861085062957 ش م 85039399</t>
  </si>
  <si>
    <t>30344758</t>
  </si>
  <si>
    <t>1404/02/10</t>
  </si>
  <si>
    <t>21:07:19</t>
  </si>
  <si>
    <t>انتقال از اينترنت 02884325 ملت از ک 6104338974821924 ش م 161522614850 ش پ 614850</t>
  </si>
  <si>
    <t>30365976</t>
  </si>
  <si>
    <t>12:00:35</t>
  </si>
  <si>
    <t>انتقال از اينترنت 06590002 صادرات از ک 6037697681149024 ش م 221200357916 ش پ 137916</t>
  </si>
  <si>
    <t>30355659</t>
  </si>
  <si>
    <t>18:42:32</t>
  </si>
  <si>
    <t>انتقال از اينترنت 115      سپه از ک 5892101233211875 ش م 098959890616 ش پ 519525</t>
  </si>
  <si>
    <t>30362347</t>
  </si>
  <si>
    <t>12:16:35</t>
  </si>
  <si>
    <t>انتقال از اينترنت I000MP01 تجارت - بين 2 از ک 5859831183919207 ش م 488608130713 ش پ 901857</t>
  </si>
  <si>
    <t>30356122</t>
  </si>
  <si>
    <t>08:52:48</t>
  </si>
  <si>
    <t>انتقال از خودپرداز 109936   سپه به ک 5892101634724955 ش م 098914872784 ش پ 009600</t>
  </si>
  <si>
    <t>30350653</t>
  </si>
  <si>
    <t>18:43:30</t>
  </si>
  <si>
    <t>انتقال از خودپرداز 109936   سپه به ک 6037697600840968 ش م 098960126306 ش پ 009991</t>
  </si>
  <si>
    <t>40362698</t>
  </si>
  <si>
    <t>19:19:41</t>
  </si>
  <si>
    <t>انتقال از خودپرداز 109936   سپه به ک 6396071217181585 ش م 098963771741 ش پ 000022</t>
  </si>
  <si>
    <t>40363477</t>
  </si>
  <si>
    <t>04:47:17</t>
  </si>
  <si>
    <t>انتقال وجه موبايلت از سپرده 9316.888.1579090.1 ش.پ 00001745975837124833 - محمود ابراهيميان</t>
  </si>
  <si>
    <t>10348060</t>
  </si>
  <si>
    <t>04:49:26</t>
  </si>
  <si>
    <t>انتقال وجه موبايلت از سپرده 9316.888.1579090.1 ش.پ 00001745975966320466 - محمود ابراهيميان</t>
  </si>
  <si>
    <t>50345222</t>
  </si>
  <si>
    <t>11:18:46</t>
  </si>
  <si>
    <t>خريد کالا و خدمات از پايانه فروش 45050711 تجارت الکترونيک پارسيان از ک 6219861085062957 ش م 74642040</t>
  </si>
  <si>
    <t>30354204</t>
  </si>
  <si>
    <t>کارمزد انتقال از خودپرداز 109936   سپه از ک 6219861085062957 ش م 098914872784 ش پ 009600</t>
  </si>
  <si>
    <t>کارمزد انتقال از خودپرداز 109936   سپه از ک 6219861085062957 ش م 098960126306 ش پ 009991</t>
  </si>
  <si>
    <t>کارمزد انتقال از خودپرداز 109936   سپه از ک 6219861085062957 ش م 098963771741 ش پ 000022</t>
  </si>
  <si>
    <t>20:48:25</t>
  </si>
  <si>
    <t>کارمزد مانده حساب از پايانه فروش 13444162 پرداخت الکترونيک سامان1 از ک 6219861085062957 ش م 85042270</t>
  </si>
  <si>
    <t>30365595</t>
  </si>
  <si>
    <t>18:43:44</t>
  </si>
  <si>
    <t>کارمزد مانده حساب از خودپرداز 109936   سپه از ک 6219861085062957 ش م 098959963298 ش پ 009993</t>
  </si>
  <si>
    <t>40362707</t>
  </si>
  <si>
    <t>1404/02/11</t>
  </si>
  <si>
    <t>08:42:58</t>
  </si>
  <si>
    <t>انتقال از اينترنت 136      سپه از ک 5892101063187187 ش م 098991972674 ش پ 919901</t>
  </si>
  <si>
    <t>30372182</t>
  </si>
  <si>
    <t>09:31:0</t>
  </si>
  <si>
    <t>انتقال از خودپرداز 109936   سپه به ک 5029081028402846 ش م 098995102526 ش پ 000177</t>
  </si>
  <si>
    <t>40373480</t>
  </si>
  <si>
    <t>09:29:56</t>
  </si>
  <si>
    <t>انتقال از خودپرداز 109936   سپه به ک 5892101643117522 ش م 098994966533 ش پ 000174</t>
  </si>
  <si>
    <t>40373461</t>
  </si>
  <si>
    <t>09:29:14</t>
  </si>
  <si>
    <t>انتقال از خودپرداز 109936   سپه به ک 6104338971567579 ش م 098994840502 ش پ 000171</t>
  </si>
  <si>
    <t>40373453</t>
  </si>
  <si>
    <t>09:30:32</t>
  </si>
  <si>
    <t>انتقال از خودپرداز 109936   سپه به ک 6219861050987337 ش م 098995087778 ش پ 000175</t>
  </si>
  <si>
    <t>40373470</t>
  </si>
  <si>
    <t>12:10:56</t>
  </si>
  <si>
    <t>انتقال از خودپرداز 45101693 تجارت - بين 2 به ک 5892101643117522 ش م 169312043853 ش پ 169397</t>
  </si>
  <si>
    <t>40377759</t>
  </si>
  <si>
    <t>04:49:19</t>
  </si>
  <si>
    <t>انتقال وجه موبايلت از سپرده 9316.888.1579090.1 ش.پ 00001746062359367668 - محمود ابراهيميان</t>
  </si>
  <si>
    <t>10371061</t>
  </si>
  <si>
    <t>12:18:53</t>
  </si>
  <si>
    <t>خريد کالا و خدمات از پايانه فروش 12844839 پرداخت الکترونيک سامان1 از ک 6219861085062957 ش م 85043656</t>
  </si>
  <si>
    <t>40378077</t>
  </si>
  <si>
    <t>08:55:14</t>
  </si>
  <si>
    <t>خريد کالا و خدمات از پايانه فروش 33576242 پرداخت الکترونيک سداد 2 از ک 6219861085062957 ش م 32696158</t>
  </si>
  <si>
    <t>30372633</t>
  </si>
  <si>
    <t>کارمزد انتقال از خودپرداز 109936   سپه از ک 6219861085062957 ش م 098994840502 ش پ 000171</t>
  </si>
  <si>
    <t>کارمزد انتقال از خودپرداز 109936   سپه از ک 6219861085062957 ش م 098994966533 ش پ 000174</t>
  </si>
  <si>
    <t>کارمزد انتقال از خودپرداز 109936   سپه از ک 6219861085062957 ش م 098995087778 ش پ 000175</t>
  </si>
  <si>
    <t>کارمزد انتقال از خودپرداز 109936   سپه از ک 6219861085062957 ش م 098995102526 ش پ 000177</t>
  </si>
  <si>
    <t>کارمزد انتقال از خودپرداز 45101693 تجارت - بين 2 از ک 6219861085062957 ش م 169312043853 ش پ 169397</t>
  </si>
  <si>
    <t>09:57:7</t>
  </si>
  <si>
    <t>کارمزد مانده حساب از پايانه فروش 02263389 پرداخت الکترونيک سامان1 از ک 6219861085062957 ش م 85043103</t>
  </si>
  <si>
    <t>40374026</t>
  </si>
  <si>
    <t>20:05:9</t>
  </si>
  <si>
    <t>کارمزد مانده حساب از پايانه فروش 13444162 پرداخت الکترونيک سامان1 از ک 6219861085062957 ش م 85045292</t>
  </si>
  <si>
    <t>30386973</t>
  </si>
  <si>
    <t>1404/02/12</t>
  </si>
  <si>
    <t>15:07:6</t>
  </si>
  <si>
    <t>انتقال وجه موبايلت از سپرده 9316.888.1579090.1 ش.پ 00001746185826324573 - محمود ابراهيميان</t>
  </si>
  <si>
    <t>20387148</t>
  </si>
  <si>
    <t>1404/02/13</t>
  </si>
  <si>
    <t>12:00:46</t>
  </si>
  <si>
    <t>انتقال از اينترنت 00019001 پست بانک از ک 6277601362952630 ش م 130087176186 ش پ 176186</t>
  </si>
  <si>
    <t>30414408</t>
  </si>
  <si>
    <t>12:03:1</t>
  </si>
  <si>
    <t>انتقال از اينترنت 06590002 صادرات از ک 6037697681149024 ش م 221203006056 ش پ 136056</t>
  </si>
  <si>
    <t>30414447</t>
  </si>
  <si>
    <t>08:50:40</t>
  </si>
  <si>
    <t>انتقال از خودپرداز 45101693 تجارت - بين 2 به ک 5859831188404023 ش م 169312231837 ش پ 169304</t>
  </si>
  <si>
    <t>30409407</t>
  </si>
  <si>
    <t>08:50:7</t>
  </si>
  <si>
    <t>انتقال از خودپرداز 45101693 تجارت - بين 2 به ک 6037991713397994 ش م 169312231804 ش پ 169303</t>
  </si>
  <si>
    <t>40408542</t>
  </si>
  <si>
    <t>22:00:24</t>
  </si>
  <si>
    <t>انتقال از خودپرداز 45101693 تجارت - بين 2 به ک 6362141055049986 ش م 169312279222 ش پ 169376</t>
  </si>
  <si>
    <t>30426130</t>
  </si>
  <si>
    <t>19:11:58</t>
  </si>
  <si>
    <t>خريد کالا و خدمات از پايانه فروش 10580741 پرداخت الکترونيک سامان1 از ک 6219861085062957 ش م 85050605</t>
  </si>
  <si>
    <t>30422169</t>
  </si>
  <si>
    <t>18:01:12</t>
  </si>
  <si>
    <t>خريد کالا و خدمات از پايانه فروش 31171365 پرداخت الکترونيک سامان1 از ک 6219861085062957 ش م 85050261</t>
  </si>
  <si>
    <t>30420553</t>
  </si>
  <si>
    <t>20:50:39</t>
  </si>
  <si>
    <t>خريد کالا و خدمات از پايانه فروش 93481619 پرداخت الکترونيک پاسارگاد از ک 6219861085062957 ش م 141023</t>
  </si>
  <si>
    <t>30424628</t>
  </si>
  <si>
    <t>20:50:2</t>
  </si>
  <si>
    <t>30424615</t>
  </si>
  <si>
    <t>کارمزد انتقال از خودپرداز 45101693 تجارت - بين 2 از ک 6219861085062957 ش م 169312231804 ش پ 169303</t>
  </si>
  <si>
    <t>کارمزد انتقال از خودپرداز 45101693 تجارت - بين 2 از ک 6219861085062957 ش م 169312231837 ش پ 169304</t>
  </si>
  <si>
    <t>کارمزد انتقال از خودپرداز 45101693 تجارت - بين 2 از ک 6219861085062957 ش م 169312279222 ش پ 169376</t>
  </si>
  <si>
    <t>21:29:7</t>
  </si>
  <si>
    <t>کارمزد مانده حساب از پايانه فروش 02263389 پرداخت الکترونيک سامان1 از ک 6219861085062957 ش م 85051250</t>
  </si>
  <si>
    <t>40425474</t>
  </si>
  <si>
    <t>08:47:31</t>
  </si>
  <si>
    <t>کارمزد مانده حساب از پايانه فروش 13444162 پرداخت الکترونيک سامان1 از ک 6219861085062957 ش م 85048633</t>
  </si>
  <si>
    <t>30409349</t>
  </si>
  <si>
    <t>1404/02/14</t>
  </si>
  <si>
    <t>10:33:48</t>
  </si>
  <si>
    <t>انتقال از اينترنت 00000200 ملت از ک 6104337933702571 ش م 161651183560 ش پ 183560</t>
  </si>
  <si>
    <t>30434251</t>
  </si>
  <si>
    <t>11:56:48</t>
  </si>
  <si>
    <t>انتقال از اينترنت 06590002 صادرات از ک 6037697681149024 ش م 221156473587 ش پ 133587</t>
  </si>
  <si>
    <t>30436632</t>
  </si>
  <si>
    <t>انتقال از اينترنت 115      سپه از ک 5892101155796150 ش م 099247822504 ش پ 356220</t>
  </si>
  <si>
    <t>30444171</t>
  </si>
  <si>
    <t>08:58:34</t>
  </si>
  <si>
    <t>انتقال از خودپرداز 45101693 تجارت - بين 2 به ک 5892101643117522 ش م 169312332309 ش پ 169347</t>
  </si>
  <si>
    <t>30432016</t>
  </si>
  <si>
    <t>09:01:23</t>
  </si>
  <si>
    <t>انتقال از خودپرداز 45101693 تجارت - بين 2 به ک 6037991780004135 ش م 169312332480 ش پ 169351</t>
  </si>
  <si>
    <t>40431873</t>
  </si>
  <si>
    <t>08:59:9</t>
  </si>
  <si>
    <t>انتقال از خودپرداز 45101693 تجارت - بين 2 به ک 6104338971567579 ش م 169312332347 ش پ 169348</t>
  </si>
  <si>
    <t>30432023</t>
  </si>
  <si>
    <t>04:57:54</t>
  </si>
  <si>
    <t>انتقال وجه موبايلت از سپرده 9316.888.1579090.1 ش.پ 00001746322074809618 - محمود ابراهيميان</t>
  </si>
  <si>
    <t>50418250</t>
  </si>
  <si>
    <t>08:43:21</t>
  </si>
  <si>
    <t>خريد کالا و خدمات از پايانه فروش 31194386 پرداخت الکترونيک سامان1 از ک 6219861085062957 ش م 85051766</t>
  </si>
  <si>
    <t>30431505</t>
  </si>
  <si>
    <t>کارمزد انتقال از خودپرداز 45101693 تجارت - بين 2 از ک 6219861085062957 ش م 169312332309 ش پ 169347</t>
  </si>
  <si>
    <t>کارمزد انتقال از خودپرداز 45101693 تجارت - بين 2 از ک 6219861085062957 ش م 169312332347 ش پ 169348</t>
  </si>
  <si>
    <t>کارمزد انتقال از خودپرداز 45101693 تجارت - بين 2 از ک 6219861085062957 ش م 169312332480 ش پ 169351</t>
  </si>
  <si>
    <t>12:13:19</t>
  </si>
  <si>
    <t>کارمزد مانده حساب از پايانه فروش 13444162 پرداخت الکترونيک سامان1 از ک 6219861085062957 ش م 85052409</t>
  </si>
  <si>
    <t>40436956</t>
  </si>
  <si>
    <t>1404/02/15</t>
  </si>
  <si>
    <t>11:45:48</t>
  </si>
  <si>
    <t>انتقال از اينترنت 06590002 صادرات از ک 6037697681149024 ش م 221145484301 ش پ 134301</t>
  </si>
  <si>
    <t>30457533</t>
  </si>
  <si>
    <t>12:37:43</t>
  </si>
  <si>
    <t>انتقال از اينترنت 115      سپه از ک 5892101632834145 ش م 099293526450 ش پ 735082</t>
  </si>
  <si>
    <t>30458872</t>
  </si>
  <si>
    <t>09:09:50</t>
  </si>
  <si>
    <t>انتقال از خودپرداز 109936   سپه به ک 5892101642705822 ش م 099276633111 ش پ 001018</t>
  </si>
  <si>
    <t>40454041</t>
  </si>
  <si>
    <t>11:08:18</t>
  </si>
  <si>
    <t>انتقال از خودپرداز 109936   سپه به ک 5892101643117522 ش م 099285762007 ش پ 001085</t>
  </si>
  <si>
    <t>40456543</t>
  </si>
  <si>
    <t>09:10:42</t>
  </si>
  <si>
    <t>انتقال از خودپرداز 109936   سپه به ک 6104338971567579 ش م 099276781257 ش پ 001019</t>
  </si>
  <si>
    <t>40454052</t>
  </si>
  <si>
    <t>11:19:4</t>
  </si>
  <si>
    <t>انتقال از خودپرداز 109936   سپه به ک 6219861073786146 ش م 099286625594 ش پ 001098</t>
  </si>
  <si>
    <t>40456725</t>
  </si>
  <si>
    <t>09:09:6</t>
  </si>
  <si>
    <t>انتقال از خودپرداز 109936   سپه به ک 6362141813482370 ش م 099276722228 ش پ 001015</t>
  </si>
  <si>
    <t>40454028</t>
  </si>
  <si>
    <t>04:50:7</t>
  </si>
  <si>
    <t>انتقال وجه موبايلت از سپرده 9316.888.1579090.1 ش.پ 00001746408007370058 - محمود ابراهيميان</t>
  </si>
  <si>
    <t>10450657</t>
  </si>
  <si>
    <t>08:46:37</t>
  </si>
  <si>
    <t>خريد کالا و خدمات از پايانه فروش 02167369 آسان پرداخت پرشين از ک 6219861085062957 ش م 063188925649 ش</t>
  </si>
  <si>
    <t>40453544</t>
  </si>
  <si>
    <t>08:32:6</t>
  </si>
  <si>
    <t>خريد کالا و خدمات از پايانه فروش 23282260 پرداخت الکترونيک سداد 2 از ک 6219861085062957 ش م 32701170</t>
  </si>
  <si>
    <t>30453046</t>
  </si>
  <si>
    <t>کارمزد انتقال از خودپرداز 109936   سپه از ک 6219861085062957 ش م 099276633111 ش پ 001018</t>
  </si>
  <si>
    <t>کارمزد انتقال از خودپرداز 109936   سپه از ک 6219861085062957 ش م 099276722228 ش پ 001015</t>
  </si>
  <si>
    <t>کارمزد انتقال از خودپرداز 109936   سپه از ک 6219861085062957 ش م 099276781257 ش پ 001019</t>
  </si>
  <si>
    <t>کارمزد انتقال از خودپرداز 109936   سپه از ک 6219861085062957 ش م 099285762007 ش پ 001085</t>
  </si>
  <si>
    <t>کارمزد انتقال از خودپرداز 109936   سپه از ک 6219861085062957 ش م 099286625594 ش پ 001098</t>
  </si>
  <si>
    <t>09:20:40</t>
  </si>
  <si>
    <t>کارمزد مانده حساب از پايانه فروش 02263389 پرداخت الکترونيک سامان1 از ک 6219861085062957 ش م 85054903</t>
  </si>
  <si>
    <t>40454167</t>
  </si>
  <si>
    <t>13:23:14</t>
  </si>
  <si>
    <t>کارمزد مانده حساب از پايانه فروش 13444162 پرداخت الکترونيک سامان1 از ک 6219861085062957 ش م 85055711</t>
  </si>
  <si>
    <t>30459971</t>
  </si>
  <si>
    <t>1404/02/16</t>
  </si>
  <si>
    <t>08:53:43</t>
  </si>
  <si>
    <t>انتقال از خودپرداز 45101693 تجارت - بين 2 به ک 5892101060857923 ش م 169312532017 ش پ 169322</t>
  </si>
  <si>
    <t>30475581</t>
  </si>
  <si>
    <t>12:07:29</t>
  </si>
  <si>
    <t>انتقال از خودپرداز 45101693 تجارت - بين 2 به ک 5892101643117522 ش م 169312543646 ش پ 169365</t>
  </si>
  <si>
    <t>40480030</t>
  </si>
  <si>
    <t>08:54:52</t>
  </si>
  <si>
    <t>انتقال از خودپرداز 45101693 تجارت - بين 2 به ک 6037991933743951 ش م 169312532086 ش پ 169324</t>
  </si>
  <si>
    <t>30475599</t>
  </si>
  <si>
    <t>08:54:21</t>
  </si>
  <si>
    <t>انتقال از خودپرداز 45101693 تجارت - بين 2 به ک 6104338971567579 ش م 169312532058 ش پ 169323</t>
  </si>
  <si>
    <t>30475593</t>
  </si>
  <si>
    <t>21:15:58</t>
  </si>
  <si>
    <t>انتقال وجه موبايلت از سپرده 9316.817.1512735.1 ش.پ 00001746553558381364 - علي ابراهيميان</t>
  </si>
  <si>
    <t>20483903</t>
  </si>
  <si>
    <t>04:45:30</t>
  </si>
  <si>
    <t>انتقال وجه موبايلت از سپرده 9316.888.1579090.1 ش.پ 00001746494130101156 - محمود ابراهيميان</t>
  </si>
  <si>
    <t>20460359</t>
  </si>
  <si>
    <t>04:48:7</t>
  </si>
  <si>
    <t>انتقال وجه موبايلت از سپرده 9316.888.1579090.1 ش.پ 00001746494287392821 - محمود ابراهيميان</t>
  </si>
  <si>
    <t>50457786</t>
  </si>
  <si>
    <t>09:37:54</t>
  </si>
  <si>
    <t>خريد کالا و خدمات از پايانه فروش 03071227 کارت اعتباري ايران کيش از ک 6219861085062957 ش م 712271259</t>
  </si>
  <si>
    <t>30476552</t>
  </si>
  <si>
    <t>10:54:3</t>
  </si>
  <si>
    <t>خريد کالا و خدمات از پايانه فروش 12844839 پرداخت الکترونيک سامان1 از ک 6219861085062957 ش م 85058251</t>
  </si>
  <si>
    <t>40477914</t>
  </si>
  <si>
    <t>17:49:1</t>
  </si>
  <si>
    <t>خريد کالا و خدمات از پايانه فروش 13090702 پرداخت الکترونيک سامان1 از ک 6219861085062957 ش م 85059426</t>
  </si>
  <si>
    <t>30485567</t>
  </si>
  <si>
    <t>08:27:4</t>
  </si>
  <si>
    <t>خريد کالا و خدمات از پايانه فروش 20581089 کارت اعتباري ايران کيش از ک 6219861085062957 ش م 810891250</t>
  </si>
  <si>
    <t>30475048</t>
  </si>
  <si>
    <t>کارمزد انتقال از خودپرداز 45101693 تجارت - بين 2 از ک 6219861085062957 ش م 169312532017 ش پ 169322</t>
  </si>
  <si>
    <t>کارمزد انتقال از خودپرداز 45101693 تجارت - بين 2 از ک 6219861085062957 ش م 169312532058 ش پ 169323</t>
  </si>
  <si>
    <t>کارمزد انتقال از خودپرداز 45101693 تجارت - بين 2 از ک 6219861085062957 ش م 169312532086 ش پ 169324</t>
  </si>
  <si>
    <t>کارمزد انتقال از خودپرداز 45101693 تجارت - بين 2 از ک 6219861085062957 ش م 169312543646 ش پ 169365</t>
  </si>
  <si>
    <t>12:10:2</t>
  </si>
  <si>
    <t>کارمزد مانده حساب از پايانه فروش 13444162 پرداخت الکترونيک سامان1 از ک 6219861085062957 ش م 85058521</t>
  </si>
  <si>
    <t>30479977</t>
  </si>
  <si>
    <t>1404/02/17</t>
  </si>
  <si>
    <t>10:06:59</t>
  </si>
  <si>
    <t>انتقال از خودپرداز 45101693 تجارت - بين 2 به ک 5892101060857923 ش م 169312636415 ش پ 169306</t>
  </si>
  <si>
    <t>30498954</t>
  </si>
  <si>
    <t>13:08:19</t>
  </si>
  <si>
    <t>انتقال از خودپرداز 45101693 تجارت - بين 2 به ک 5892101643117522 ش م 169312647297 ش پ 169340</t>
  </si>
  <si>
    <t>30503222</t>
  </si>
  <si>
    <t>10:03:49</t>
  </si>
  <si>
    <t>انتقال از خودپرداز 45101693 تجارت - بين 2 به ک 6104338971567579 ش م 169312636225 ش پ 169302</t>
  </si>
  <si>
    <t>30498899</t>
  </si>
  <si>
    <t>11:13:27</t>
  </si>
  <si>
    <t>انتقال از خودپرداز 45101693 تجارت - بين 2 به ک 6219861076095867 ش م 169312640405 ش پ 169358</t>
  </si>
  <si>
    <t>40500128</t>
  </si>
  <si>
    <t>11:13:3</t>
  </si>
  <si>
    <t>انتقال از خودپرداز 45101693 تجارت - بين 2 به ک 6362141055049986 ش م 169312640380 ش پ 169357</t>
  </si>
  <si>
    <t>30500386</t>
  </si>
  <si>
    <t>10:04:25</t>
  </si>
  <si>
    <t>انتقال از خودپرداز 45101693 تجارت - بين 2 به ک 6396071217181585 ش م 169312636262 ش پ 169303</t>
  </si>
  <si>
    <t>30498910</t>
  </si>
  <si>
    <t>04:51:19</t>
  </si>
  <si>
    <t>انتقال وجه موبايلت از سپرده 9316.888.1579090.1 ش.پ 00001746580879077625 - محمود ابراهيميان</t>
  </si>
  <si>
    <t>20483930</t>
  </si>
  <si>
    <t>12:29:1</t>
  </si>
  <si>
    <t>خريد کالا و خدمات از پايانه فروش 05695906 کارت اعتباري ايران کيش از ک 6219861085062957 ش م 959061262</t>
  </si>
  <si>
    <t>40502111</t>
  </si>
  <si>
    <t>08:56:33</t>
  </si>
  <si>
    <t>خريد کالا و خدمات از پايانه فروش 12260112 پرداخت الکترونيک سامان1 از ک 6219861085062957 ش م 85060997</t>
  </si>
  <si>
    <t>30496933</t>
  </si>
  <si>
    <t>21:27:7</t>
  </si>
  <si>
    <t>خريد کالا و خدمات از پايانه فروش 12844839 پرداخت الکترونيک سامان1 از ک 6219861085062957 ش م 85063623</t>
  </si>
  <si>
    <t>40512065</t>
  </si>
  <si>
    <t>08:50:48</t>
  </si>
  <si>
    <t>خريد کالا و خدمات از پايانه فروش 31171365 پرداخت الکترونيک سامان1 از ک 6219861085062957 ش م 85060986</t>
  </si>
  <si>
    <t>30496858</t>
  </si>
  <si>
    <t>کارمزد انتقال از خودپرداز 45101693 تجارت - بين 2 از ک 6219861085062957 ش م 169312636225 ش پ 169302</t>
  </si>
  <si>
    <t>کارمزد انتقال از خودپرداز 45101693 تجارت - بين 2 از ک 6219861085062957 ش م 169312636262 ش پ 169303</t>
  </si>
  <si>
    <t>کارمزد انتقال از خودپرداز 45101693 تجارت - بين 2 از ک 6219861085062957 ش م 169312636415 ش پ 169306</t>
  </si>
  <si>
    <t>کارمزد انتقال از خودپرداز 45101693 تجارت - بين 2 از ک 6219861085062957 ش م 169312640380 ش پ 169357</t>
  </si>
  <si>
    <t>کارمزد انتقال از خودپرداز 45101693 تجارت - بين 2 از ک 6219861085062957 ش م 169312640405 ش پ 169358</t>
  </si>
  <si>
    <t>کارمزد انتقال از خودپرداز 45101693 تجارت - بين 2 از ک 6219861085062957 ش م 169312647297 ش پ 169340</t>
  </si>
  <si>
    <t>10:14:39</t>
  </si>
  <si>
    <t>کارمزد مانده حساب از پايانه فروش 13444162 پرداخت الکترونيک سامان1 از ک 6219861085062957 ش م 85061202</t>
  </si>
  <si>
    <t>40498701</t>
  </si>
  <si>
    <t>18:58:20</t>
  </si>
  <si>
    <t>کارمزد مانده حساب از پايانه فروش 13444162 پرداخت الکترونيک سامان1 از ک 6219861085062957 ش م 85062888</t>
  </si>
  <si>
    <t>40508704</t>
  </si>
  <si>
    <t>1404/02/18</t>
  </si>
  <si>
    <t>22:37:27</t>
  </si>
  <si>
    <t>انتقال از خودپرداز 00012111 سامان به ک 6219861050987337 ش م 512822011234 ش پ 011234</t>
  </si>
  <si>
    <t>40535035</t>
  </si>
  <si>
    <t>22:38:2</t>
  </si>
  <si>
    <t>انتقال از خودپرداز 00012111 سامان به ک 6219861076095867 ش م 512822011661 ش پ 011661</t>
  </si>
  <si>
    <t>40535042</t>
  </si>
  <si>
    <t>10:00:26</t>
  </si>
  <si>
    <t>انتقال از خودپرداز 45101693 تجارت - بين 2 به ک 5892101060857923 ش م 169312736023 ش پ 169347</t>
  </si>
  <si>
    <t>30519726</t>
  </si>
  <si>
    <t>09:46:15</t>
  </si>
  <si>
    <t>انتقال از خودپرداز 45101693 تجارت - بين 2 به ک 5892101643117522 ش م 169312735165 ش پ 169338</t>
  </si>
  <si>
    <t>40519321</t>
  </si>
  <si>
    <t>09:45:34</t>
  </si>
  <si>
    <t>انتقال از خودپرداز 45101693 تجارت - بين 2 به ک 6037998137441456 ش م 169312735131 ش پ 169337</t>
  </si>
  <si>
    <t>30519454</t>
  </si>
  <si>
    <t>04:47:44</t>
  </si>
  <si>
    <t>انتقال وجه موبايلت از سپرده 9316.888.1579090.1 ش.پ 00001746667064125254 - محمود ابراهيميان</t>
  </si>
  <si>
    <t>50503140</t>
  </si>
  <si>
    <t>کارمزد انتقال از خودپرداز 45101693 تجارت - بين 2 از ک 6219861085062957 ش م 169312735131 ش پ 169337</t>
  </si>
  <si>
    <t>کارمزد انتقال از خودپرداز 45101693 تجارت - بين 2 از ک 6219861085062957 ش م 169312735165 ش پ 169338</t>
  </si>
  <si>
    <t>کارمزد انتقال از خودپرداز 45101693 تجارت - بين 2 از ک 6219861085062957 ش م 169312736023 ش پ 169347</t>
  </si>
  <si>
    <t>09:55:48</t>
  </si>
  <si>
    <t>کارمزد مانده حساب از پايانه فروش 13444162 پرداخت الکترونيک سامان1 از ک 6219861085062957 ش م 85064322</t>
  </si>
  <si>
    <t>40519355</t>
  </si>
  <si>
    <t>1404/02/19</t>
  </si>
  <si>
    <t>14:44:3</t>
  </si>
  <si>
    <t>انتقال وجه موبايلت از سپرده 9316.888.1579090.1 ش.پ 00001746789243395279 - محمود ابراهيميان</t>
  </si>
  <si>
    <t>10539969</t>
  </si>
  <si>
    <t>1404/02/20</t>
  </si>
  <si>
    <t>17:36:45</t>
  </si>
  <si>
    <t>انتقال از اينترنت 00019001 شهر از ک 5047061133420162 ش م 130076718690 ش پ 718690</t>
  </si>
  <si>
    <t>30565205</t>
  </si>
  <si>
    <t>19:45:12</t>
  </si>
  <si>
    <t>انتقال از اينترنت I000MP01 تجارت - بين 2 از ک 5859831222155581 ش م 664678569082 ش پ 381773</t>
  </si>
  <si>
    <t>30567792</t>
  </si>
  <si>
    <t>19:40:38</t>
  </si>
  <si>
    <t>انتقال از خودپرداز 45101693 تجارت - بين 2 به ک 5892101643117522 ش م 169312970835 ش پ 169347</t>
  </si>
  <si>
    <t>30567740</t>
  </si>
  <si>
    <t>08:54:37</t>
  </si>
  <si>
    <t>انتقال از خودپرداز 45101693 تجارت - بين 2 به ک 6104338971567579 ش م 169312932073 ش پ 169350</t>
  </si>
  <si>
    <t>30554134</t>
  </si>
  <si>
    <t>08:16:50</t>
  </si>
  <si>
    <t>خريد کالا و خدمات از پايانه فروش 31171365 پرداخت الکترونيک سامان1 از ک 6219861085062957 ش م 85069654</t>
  </si>
  <si>
    <t>40553674</t>
  </si>
  <si>
    <t>08:27:37</t>
  </si>
  <si>
    <t>خريد کالا و خدمات از پايانه فروش 31194386 پرداخت الکترونيک سامان1 از ک 6219861085062957 ش م 85069676</t>
  </si>
  <si>
    <t>40553820</t>
  </si>
  <si>
    <t>کارمزد انتقال از خودپرداز 45101693 تجارت - بين 2 از ک 6219861085062957 ش م 169312932073 ش پ 169350</t>
  </si>
  <si>
    <t>کارمزد انتقال از خودپرداز 45101693 تجارت - بين 2 از ک 6219861085062957 ش م 169312970835 ش پ 169347</t>
  </si>
  <si>
    <t>08:57:23</t>
  </si>
  <si>
    <t>کارمزد مانده حساب از پايانه فروش 02263389 پرداخت الکترونيک سامان1 از ک 6219861085062957 ش م 85069733</t>
  </si>
  <si>
    <t>30554158</t>
  </si>
  <si>
    <t>1404/02/21</t>
  </si>
  <si>
    <t>11:11:26</t>
  </si>
  <si>
    <t>انتقال از اينترنت 06590002 صادرات از ک 6037697681149024 ش م 221111261375 ش پ 131375</t>
  </si>
  <si>
    <t>40580302</t>
  </si>
  <si>
    <t>10:08:55</t>
  </si>
  <si>
    <t>انتقال از اينترنت 17592030 ملي از ک 6037997272842619 ش م 108910107868 ش پ 966604</t>
  </si>
  <si>
    <t>40578574</t>
  </si>
  <si>
    <t>12:06:32</t>
  </si>
  <si>
    <t>انتقال از اينترنت 17592030 ملي از ک 6037997446678998 ش م 105672915654 ش پ 877098</t>
  </si>
  <si>
    <t>40581836</t>
  </si>
  <si>
    <t>09:13:18</t>
  </si>
  <si>
    <t>انتقال از خودپرداز 45101693 تجارت - بين 2 به ک 6104338971567579 ش م 169313033193 ش پ 169373</t>
  </si>
  <si>
    <t>30577056</t>
  </si>
  <si>
    <t>09:56:45</t>
  </si>
  <si>
    <t>انتقال از خودپرداز 45101693 تجارت - بين 2 به ک 6219861074936021 ش م 169313035800 ش پ 169307</t>
  </si>
  <si>
    <t>40578360</t>
  </si>
  <si>
    <t>09:12:48</t>
  </si>
  <si>
    <t>انتقال از خودپرداز 45101693 تجارت - بين 2 به ک 6362141055049986 ش م 169313033164 ش پ 169372</t>
  </si>
  <si>
    <t>40577456</t>
  </si>
  <si>
    <t>04:42:32</t>
  </si>
  <si>
    <t>انتقال وجه موبايلت از سپرده 9316.888.1579090.1 ش.پ 00001746925952661462 - محمود ابراهيميان</t>
  </si>
  <si>
    <t>20564134</t>
  </si>
  <si>
    <t>04:44:3</t>
  </si>
  <si>
    <t>انتقال وجه موبايلت از سپرده 9316.888.1579090.1 ش.پ 00001746926043473175 - محمود ابراهيميان</t>
  </si>
  <si>
    <t>20564135</t>
  </si>
  <si>
    <t>07:38:41</t>
  </si>
  <si>
    <t>انتقال وجه موبايلت از سپرده 9316.888.1579090.1 ش.پ 00001746936521951721 - محمود ابراهيميان</t>
  </si>
  <si>
    <t>10575221</t>
  </si>
  <si>
    <t>11:53:19</t>
  </si>
  <si>
    <t>خريد کالا و خدمات از پايانه فروش 50239799 پرداخت الکترونيک سامان1 از ک 6219861085062957 ش م 85073416</t>
  </si>
  <si>
    <t>40581383</t>
  </si>
  <si>
    <t>کارمزد انتقال از خودپرداز 45101693 تجارت - بين 2 از ک 6219861085062957 ش م 169313033164 ش پ 169372</t>
  </si>
  <si>
    <t>کارمزد انتقال از خودپرداز 45101693 تجارت - بين 2 از ک 6219861085062957 ش م 169313033193 ش پ 169373</t>
  </si>
  <si>
    <t>کارمزد انتقال از خودپرداز 45101693 تجارت - بين 2 از ک 6219861085062957 ش م 169313035800 ش پ 169307</t>
  </si>
  <si>
    <t>09:52:46</t>
  </si>
  <si>
    <t>کارمزد مانده حساب از پايانه فروش 13444162 پرداخت الکترونيک سامان1 از ک 6219861085062957 ش م 85073000</t>
  </si>
  <si>
    <t>40578293</t>
  </si>
  <si>
    <t>22:02:13</t>
  </si>
  <si>
    <t>کارمزد مانده حساب از پايانه فروش 13444162 پرداخت الکترونيک سامان1 از ک 6219861085062957 ش م 85075489</t>
  </si>
  <si>
    <t>30593179</t>
  </si>
  <si>
    <t>1404/02/22</t>
  </si>
  <si>
    <t>12:07:10</t>
  </si>
  <si>
    <t>انتقال از اينترنت 115      سپه از ک 5892101317227359 ش م 099793861419 ش پ 879386</t>
  </si>
  <si>
    <t>40603871</t>
  </si>
  <si>
    <t>12:18:12</t>
  </si>
  <si>
    <t>انتقال از اينترنت 17592030 ملي از ک 6037991784282307 ش م 292155447934 ش پ 709860</t>
  </si>
  <si>
    <t>40604274</t>
  </si>
  <si>
    <t>19:56:31</t>
  </si>
  <si>
    <t>انتقال از اينترنت 19050022 صادرات از ک 6037697418797186 ش م 008259900305 ش پ 846486</t>
  </si>
  <si>
    <t>40612249</t>
  </si>
  <si>
    <t>09:07:37</t>
  </si>
  <si>
    <t>انتقال از خودپرداز 45101693 تجارت - بين 2 به ک 6219861073786146 ش م 169313132854 ش پ 169369</t>
  </si>
  <si>
    <t>40599010</t>
  </si>
  <si>
    <t>17:29:59</t>
  </si>
  <si>
    <t>انتقال وجه بلو بانک از شبا IR820560611828005978503801 ش.پ 1404712844357 - عليرضا محمدي</t>
  </si>
  <si>
    <t>10606737</t>
  </si>
  <si>
    <t>10:48:55</t>
  </si>
  <si>
    <t>انتقال وجه موبايلت از سپرده 9316.817.1512735.1 ش.پ 00001747034335018639 - علي ابراهيميان</t>
  </si>
  <si>
    <t>20600256</t>
  </si>
  <si>
    <t>04:53:34</t>
  </si>
  <si>
    <t>انتقال وجه موبايلت از سپرده 9316.888.1579090.1 ش.پ 00001747013014061035 - محمود ابراهيميان</t>
  </si>
  <si>
    <t>10596349</t>
  </si>
  <si>
    <t>04:54:47</t>
  </si>
  <si>
    <t>انتقال وجه موبايلت از سپرده 9316.888.1579090.1 ش.پ 00001747013087135492 - محمود ابراهيميان</t>
  </si>
  <si>
    <t>20585728</t>
  </si>
  <si>
    <t>11:25:13</t>
  </si>
  <si>
    <t>خريد کالا و خدمات از پايانه فروش 04210746 کارت اعتباري ايران کيش از ک 6219861085062957 ش م 107461316</t>
  </si>
  <si>
    <t>40602801</t>
  </si>
  <si>
    <t>08:48:7</t>
  </si>
  <si>
    <t>خريد کالا و خدمات از پايانه فروش 12844839 پرداخت الکترونيک سامان1 از ک 6219861085062957 ش م 85075950</t>
  </si>
  <si>
    <t>40598693</t>
  </si>
  <si>
    <t>11:02:32</t>
  </si>
  <si>
    <t>خريد کالا و خدمات از پايانه فروش 14327374 پرداخت الکترونيک سامان1 از ک 6219861085062957 ش م 85076344</t>
  </si>
  <si>
    <t>40602145</t>
  </si>
  <si>
    <t>10:57:47</t>
  </si>
  <si>
    <t xml:space="preserve">خريد کالا و خدمات از پايانه فروش 30578983 پرداخت نوين آرين از ک 6219861085062957 ش م 511587639384 ش </t>
  </si>
  <si>
    <t>40602045</t>
  </si>
  <si>
    <t>08:35:48</t>
  </si>
  <si>
    <t>خريد کالا و خدمات از پايانه فروش 31171365 پرداخت الکترونيک سامان1 از ک 6219861085062957 ش م 85075926</t>
  </si>
  <si>
    <t>40598512</t>
  </si>
  <si>
    <t>کارمزد انتقال از خودپرداز 45101693 تجارت - بين 2 از ک 6219861085062957 ش م 169313132854 ش پ 169369</t>
  </si>
  <si>
    <t>08:55:43</t>
  </si>
  <si>
    <t>کارمزد مانده حساب از پايانه فروش 13444162 پرداخت الکترونيک سامان1 از ک 6219861085062957 ش م 85075965</t>
  </si>
  <si>
    <t>40598827</t>
  </si>
  <si>
    <t>18:07:31</t>
  </si>
  <si>
    <t>کارمزد مانده حساب از پايانه فروش 13444162 پرداخت الکترونيک سامان1 از ک 6219861085062957 ش م 85077581</t>
  </si>
  <si>
    <t>40609658</t>
  </si>
  <si>
    <t>22:06:22</t>
  </si>
  <si>
    <t>کارمزد مانده حساب از پايانه فروش 13444162 پرداخت الکترونيک سامان1 از ک 6219861085062957 ش م 85078621</t>
  </si>
  <si>
    <t>30614856</t>
  </si>
  <si>
    <t>1404/02/23</t>
  </si>
  <si>
    <t>08:32:14</t>
  </si>
  <si>
    <t>انتقال از اينترنت 00000035 پارسيان از ک 6221061056823190 ش م 739787952530 ش پ 282914</t>
  </si>
  <si>
    <t>40619954</t>
  </si>
  <si>
    <t>11:04:13</t>
  </si>
  <si>
    <t>انتقال از اينترنت 06590002 صادرات از ک 6037697681149024 ش م 221104122970 ش پ 132970</t>
  </si>
  <si>
    <t>40623713</t>
  </si>
  <si>
    <t>17:29:56</t>
  </si>
  <si>
    <t>انتقال از اينترنت 10002002 رفاه از ک 5894631179149984 ش م 618050684461 ش پ 626036</t>
  </si>
  <si>
    <t>40630605</t>
  </si>
  <si>
    <t>12:03:4</t>
  </si>
  <si>
    <t>انتقال از اينترنت 17592030 ملي از ک 6037991528641214 ش م 054783919378 ش پ 694401</t>
  </si>
  <si>
    <t>40625137</t>
  </si>
  <si>
    <t>22:19:34</t>
  </si>
  <si>
    <t>انتقال از خودپرداز 109936   سپه به ک 6104338971567579 ش م 099910549472 ش پ 005087</t>
  </si>
  <si>
    <t>40636463</t>
  </si>
  <si>
    <t>09:04:6</t>
  </si>
  <si>
    <t>انتقال از خودپرداز 45101693 تجارت - بين 2 به ک 5892101626109181 ش م 169313232640 ش پ 169331</t>
  </si>
  <si>
    <t>30620569</t>
  </si>
  <si>
    <t>09:05:14</t>
  </si>
  <si>
    <t>انتقال از خودپرداز 45101693 تجارت - بين 2 به ک 5892101643117522 ش م 169313232709 ش پ 169333</t>
  </si>
  <si>
    <t>40620819</t>
  </si>
  <si>
    <t>09:04:37</t>
  </si>
  <si>
    <t>انتقال از خودپرداز 45101693 تجارت - بين 2 به ک 6104338971567579 ش م 169313232672 ش پ 169332</t>
  </si>
  <si>
    <t>40620805</t>
  </si>
  <si>
    <t>18:39:52</t>
  </si>
  <si>
    <t>انتقال وجه بلو بانک از شبا IR090560611828006076828001 ش.پ 1404729267745 - مريم شمس</t>
  </si>
  <si>
    <t>10631805</t>
  </si>
  <si>
    <t>04:37:48</t>
  </si>
  <si>
    <t>انتقال وجه موبايلت از سپرده 9316.888.1579090.1 ش.پ 00001747098468886221 - محمود ابراهيميان</t>
  </si>
  <si>
    <t>50616210</t>
  </si>
  <si>
    <t>04:41:55</t>
  </si>
  <si>
    <t>انتقال وجه موبايلت از سپرده 9316.888.1579090.1 ش.پ 00001747098715209383 - محمود ابراهيميان</t>
  </si>
  <si>
    <t>20608306</t>
  </si>
  <si>
    <t>18:12:27</t>
  </si>
  <si>
    <t>انتقال وجه موبايلت به سپرده 9316.817.1512735.1 ش.پ 00001747147347734317-علي ابراهيميان</t>
  </si>
  <si>
    <t>20629921</t>
  </si>
  <si>
    <t>21:55:40</t>
  </si>
  <si>
    <t>انتقال وجه موبايلت به سپرده 9316.817.1512735.1 ش.پ 00001747160740089657-علي ابراهيميان</t>
  </si>
  <si>
    <t>50628093</t>
  </si>
  <si>
    <t>کارمزد انتقال از خودپرداز 109936   سپه از ک 6219861085062957 ش م 099910549472 ش پ 005087</t>
  </si>
  <si>
    <t>کارمزد انتقال از خودپرداز 45101693 تجارت - بين 2 از ک 6219861085062957 ش م 169313232640 ش پ 169331</t>
  </si>
  <si>
    <t>کارمزد انتقال از خودپرداز 45101693 تجارت - بين 2 از ک 6219861085062957 ش م 169313232672 ش پ 169332</t>
  </si>
  <si>
    <t>کارمزد انتقال از خودپرداز 45101693 تجارت - بين 2 از ک 6219861085062957 ش م 169313232709 ش پ 169333</t>
  </si>
  <si>
    <t>13:48:6</t>
  </si>
  <si>
    <t>کارمزد مانده حساب از پايانه فروش 13444162 پرداخت الکترونيک سامان1 از ک 6219861085062957 ش م 85080006</t>
  </si>
  <si>
    <t>40627469</t>
  </si>
  <si>
    <t>22:08:16</t>
  </si>
  <si>
    <t>کارمزد مانده حساب از پايانه فروش 13444162 پرداخت الکترونيک سامان1 از ک 6219861085062957 ش م 85081690</t>
  </si>
  <si>
    <t>30636375</t>
  </si>
  <si>
    <t>22:22:22</t>
  </si>
  <si>
    <t>کارمزد مانده حساب از پايانه فروش 13444162 پرداخت الکترونيک سامان1 از ک 6219861085062957 ش م 85081717</t>
  </si>
  <si>
    <t>40636486</t>
  </si>
  <si>
    <t>1404/02/24</t>
  </si>
  <si>
    <t>21:09:54</t>
  </si>
  <si>
    <t>انتقال از اينترنت I000MP01 تجارت - بين 2 از ک 5859831242099389 ش م 122996905844 ش پ 232762</t>
  </si>
  <si>
    <t>30657426</t>
  </si>
  <si>
    <t>20:22:18</t>
  </si>
  <si>
    <t>انتقال از اينترنت I000MP01 تجارت - بين 2 از ک 5859831809022071 ش م 254389097315 ش پ 001746</t>
  </si>
  <si>
    <t>40656082</t>
  </si>
  <si>
    <t>11:03:44</t>
  </si>
  <si>
    <t>انتقال از خودپرداز 109936   سپه به ک 5892101643117522 ش م 099933375592 ش پ 005292</t>
  </si>
  <si>
    <t>30645625</t>
  </si>
  <si>
    <t>انتقال از خودپرداز 109936   سپه به ک 6219861073786146 ش م 099933394208 ش پ 005293</t>
  </si>
  <si>
    <t>40645492</t>
  </si>
  <si>
    <t>18:30:58</t>
  </si>
  <si>
    <t>انتقال وجه بلو بانک از شبا IR040560611828005520468101 ش.پ 1404744336487 - هما رودي</t>
  </si>
  <si>
    <t>10653408</t>
  </si>
  <si>
    <t>04:39:10</t>
  </si>
  <si>
    <t>انتقال وجه موبايلت از سپرده 9316.888.1579090.1 ش.پ 00001747184950769720 - محمود ابراهيميان</t>
  </si>
  <si>
    <t>20637621</t>
  </si>
  <si>
    <t>08:02:27</t>
  </si>
  <si>
    <t>انتقال وجه موبايلت از سپرده 9316.888.1579090.1 ش.پ 00001747197147623968 - محمود ابراهيميان</t>
  </si>
  <si>
    <t>50641119</t>
  </si>
  <si>
    <t>09:02:30</t>
  </si>
  <si>
    <t>خريد کالا و خدمات از پايانه فروش 03071227 کارت اعتباري ايران کيش از ک 6219861085062957 ش م 712271339</t>
  </si>
  <si>
    <t>30642591</t>
  </si>
  <si>
    <t>خريد کالا و خدمات از پايانه فروش 31171365 پرداخت الکترونيک سامان1 از ک 6219861085062957 ش م 85082122</t>
  </si>
  <si>
    <t>40642304</t>
  </si>
  <si>
    <t>21:20:29</t>
  </si>
  <si>
    <t>خريد کالا و خدمات از پايانه فروش 45005796 تجارت الکترونيک پارسيان از ک 6219861085062957 ش م 74655460</t>
  </si>
  <si>
    <t>40657610</t>
  </si>
  <si>
    <t>کارمزد انتقال از خودپرداز 109936   سپه از ک 6219861085062957 ش م 099933375592 ش پ 005292</t>
  </si>
  <si>
    <t>کارمزد انتقال از خودپرداز 109936   سپه از ک 6219861085062957 ش م 099933394208 ش پ 005293</t>
  </si>
  <si>
    <t>12:28:35</t>
  </si>
  <si>
    <t>کارمزد مانده حساب از پايانه فروش 13444162 پرداخت الکترونيک سامان1 از ک 6219861085062957 ش م 85082842</t>
  </si>
  <si>
    <t>30647975</t>
  </si>
  <si>
    <t>1404/02/25</t>
  </si>
  <si>
    <t>18:05:54</t>
  </si>
  <si>
    <t>انتقال از اينترنت 00000200 ملت از ک 6104338641289216 ش م 162116127841 ش پ 127841</t>
  </si>
  <si>
    <t>40674379</t>
  </si>
  <si>
    <t>11:27:0</t>
  </si>
  <si>
    <t>انتقال از اينترنت 00019001 قرض الحسنه مهر از ک 6063731204953062 ش م 513511153563 ش پ 153563</t>
  </si>
  <si>
    <t>30667810</t>
  </si>
  <si>
    <t>08:42:57</t>
  </si>
  <si>
    <t>انتقال از خودپرداز 00011751 سامان به ک 6104338971567579 ش م 513508756202 ش پ 756202</t>
  </si>
  <si>
    <t>40663657</t>
  </si>
  <si>
    <t>08:41:44</t>
  </si>
  <si>
    <t>انتقال از خودپرداز 00011751 سامان به ک 6219861920369294 ش م 513508743663 ش پ 743663</t>
  </si>
  <si>
    <t>40663637</t>
  </si>
  <si>
    <t>08:42:16</t>
  </si>
  <si>
    <t>انتقال از خودپرداز 00011751 سامان به ک 6219861928532117 ش م 513508743849 ش پ 743849</t>
  </si>
  <si>
    <t>40663648</t>
  </si>
  <si>
    <t>08:43:40</t>
  </si>
  <si>
    <t>انتقال از خودپرداز 00011751 سامان به ک 6362141055049986 ش م 513508744417 ش پ 744417</t>
  </si>
  <si>
    <t>40663664</t>
  </si>
  <si>
    <t>18:55:21</t>
  </si>
  <si>
    <t>انتقال از خودپرداز 45101693 تجارت - بين 2 به ک 5892101643117522 ش م 169313468116 ش پ 169317</t>
  </si>
  <si>
    <t>40675386</t>
  </si>
  <si>
    <t>18:55:49</t>
  </si>
  <si>
    <t>انتقال از خودپرداز 45101693 تجارت - بين 2 به ک 6219861050987337 ش م 169313468145 ش پ 169318</t>
  </si>
  <si>
    <t>30675057</t>
  </si>
  <si>
    <t>04:42:29</t>
  </si>
  <si>
    <t>انتقال وجه موبايلت از سپرده 9316.888.1579090.1 ش.پ 00001747271549856249 - محمود ابراهيميان</t>
  </si>
  <si>
    <t>20651713</t>
  </si>
  <si>
    <t>04:48:9</t>
  </si>
  <si>
    <t>انتقال وجه موبايلت از سپرده 9316.888.1579090.1 ش.پ 00001747271889126636 - محمود ابراهيميان</t>
  </si>
  <si>
    <t>50656434</t>
  </si>
  <si>
    <t>18:43:34</t>
  </si>
  <si>
    <t>خريد کالا و خدمات از پايانه فروش 23162201 پرداخت الکترونيک سداد 2 از ک 6219861085062957 ش م 32714754</t>
  </si>
  <si>
    <t>40674986</t>
  </si>
  <si>
    <t>کارمزد انتقال از خودپرداز 00011751 سامان از ک 6219861085062957 ش م 513508744417 ش پ 744417</t>
  </si>
  <si>
    <t>کارمزد انتقال از خودپرداز 00011751 سامان از ک 6219861085062957 ش م 513508756202 ش پ 756202</t>
  </si>
  <si>
    <t>کارمزد انتقال از خودپرداز 45101693 تجارت - بين 2 از ک 6219861085062957 ش م 169313468116 ش پ 169317</t>
  </si>
  <si>
    <t>کارمزد انتقال از خودپرداز 45101693 تجارت - بين 2 از ک 6219861085062957 ش م 169313468145 ش پ 169318</t>
  </si>
  <si>
    <t>08:56:4</t>
  </si>
  <si>
    <t>کارمزد مانده حساب از پايانه فروش 13444162 پرداخت الکترونيک سامان1 از ک 6219861085062957 ش م 85085182</t>
  </si>
  <si>
    <t>40664016</t>
  </si>
  <si>
    <t>19:05:30</t>
  </si>
  <si>
    <t>کارمزد مانده حساب از پايانه فروش 13444162 پرداخت الکترونيک سامان1 از ک 6219861085062957 ش م 85087100</t>
  </si>
  <si>
    <t>40675576</t>
  </si>
  <si>
    <t>1404/02/26</t>
  </si>
  <si>
    <t>15:09:39</t>
  </si>
  <si>
    <t>انتقال وجه موبايلت از سپرده 9316.888.1579090.1 ش.پ 00001747395579958950 - محمود ابراهيميان</t>
  </si>
  <si>
    <t>20673570</t>
  </si>
  <si>
    <t>1404/02/27</t>
  </si>
  <si>
    <t>20:24:33</t>
  </si>
  <si>
    <t>انتقال از اينترنت 00000035 پارسيان از ک 6221061221800057 ش م 739802034430 ش پ 479921</t>
  </si>
  <si>
    <t>40713822</t>
  </si>
  <si>
    <t>20:16:24</t>
  </si>
  <si>
    <t>انتقال از اينترنت 146      سپه از ک 5892101311895185 ش م 100175389131 ش پ 204551</t>
  </si>
  <si>
    <t>30713601</t>
  </si>
  <si>
    <t>13:08:58</t>
  </si>
  <si>
    <t>انتقال از اينترنت 180      قرض الحسنه رسالت از ک 5041721008139702 ش م 027648805413 ش پ 962816</t>
  </si>
  <si>
    <t>30706042</t>
  </si>
  <si>
    <t>12:22:30</t>
  </si>
  <si>
    <t>انتقال از اينترنت I000MP01 تجارت - بين 2 از ک 5859831236990700 ش م 983353366770 ش پ 445478</t>
  </si>
  <si>
    <t>40704829</t>
  </si>
  <si>
    <t>13:55:59</t>
  </si>
  <si>
    <t>انتقال از خودپرداز 45101693 تجارت - بين 2 به ک 5892101643117522 ش م 169313650156 ش پ 169302</t>
  </si>
  <si>
    <t>30707129</t>
  </si>
  <si>
    <t>10:18:34</t>
  </si>
  <si>
    <t>انتقال از خودپرداز 45101693 تجارت - بين 2 به ک 6104338971567579 ش م 169313637108 ش پ 169322</t>
  </si>
  <si>
    <t>30701140</t>
  </si>
  <si>
    <t>09:25:1</t>
  </si>
  <si>
    <t>انتقال از خودپرداز 45101693 تجارت - بين 2 به ک 6219861074936021 ش م 169313633898 ش پ 169378</t>
  </si>
  <si>
    <t>30699733</t>
  </si>
  <si>
    <t>17:44:28</t>
  </si>
  <si>
    <t>انتقال وجه بلو بانک از شبا IR320560611828006288885301 ش.پ 1404785562197 - اميرعلي حسيني</t>
  </si>
  <si>
    <t>10709055</t>
  </si>
  <si>
    <t>17:32:54</t>
  </si>
  <si>
    <t>خريد کالا و خدمات از پايانه فروش 12844839 پرداخت الکترونيک سامان1 از ک 6219861085062957 ش م 85092260</t>
  </si>
  <si>
    <t>40709723</t>
  </si>
  <si>
    <t>08:36:40</t>
  </si>
  <si>
    <t>خريد کالا و خدمات از پايانه فروش 31171365 پرداخت الکترونيک سامان1 از ک 6219861085062957 ش م 85090710</t>
  </si>
  <si>
    <t>40698775</t>
  </si>
  <si>
    <t>کارمزد انتقال از خودپرداز 45101693 تجارت - بين 2 از ک 6219861085062957 ش م 169313633898 ش پ 169378</t>
  </si>
  <si>
    <t>کارمزد انتقال از خودپرداز 45101693 تجارت - بين 2 از ک 6219861085062957 ش م 169313637108 ش پ 169322</t>
  </si>
  <si>
    <t>کارمزد انتقال از خودپرداز 45101693 تجارت - بين 2 از ک 6219861085062957 ش م 169313650156 ش پ 169302</t>
  </si>
  <si>
    <t>10:24:32</t>
  </si>
  <si>
    <t>کارمزد مانده حساب از پايانه فروش 13444162 پرداخت الکترونيک سامان1 از ک 6219861085062957 ش م 85091015</t>
  </si>
  <si>
    <t>40701271</t>
  </si>
  <si>
    <t>17:27:29</t>
  </si>
  <si>
    <t>کارمزد مانده حساب از پايانه فروش 13444162 پرداخت الکترونيک سامان1 از ک 6219861085062957 ش م 85092239</t>
  </si>
  <si>
    <t>40709672</t>
  </si>
  <si>
    <t>1404/02/28</t>
  </si>
  <si>
    <t>10:21:19</t>
  </si>
  <si>
    <t>انتقال از اينترنت 06590002 صادرات از ک 6037697681149024 ش م 221021192604 ش پ 132604</t>
  </si>
  <si>
    <t>40723780</t>
  </si>
  <si>
    <t>13:16:34</t>
  </si>
  <si>
    <t>انتقال از اينترنت 142      سپه از ک 5892101344377961 ش م 100219963252 ش پ 405657</t>
  </si>
  <si>
    <t>40728421</t>
  </si>
  <si>
    <t>19:04:24</t>
  </si>
  <si>
    <t>انتقال از اينترنت I000MP01 تجارت - بين 2 از ک 5859831809022071 ش م 129091512080 ش پ 795942</t>
  </si>
  <si>
    <t>40733855</t>
  </si>
  <si>
    <t>09:04:26</t>
  </si>
  <si>
    <t>انتقال از خودپرداز 109936   سپه به ک 6037998246679087 ش م 100199536611 ش پ 006589</t>
  </si>
  <si>
    <t>40722341</t>
  </si>
  <si>
    <t>19:56:7</t>
  </si>
  <si>
    <t>انتقال از خودپرداز 45101693 تجارت - بين 2 به ک 5892101408887160 ش م 169313771764 ش پ 169304</t>
  </si>
  <si>
    <t>40735201</t>
  </si>
  <si>
    <t>13:26:13</t>
  </si>
  <si>
    <t>انتقال از خودپرداز 45101693 تجارت - بين 2 به ک 6104338971567579 ش م 169313748371 ش پ 169399</t>
  </si>
  <si>
    <t>40728541</t>
  </si>
  <si>
    <t>19:41:6</t>
  </si>
  <si>
    <t>انتقال از خودپرداز 45101693 تجارت - بين 2 به ک 6362141055049986 ش م 169313770864 ش پ 169300</t>
  </si>
  <si>
    <t>40734770</t>
  </si>
  <si>
    <t>04:45:9</t>
  </si>
  <si>
    <t>انتقال وجه موبايلت از سپرده 9316.888.1579090.1 ش.پ 00001747530909582476 - محمود ابراهيميان</t>
  </si>
  <si>
    <t>50697366</t>
  </si>
  <si>
    <t>04:46:24</t>
  </si>
  <si>
    <t>انتقال وجه موبايلت از سپرده 9316.888.1579090.1 ش.پ 00001747530984660048 - محمود ابراهيميان</t>
  </si>
  <si>
    <t>20713251</t>
  </si>
  <si>
    <t>09:44:38</t>
  </si>
  <si>
    <t>خريد کالا و خدمات از پايانه فروش 12844839 پرداخت الکترونيک سامان1 از ک 6219861085062957 ش م 85094052</t>
  </si>
  <si>
    <t>30723083</t>
  </si>
  <si>
    <t>19:49:23</t>
  </si>
  <si>
    <t>خريد کالا و خدمات از پايانه فروش 12844839 پرداخت الکترونيک سامان1 از ک 6219861085062957 ش م 85096031</t>
  </si>
  <si>
    <t>40734897</t>
  </si>
  <si>
    <t>کارمزد انتقال از خودپرداز 109936   سپه از ک 6219861085062957 ش م 100199536611 ش پ 006589</t>
  </si>
  <si>
    <t>کارمزد انتقال از خودپرداز 45101693 تجارت - بين 2 از ک 6219861085062957 ش م 169313748371 ش پ 169399</t>
  </si>
  <si>
    <t>کارمزد انتقال از خودپرداز 45101693 تجارت - بين 2 از ک 6219861085062957 ش م 169313770864 ش پ 169300</t>
  </si>
  <si>
    <t>کارمزد انتقال از خودپرداز 45101693 تجارت - بين 2 از ک 6219861085062957 ش م 169313771764 ش پ 169304</t>
  </si>
  <si>
    <t>19:54:19</t>
  </si>
  <si>
    <t>کارمزد مانده حساب از پايانه فروش 02263389 پرداخت الکترونيک سامان1 از ک 6219861085062957 ش م 85096060</t>
  </si>
  <si>
    <t>40734972</t>
  </si>
  <si>
    <t>13:23:38</t>
  </si>
  <si>
    <t>کارمزد مانده حساب از پايانه فروش 13444162 پرداخت الکترونيک سامان1 از ک 6219861085062957 ش م 85094827</t>
  </si>
  <si>
    <t>40728505</t>
  </si>
  <si>
    <t>1404/02/29</t>
  </si>
  <si>
    <t>10:40:46</t>
  </si>
  <si>
    <t>انتقال از اينترنت 06590002 صادرات از ک 6037697681149024 ش م 221040457593 ش پ 137593</t>
  </si>
  <si>
    <t>40746360</t>
  </si>
  <si>
    <t>20:59:29</t>
  </si>
  <si>
    <t>انتقال از اينترنت 146      سپه از ک 5892101311895185 ش م 100327296576 ش پ 061808</t>
  </si>
  <si>
    <t>30758143</t>
  </si>
  <si>
    <t>12:21:49</t>
  </si>
  <si>
    <t>انتقال از اينترنت 17592030 ملي از ک 6037997308463778 ش م 689089748705 ش پ 047207</t>
  </si>
  <si>
    <t>30749407</t>
  </si>
  <si>
    <t>12:31:25</t>
  </si>
  <si>
    <t>انتقال از خودپرداز 45101693 تجارت - بين 2 به ک 5057851012912561 ش م 169313845080 ش پ 169371</t>
  </si>
  <si>
    <t>40749707</t>
  </si>
  <si>
    <t>09:51:49</t>
  </si>
  <si>
    <t>انتقال از خودپرداز 45101693 تجارت - بين 2 به ک 5892101626109181 ش م 169313835505 ش پ 169353</t>
  </si>
  <si>
    <t>30744300</t>
  </si>
  <si>
    <t>09:52:15</t>
  </si>
  <si>
    <t>انتقال از خودپرداز 45101693 تجارت - بين 2 به ک 6037998246679087 ش م 169313835533 ش پ 169354</t>
  </si>
  <si>
    <t>40745135</t>
  </si>
  <si>
    <t>17:28:11</t>
  </si>
  <si>
    <t>انتقال از خودپرداز 45101693 تجارت - بين 2 به ک 6104338653250742 ش م 169313862888 ش پ 169316</t>
  </si>
  <si>
    <t>40753647</t>
  </si>
  <si>
    <t>12:32:3</t>
  </si>
  <si>
    <t>انتقال از خودپرداز 45101693 تجارت - بين 2 به ک 6280231511386376 ش م 169313845120 ش پ 169372</t>
  </si>
  <si>
    <t>40749725</t>
  </si>
  <si>
    <t>04:34:10</t>
  </si>
  <si>
    <t>انتقال وجه موبايلت از سپرده 9316.888.1579090.1 ش.پ 00001747616650492934 - محمود ابراهيميان</t>
  </si>
  <si>
    <t>50720735</t>
  </si>
  <si>
    <t>04:47:58</t>
  </si>
  <si>
    <t>انتقال وجه موبايلت از سپرده 9316.888.1579090.1 ش.پ 00001747617478734713 - محمود ابراهيميان</t>
  </si>
  <si>
    <t>50720736</t>
  </si>
  <si>
    <t>08:36:59</t>
  </si>
  <si>
    <t>خريد کالا و خدمات از پايانه فروش 31171365 پرداخت الکترونيک سامان1 از ک 6219861085062957 ش م 85096989</t>
  </si>
  <si>
    <t>30743264</t>
  </si>
  <si>
    <t>کارمزد انتقال از خودپرداز 45101693 تجارت - بين 2 از ک 6219861085062957 ش م 169313835505 ش پ 169353</t>
  </si>
  <si>
    <t>کارمزد انتقال از خودپرداز 45101693 تجارت - بين 2 از ک 6219861085062957 ش م 169313835533 ش پ 169354</t>
  </si>
  <si>
    <t>کارمزد انتقال از خودپرداز 45101693 تجارت - بين 2 از ک 6219861085062957 ش م 169313845080 ش پ 169371</t>
  </si>
  <si>
    <t>کارمزد انتقال از خودپرداز 45101693 تجارت - بين 2 از ک 6219861085062957 ش م 169313845120 ش پ 169372</t>
  </si>
  <si>
    <t>کارمزد انتقال از خودپرداز 45101693 تجارت - بين 2 از ک 6219861085062957 ش م 169313862888 ش پ 169316</t>
  </si>
  <si>
    <t>10:02:48</t>
  </si>
  <si>
    <t>کارمزد مانده حساب از پايانه فروش 13444162 پرداخت الکترونيک سامان1 از ک 6219861085062957 ش م 85097215</t>
  </si>
  <si>
    <t>40745352</t>
  </si>
  <si>
    <t>17:26:57</t>
  </si>
  <si>
    <t>کارمزد مانده حساب از پايانه فروش 13444162 پرداخت الکترونيک سامان1 از ک 6219861085062957 ش م 85098460</t>
  </si>
  <si>
    <t>30751951</t>
  </si>
  <si>
    <t>21:51:55</t>
  </si>
  <si>
    <t>کارمزد مانده حساب از پايانه فروش 13444162 پرداخت الکترونيک سامان1 از ک 6219861085062957 ش م 85099629</t>
  </si>
  <si>
    <t>40759111</t>
  </si>
  <si>
    <t>1404/02/30</t>
  </si>
  <si>
    <t>18:11:43</t>
  </si>
  <si>
    <t>انتقال از اينترنت 00019002 اقتصادنوين از ک 6274121182908384 ش م 999902606274 ش پ 606274</t>
  </si>
  <si>
    <t>30776167</t>
  </si>
  <si>
    <t>19:28:57</t>
  </si>
  <si>
    <t>انتقال از اينترنت 00019041 سامان از ک 6219861067532142 ش م 514019944076 ش پ 944076</t>
  </si>
  <si>
    <t>40782013</t>
  </si>
  <si>
    <t>18:04:50</t>
  </si>
  <si>
    <t>انتقال از اينترنت 10002002 رفاه از ک 5894631204873137 ش م 317987637505 ش پ 985954</t>
  </si>
  <si>
    <t>30776109</t>
  </si>
  <si>
    <t>19:52:53</t>
  </si>
  <si>
    <t>انتقال از خودپرداز 109936   سپه به ک 5892101413472149 ش م 100403902071 ش پ 008258</t>
  </si>
  <si>
    <t>30782382</t>
  </si>
  <si>
    <t>20:19:28</t>
  </si>
  <si>
    <t>انتقال از خودپرداز 109936   سپه به ک 5892101626109181 ش م 100407238098 ش پ 008301</t>
  </si>
  <si>
    <t>30782986</t>
  </si>
  <si>
    <t>20:13:19</t>
  </si>
  <si>
    <t>انتقال از خودپرداز 109936   سپه به ک 6037998149271040 ش م 100406428079 ش پ 008289</t>
  </si>
  <si>
    <t>40783354</t>
  </si>
  <si>
    <t>13:41:34</t>
  </si>
  <si>
    <t>انتقال از خودپرداز 45101693 تجارت - بين 2 به ک 6104338971567579 ش م 169313949290 ش پ 169306</t>
  </si>
  <si>
    <t>30772552</t>
  </si>
  <si>
    <t>04:54:28</t>
  </si>
  <si>
    <t>انتقال وجه موبايلت از سپرده 9316.888.1579090.1 ش.پ 00001747704268776917 - محمود ابراهيميان</t>
  </si>
  <si>
    <t>20760625</t>
  </si>
  <si>
    <t>05:00:33</t>
  </si>
  <si>
    <t>انتقال وجه موبايلت از سپرده 9316.888.1579090.1 ش.پ 00001747704633656205 - محمود ابراهيميان</t>
  </si>
  <si>
    <t>50748504</t>
  </si>
  <si>
    <t>10:22:30</t>
  </si>
  <si>
    <t>خريد کالا و خدمات از پايانه فروش 03071227 کارت اعتباري ايران کيش از ک 6219861085062957 ش م 712271399</t>
  </si>
  <si>
    <t>30767407</t>
  </si>
  <si>
    <t>کارمزد انتقال از خودپرداز 109936   سپه از ک 6219861085062957 ش م 100403902071 ش پ 008258</t>
  </si>
  <si>
    <t>کارمزد انتقال از خودپرداز 109936   سپه از ک 6219861085062957 ش م 100406428079 ش پ 008289</t>
  </si>
  <si>
    <t>کارمزد انتقال از خودپرداز 109936   سپه از ک 6219861085062957 ش م 100407238098 ش پ 008301</t>
  </si>
  <si>
    <t>کارمزد انتقال از خودپرداز 45101693 تجارت - بين 2 از ک 6219861085062957 ش م 169313949290 ش پ 169306</t>
  </si>
  <si>
    <t>19:55:48</t>
  </si>
  <si>
    <t>کارمزد مانده حساب از پايانه فروش 13444162 پرداخت الکترونيک سامان1 از ک 6219861085062957 ش م 85102262</t>
  </si>
  <si>
    <t>30782805</t>
  </si>
  <si>
    <t>1404/02/31</t>
  </si>
  <si>
    <t>20:08:47</t>
  </si>
  <si>
    <t>انتقال از اينترنت 06590002 صادرات از ک 6037691647225903 ش م 222008469049 ش پ 129049</t>
  </si>
  <si>
    <t>30805355</t>
  </si>
  <si>
    <t>10:37:3</t>
  </si>
  <si>
    <t>انتقال از اينترنت 06590002 صادرات از ک 6037697681149024 ش م 221037026742 ش پ 136742</t>
  </si>
  <si>
    <t>30794602</t>
  </si>
  <si>
    <t>12:20:17</t>
  </si>
  <si>
    <t>انتقال از اينترنت 115      سپه از ک 5892101396907889 ش م 100460135664 ش پ 050999</t>
  </si>
  <si>
    <t>40796109</t>
  </si>
  <si>
    <t>13:39:7</t>
  </si>
  <si>
    <t>انتقال از خودپرداز 45101693 تجارت - بين 2 به ک 5892101643117522 ش م 169314049139 ش پ 169303</t>
  </si>
  <si>
    <t>40798247</t>
  </si>
  <si>
    <t>13:40:20</t>
  </si>
  <si>
    <t>انتقال از خودپرداز 45101693 تجارت - بين 2 به ک 6274121208660688 ش م 169314049211 ش پ 169304</t>
  </si>
  <si>
    <t>30798593</t>
  </si>
  <si>
    <t>22:10:3</t>
  </si>
  <si>
    <t>انتقال از خودپرداز 45101693 تجارت - بين 2 به ک 6362141055049986 ش م 169314079801 ش پ 169386</t>
  </si>
  <si>
    <t>30808270</t>
  </si>
  <si>
    <t>04:40:34</t>
  </si>
  <si>
    <t>انتقال وجه موبايلت از سپرده 9316.888.1579090.1 ش.پ 00001747789834811152 - محمود ابراهيميان</t>
  </si>
  <si>
    <t>20783695</t>
  </si>
  <si>
    <t>04:53:43</t>
  </si>
  <si>
    <t>انتقال وجه موبايلت از سپرده 9316.888.1579090.1 ش.پ 00001747790623018668 - محمود ابراهيميان</t>
  </si>
  <si>
    <t>20783696</t>
  </si>
  <si>
    <t>08:47:38</t>
  </si>
  <si>
    <t>خريد کالا و خدمات از پايانه فروش 03071227 کارت اعتباري ايران کيش از ک 6219861085062957 ش م 712271400</t>
  </si>
  <si>
    <t>30791687</t>
  </si>
  <si>
    <t>08:25:43</t>
  </si>
  <si>
    <t>خريد کالا و خدمات از پايانه فروش 31171365 پرداخت الکترونيک سامان1 از ک 6219861085062957 ش م 85103219</t>
  </si>
  <si>
    <t>40790953</t>
  </si>
  <si>
    <t>08:40:2</t>
  </si>
  <si>
    <t>خريد کالا و خدمات از پايانه فروش 92158460 تجارت الکترونيک پارسيان از ک 6219861085062957 ش م 80967249</t>
  </si>
  <si>
    <t>30791379</t>
  </si>
  <si>
    <t>کارمزد انتقال از خودپرداز 45101693 تجارت - بين 2 از ک 6219861085062957 ش م 169314049139 ش پ 169303</t>
  </si>
  <si>
    <t>کارمزد انتقال از خودپرداز 45101693 تجارت - بين 2 از ک 6219861085062957 ش م 169314049211 ش پ 169304</t>
  </si>
  <si>
    <t>کارمزد انتقال از خودپرداز 45101693 تجارت - بين 2 از ک 6219861085062957 ش م 169314079801 ش پ 169386</t>
  </si>
  <si>
    <t>13:18:25</t>
  </si>
  <si>
    <t>کارمزد مانده حساب از پايانه فروش 13444162 پرداخت الکترونيک سامان1 از ک 6219861085062957 ش م 85104258</t>
  </si>
  <si>
    <t>30798042</t>
  </si>
  <si>
    <t>22:08:18</t>
  </si>
  <si>
    <t>کارمزد مانده حساب از پايانه فروش 13444162 پرداخت الکترونيک سامان1 از ک 6219861085062957 ش م 85106150</t>
  </si>
  <si>
    <t>30808252</t>
  </si>
  <si>
    <t>مجموع</t>
  </si>
  <si>
    <t>5029081028402846</t>
  </si>
  <si>
    <t>جواد ابراهيميان</t>
  </si>
  <si>
    <t>توسعه تعاون</t>
  </si>
  <si>
    <t>5041721008139702</t>
  </si>
  <si>
    <t>زهرا سيدآبادي</t>
  </si>
  <si>
    <t>قرض الحسنه رسالت</t>
  </si>
  <si>
    <t>5047061133420162</t>
  </si>
  <si>
    <t>مصطفي پيراني</t>
  </si>
  <si>
    <t>شهر</t>
  </si>
  <si>
    <t>5057851012912561</t>
  </si>
  <si>
    <t>گلثومه برمهاني</t>
  </si>
  <si>
    <t>ايران زمين</t>
  </si>
  <si>
    <t>5859831183919207</t>
  </si>
  <si>
    <t>سعيد جلال آبادي</t>
  </si>
  <si>
    <t>تجارت - بين 2</t>
  </si>
  <si>
    <t>5859831188404023</t>
  </si>
  <si>
    <t>صالحه عارفخاني</t>
  </si>
  <si>
    <t>5859831222155581</t>
  </si>
  <si>
    <t>مبينا جلال آبادي</t>
  </si>
  <si>
    <t>تجارت - بين 3</t>
  </si>
  <si>
    <t>5859831236990700</t>
  </si>
  <si>
    <t>مهشيد بوژمهراني</t>
  </si>
  <si>
    <t>تجارت - بين 4</t>
  </si>
  <si>
    <t>5859831242099389</t>
  </si>
  <si>
    <t>علي يوسفيان</t>
  </si>
  <si>
    <t>تجارت - بين 5</t>
  </si>
  <si>
    <t>5859831809022071</t>
  </si>
  <si>
    <t>جواد پيرکماجي</t>
  </si>
  <si>
    <t>تجارت - بين 6</t>
  </si>
  <si>
    <t>5892101008944130</t>
  </si>
  <si>
    <t>قنبر بلوکي</t>
  </si>
  <si>
    <t>سپه</t>
  </si>
  <si>
    <t>5892101060857923</t>
  </si>
  <si>
    <t>حسين کوه ميشي</t>
  </si>
  <si>
    <t>5892101063187187</t>
  </si>
  <si>
    <t>مصطفي اسحقي</t>
  </si>
  <si>
    <t>5892101155796150</t>
  </si>
  <si>
    <t>سمانه همتي فرد</t>
  </si>
  <si>
    <t>5892101233211875</t>
  </si>
  <si>
    <t>الهام آخوندان</t>
  </si>
  <si>
    <t>5892101311895185</t>
  </si>
  <si>
    <t>محمد سيدآبادي</t>
  </si>
  <si>
    <t>5892101317227359</t>
  </si>
  <si>
    <t>محمدرضا جهانديده</t>
  </si>
  <si>
    <t>5892101344377961</t>
  </si>
  <si>
    <t>سيديحيي حامدحيدري</t>
  </si>
  <si>
    <t>5892101396907889</t>
  </si>
  <si>
    <t>5892101408887160</t>
  </si>
  <si>
    <t>فرشته سيدآبادي</t>
  </si>
  <si>
    <t>5892101413472149</t>
  </si>
  <si>
    <t>محسن واسعي</t>
  </si>
  <si>
    <t>5892101600739268</t>
  </si>
  <si>
    <t>5892101626109181</t>
  </si>
  <si>
    <t>مجيد شجاع پور</t>
  </si>
  <si>
    <t>5892101632834145</t>
  </si>
  <si>
    <t>علي بلوچي</t>
  </si>
  <si>
    <t>5892101634724955</t>
  </si>
  <si>
    <t>محمدمهدي روديان</t>
  </si>
  <si>
    <t>5892101634813113</t>
  </si>
  <si>
    <t>مهدي خاني علي آبادي</t>
  </si>
  <si>
    <t>5892101642705822</t>
  </si>
  <si>
    <t>حسن برجي</t>
  </si>
  <si>
    <t>5892101643117522</t>
  </si>
  <si>
    <t>محمد کريمي</t>
  </si>
  <si>
    <t>5894631179149984</t>
  </si>
  <si>
    <t>معصومه دماوندي</t>
  </si>
  <si>
    <t>رفاه</t>
  </si>
  <si>
    <t>5894631204873137</t>
  </si>
  <si>
    <t>فاطمه حسين آبادي</t>
  </si>
  <si>
    <t>6037691647225903</t>
  </si>
  <si>
    <t>احمد زارعي</t>
  </si>
  <si>
    <t>صادرات</t>
  </si>
  <si>
    <t>6037697418797186</t>
  </si>
  <si>
    <t>اميد قره بيات</t>
  </si>
  <si>
    <t>6037697600840968</t>
  </si>
  <si>
    <t>محمد کوچکي</t>
  </si>
  <si>
    <t>6037697681149024</t>
  </si>
  <si>
    <t>حسين ميربلوک</t>
  </si>
  <si>
    <t>6037701513346939</t>
  </si>
  <si>
    <t>زهرا قندهاري</t>
  </si>
  <si>
    <t>کشاورزی</t>
  </si>
  <si>
    <t>6037701613254967</t>
  </si>
  <si>
    <t>حسين دستجردي</t>
  </si>
  <si>
    <t>6037991528641214</t>
  </si>
  <si>
    <t>زهرا قدمگاهي</t>
  </si>
  <si>
    <t>ملی</t>
  </si>
  <si>
    <t>6037991713397994</t>
  </si>
  <si>
    <t>سعيد نيرآبادي</t>
  </si>
  <si>
    <t>6037991780004135</t>
  </si>
  <si>
    <t>علي غرويان</t>
  </si>
  <si>
    <t>6037991784282307</t>
  </si>
  <si>
    <t>محمد نقدبيشي</t>
  </si>
  <si>
    <t>6037991933743951</t>
  </si>
  <si>
    <t>مهدي نعمتزاده</t>
  </si>
  <si>
    <t>6037997272842619</t>
  </si>
  <si>
    <t>فرزانه مهراسا</t>
  </si>
  <si>
    <t>6037997308463778</t>
  </si>
  <si>
    <t>فاطمه سليماني</t>
  </si>
  <si>
    <t>6037997417144129</t>
  </si>
  <si>
    <t>مهناز شوروزي</t>
  </si>
  <si>
    <t>6037997446678998</t>
  </si>
  <si>
    <t>ابوالفضل فروتن</t>
  </si>
  <si>
    <t>6037998137441456</t>
  </si>
  <si>
    <t>محمد نجفيزاده</t>
  </si>
  <si>
    <t>6037998149271040</t>
  </si>
  <si>
    <t>زهرا اردمه</t>
  </si>
  <si>
    <t>6037998153675680</t>
  </si>
  <si>
    <t>امير آسيابي</t>
  </si>
  <si>
    <t>6037998246679087</t>
  </si>
  <si>
    <t>مريم گندمکار</t>
  </si>
  <si>
    <t>6037998273831502</t>
  </si>
  <si>
    <t>فايزه اديبان</t>
  </si>
  <si>
    <t>6063731012075140</t>
  </si>
  <si>
    <t>عباس شفيعي</t>
  </si>
  <si>
    <t>قرض الحسنه مهر</t>
  </si>
  <si>
    <t>6063731197381008</t>
  </si>
  <si>
    <t>مريم دامنجاني</t>
  </si>
  <si>
    <t>6063731202378833</t>
  </si>
  <si>
    <t>ولي اله سلامي</t>
  </si>
  <si>
    <t>6063731204953062</t>
  </si>
  <si>
    <t>علي پورسعيدي</t>
  </si>
  <si>
    <t>6104337886219300</t>
  </si>
  <si>
    <t>محسن عاملي</t>
  </si>
  <si>
    <t>ملت</t>
  </si>
  <si>
    <t>6104337933702571</t>
  </si>
  <si>
    <t>معصومه متقي پور</t>
  </si>
  <si>
    <t>6104338641289216</t>
  </si>
  <si>
    <t>اکرم بي پروا</t>
  </si>
  <si>
    <t>6104338653250742</t>
  </si>
  <si>
    <t>عليرضا سيد ابادي</t>
  </si>
  <si>
    <t>6104338930122953</t>
  </si>
  <si>
    <t>حسين شرفي</t>
  </si>
  <si>
    <t>6104338971567579</t>
  </si>
  <si>
    <t>محمد خانگاه</t>
  </si>
  <si>
    <t>6104338974821924</t>
  </si>
  <si>
    <t>امير حسين توزنده جاني</t>
  </si>
  <si>
    <t>6219861050987337</t>
  </si>
  <si>
    <t>مهدي ابراهيميان</t>
  </si>
  <si>
    <t>سامان</t>
  </si>
  <si>
    <t>6219861067456409</t>
  </si>
  <si>
    <t>بنت الهدي سرچاهي</t>
  </si>
  <si>
    <t>6219861067532142</t>
  </si>
  <si>
    <t>بهمن شايان آذر</t>
  </si>
  <si>
    <t>6219861073786146</t>
  </si>
  <si>
    <t>نيره منتظري</t>
  </si>
  <si>
    <t>6219861074936021</t>
  </si>
  <si>
    <t>حجت عابدي</t>
  </si>
  <si>
    <t>6219861076095867</t>
  </si>
  <si>
    <t>سيدمحمدعلي حامدحيدري</t>
  </si>
  <si>
    <t>6219861085062957</t>
  </si>
  <si>
    <t>علي ابراهيميان</t>
  </si>
  <si>
    <t>6219861920369294</t>
  </si>
  <si>
    <t>ابراهيم اسلام پناه</t>
  </si>
  <si>
    <t>6219861928532117</t>
  </si>
  <si>
    <t>6221061056823190</t>
  </si>
  <si>
    <t>علي پرنيان</t>
  </si>
  <si>
    <t>پارسیان</t>
  </si>
  <si>
    <t>6221061221800057</t>
  </si>
  <si>
    <t>شايسته عسکرآبادي</t>
  </si>
  <si>
    <t>پارسيان</t>
  </si>
  <si>
    <t>6274121182908384</t>
  </si>
  <si>
    <t>الهه سادات حسيني</t>
  </si>
  <si>
    <t>اقتصادنوين</t>
  </si>
  <si>
    <t>6274121208660688</t>
  </si>
  <si>
    <t>محسن خانگاه</t>
  </si>
  <si>
    <t>6277601362952630</t>
  </si>
  <si>
    <t>الهه احمدابادي</t>
  </si>
  <si>
    <t>پست بانک</t>
  </si>
  <si>
    <t>6280231511386376</t>
  </si>
  <si>
    <t>طاهره برمهاني</t>
  </si>
  <si>
    <t>مسکن</t>
  </si>
  <si>
    <t>6362141055049986</t>
  </si>
  <si>
    <t>محمد مومني</t>
  </si>
  <si>
    <t>آینده</t>
  </si>
  <si>
    <t>6362141813482370</t>
  </si>
  <si>
    <t>حميد گندمکار</t>
  </si>
  <si>
    <t>6396071217181585</t>
  </si>
  <si>
    <t>الهام اسلامي</t>
  </si>
  <si>
    <t>سرمایه</t>
  </si>
  <si>
    <t>شملره کارت</t>
  </si>
  <si>
    <t>1404/03/31</t>
  </si>
  <si>
    <t>انتقال وجه موبايلت به سپرده 9316.888.1512735.1 ش.پ 00001750530324884276-علي ابراهيميان</t>
  </si>
  <si>
    <t>انتقال وجه موبايلت از سپرده 9316.888.1512735.1 ش.پ 00001750530283290697 - علي ابراهيميان</t>
  </si>
  <si>
    <t>کارمزد انتقال از اينترنت 00019041 سامان از ک 6219861085062957 ش م 517221926696 ش پ 926696</t>
  </si>
  <si>
    <t>انتقال از اينترنت 00019041 سامان به ک 5859831103338371 ش م 517221926696 ش پ 926696</t>
  </si>
  <si>
    <t>انتقال وجه بلو بانک از شبا IR610560611828005247747501 ش.پ 14041309276120 - آذر ديدار</t>
  </si>
  <si>
    <t>انتقال از اينترنت 00000200 ملت از ک 6104337271629006 ش م 163610688096 ش پ 688096</t>
  </si>
  <si>
    <t>انتقال از اينترنت 00000035 پارسيان از ک 6221061237862596 ش م 748052860548 ش پ 804392</t>
  </si>
  <si>
    <t>انتقال از اينترنت 00000035 پارسيان از ک 6221061237862596 ش م 748052851002 ش پ 801676</t>
  </si>
  <si>
    <t>کارمزد مانده حساب از پايانه فروش 13444162 پرداخت الکترونيک سامان1 از ک 6219861085062957 ش م 85195748</t>
  </si>
  <si>
    <t>انتقال از اينترنت 115      قرض الحسنه رسالت از ک 5041721009664401 ش م 028180986454 ش پ 199144</t>
  </si>
  <si>
    <t xml:space="preserve">خريد کالا و خدمات از پايانه فروش 31143271 پرداخت نوين آرين از ک 6219861085062957 ش م 512013426656 ش </t>
  </si>
  <si>
    <t>کارمزد مانده حساب از پايانه فروش 13444162 پرداخت الکترونيک سامان1 از ک 6219861085062957 ش م 85195394</t>
  </si>
  <si>
    <t>کارمزد انتقال از خودپرداز 00360302 صادرات از ک 6219861085062957 ش م 083F67131737 ش پ 211166</t>
  </si>
  <si>
    <t>انتقال از خودپرداز 00360302 صادرات به ک 6104338738476148 ش م 083F67131737 ش پ 211166</t>
  </si>
  <si>
    <t>کارمزد انتقال از خودپرداز 00360302 صادرات از ک 6219861085062957 ش م 083F67131705 ش پ 211165</t>
  </si>
  <si>
    <t>انتقال از خودپرداز 00360302 صادرات به ک 5894631178646402 ش م 083F67131705 ش پ 211165</t>
  </si>
  <si>
    <t>خريد کالا و خدمات از پايانه فروش 33562615 پرداخت الکترونيک سداد 2 از ک 6219861085062957 ش م 32761450</t>
  </si>
  <si>
    <t>1404/03/30</t>
  </si>
  <si>
    <t>انتقال وجه موبايلت به سپرده 9316.888.1512735.1 ش.پ 00001750433895463699-علي ابراهيميان</t>
  </si>
  <si>
    <t>انتقال وجه موبايلت از سپرده 9316.888.1579090.1 ش.پ 00001750419988143196 - محمود ابراهيميان</t>
  </si>
  <si>
    <t>1404/03/29</t>
  </si>
  <si>
    <t>کارمزد مانده حساب از پايانه فروش 13444162 پرداخت الکترونيک سامان1 از ک 6219861085062957 ش م 85192584</t>
  </si>
  <si>
    <t>انتقال وجه بلو بانک از شبا IR970560611828005388531101 ش.پ 14041285304877 - مائده درهمي گبرآباد</t>
  </si>
  <si>
    <t>انتقال از اينترنت I000MP01 تجارت - بين 2 از ک 5859831156759317 ش م 831106784896 ش پ 695642</t>
  </si>
  <si>
    <t>انتقال از اينترنت 115      قرض الحسنه رسالت از ک 5041721234060755 ش م 028162402839 ش پ 697197</t>
  </si>
  <si>
    <t>انتقال از اينترنت 115      قرض الحسنه رسالت از ک 5041721234060755 ش م 028162184148 ش پ 662501</t>
  </si>
  <si>
    <t>انتقال از اينترنت 06590002 صادرات از ک 6037697681149024 ش م 221239418644 ش پ 138644</t>
  </si>
  <si>
    <t>انتقال از اينترنت 19050022 صادرات از ک 6037697651562784 ش م 008455246840 ش پ 193026</t>
  </si>
  <si>
    <t>انتقال از اينترنت 00019041 سامان از ک 6219861067532142 ش م 517010161009 ش پ 161009</t>
  </si>
  <si>
    <t>کارمزد مانده حساب از پايانه فروش 13444162 پرداخت الکترونيک سامان1 از ک 6219861085062957 ش م 85190288</t>
  </si>
  <si>
    <t>انتقال وجه موبايلت به سپرده 9316.888.1512735.1 ش.پ 00001750313717189432-علي ابراهيميان</t>
  </si>
  <si>
    <t>کارمزد انتقال از پايانه 00361301 صادرات از ک 6219861085062957 ش م 203916933820 ش پ 333820</t>
  </si>
  <si>
    <t>انتقال از پايانه 00361301 صادرات به ک 6104338738476148 ش م 203916933820 ش پ 333820</t>
  </si>
  <si>
    <t>کارمزد انتقال از خودپرداز 00360301 صادرات از ک 6219861085062957 ش م 083E66933209 ش پ 211085</t>
  </si>
  <si>
    <t>انتقال از خودپرداز 00360301 صادرات به ک 6362141055049986 ش م 083E66933209 ش پ 211085</t>
  </si>
  <si>
    <t>کارمزد انتقال از خودپرداز 00360301 صادرات از ک 6219861085062957 ش م 083E66933030 ش پ 211083</t>
  </si>
  <si>
    <t>انتقال از خودپرداز 00360301 صادرات به ک 6274121208660688 ش م 083E66933030 ش پ 211083</t>
  </si>
  <si>
    <t>کارمزد انتقال از خودپرداز 00360301 صادرات از ک 6219861085062957 ش م 083E66932954 ش پ 211082</t>
  </si>
  <si>
    <t>انتقال از خودپرداز 00360301 صادرات به ک 6104338738476148 ش م 083E66932954 ش پ 211082</t>
  </si>
  <si>
    <t>انتقال وجه موبايلت از سپرده 9316.888.1579090.1 ش.پ 00001750294630712654 - محمود ابراهيميان</t>
  </si>
  <si>
    <t>1404/03/28</t>
  </si>
  <si>
    <t>انتقال از اينترنت 17592030 ملي از ک 6037998249645275 ش م 203589669408 ش پ 044842</t>
  </si>
  <si>
    <t>انتقال از اينترنت 00019041 سامان از ک 6219861085568839 ش م 516919521499 ش پ 521499</t>
  </si>
  <si>
    <t>انتقال از اينترنت 115      قرض الحسنه رسالت از ک 5041721204017504 ش م 028146342649 ش پ 587117</t>
  </si>
  <si>
    <t>انتقال از اينترنت 17592030 ملي از ک 6037997388523483 ش م 422612468825 ش پ 198895</t>
  </si>
  <si>
    <t>انتقال از اينترنت I000MP01 تجارت - بين 2 از ک 5859831105862774 ش م 706459211764 ش پ 632169</t>
  </si>
  <si>
    <t>خريد کالا و خدمات از پايانه فروش 13208247 پرداخت الکترونيک سامان1 از ک 6219861085062957 ش م 85187780</t>
  </si>
  <si>
    <t>خريد کالا و خدمات از اينترنت 14930422 پرداخت الکترونيک سامان1 از ک 6219861085062957 ش م 223688309756</t>
  </si>
  <si>
    <t>انتقال وجه موبايلت از سپرده 9316.888.1512735.1 ش.پ 00001750235983059225 - علي ابراهيميان</t>
  </si>
  <si>
    <t>انتقال از اينترنت 07770023 کشاورزي از ک 6037701177600084 ش م 061810822582 ش پ 822582</t>
  </si>
  <si>
    <t>کارمزد انتقال از خودپرداز 00360302 صادرات از ک 6219861085062957 ش م 083F66836634 ش پ 211172</t>
  </si>
  <si>
    <t>انتقال از خودپرداز 00360302 صادرات به ک 6274121208660688 ش م 083F66836634 ش پ 211172</t>
  </si>
  <si>
    <t>کارمزد انتقال از خودپرداز 00360302 صادرات از ک 6219861085062957 ش م 083F66836598 ش پ 211171</t>
  </si>
  <si>
    <t>انتقال از خودپرداز 00360302 صادرات به ک 6104338738476148 ش م 083F66836598 ش پ 211171</t>
  </si>
  <si>
    <t>کارمزد مانده حساب از پايانه فروش 13444162 پرداخت الکترونيک سامان1 از ک 6219861085062957 ش م 85187165</t>
  </si>
  <si>
    <t>انتقال وجه موبايلت از سپرده 9316.888.1579090.1 ش.پ 00001750208306729325 - محمود ابراهيميان</t>
  </si>
  <si>
    <t>1404/03/27</t>
  </si>
  <si>
    <t>کارمزد مانده حساب از پايانه فروش 13444162 پرداخت الکترونيک سامان1 از ک 6219861085062957 ش م 85186614</t>
  </si>
  <si>
    <t>کارمزد انتقال از خودپرداز 00360301 صادرات از ک 6219861085062957 ش م 083E66747391 ش پ 211035</t>
  </si>
  <si>
    <t>انتقال از خودپرداز 00360301 صادرات به ک 6104338738476148 ش م 083E66747391 ش پ 211035</t>
  </si>
  <si>
    <t>کارمزد انتقال از خودپرداز 00360301 صادرات از ک 6219861085062957 ش م 083E66747339 ش پ 211034</t>
  </si>
  <si>
    <t>انتقال از خودپرداز 00360301 صادرات به ک 5859831836324235 ش م 083E66747339 ش پ 211034</t>
  </si>
  <si>
    <t>کارمزد انتقال از خودپرداز 00360302 صادرات از ک 6219861085062957 ش م 083F66746821 ش پ 211187</t>
  </si>
  <si>
    <t>انتقال از خودپرداز 00360302 صادرات به ک 6037998137441456 ش م 083F66746821 ش پ 211187</t>
  </si>
  <si>
    <t>انتقال وجه بلو بانک از شبا IR090560611828005414909701 ش.پ 14041250508081 - پوريا مظفري</t>
  </si>
  <si>
    <t>کارمزد مانده حساب از پايانه فروش 13444162 پرداخت الکترونيک سامان1 از ک 6219861085062957 ش م 85184427</t>
  </si>
  <si>
    <t>خريد کالا و خدمات از پايانه فروش 06139820 آسان پرداخت پرشين از ک 6219861085062957 ش م 064018102313 ش</t>
  </si>
  <si>
    <t>خريد کالا و خدمات از پايانه فروش 13208246 پرداخت الکترونيک سامان1 از ک 6219861085062957 ش م 85184070</t>
  </si>
  <si>
    <t>خريد کالا و خدمات از پايانه فروش 31171365 پرداخت الکترونيک سامان1 از ک 6219861085062957 ش م 85183912</t>
  </si>
  <si>
    <t>انتقال وجه موبايلت از سپرده 9316.888.1579090.1 ش.پ 00001750122811310941 - محمود ابراهيميان</t>
  </si>
  <si>
    <t>1404/03/26</t>
  </si>
  <si>
    <t>کارمزد مانده حساب از پايانه فروش 13444162 پرداخت الکترونيک سامان1 از ک 6219861085062957 ش م 85183431</t>
  </si>
  <si>
    <t>کارمزد مانده حساب از پايانه فروش 13444162 پرداخت الکترونيک سامان1 از ک 6219861085062957 ش م 85182813</t>
  </si>
  <si>
    <t>انتقال از اينترنت I000MP01 تجارت - بين 2 از ک 5859831221037343 ش م 362658344926 ش پ 283958</t>
  </si>
  <si>
    <t>انتقال از اينترنت 17592030 ملي از ک 6037998122288409 ش م 670570454219 ش پ 370646</t>
  </si>
  <si>
    <t>انتقال از اينترنت 06590002 صادرات از ک 6037697681149024 ش م 221115480026 ش پ 130026</t>
  </si>
  <si>
    <t>کارمزد مانده حساب از پايانه فروش 13444162 پرداخت الکترونيک سامان1 از ک 6219861085062957 ش م 85180919</t>
  </si>
  <si>
    <t>خريد کالا و خدمات از پايانه فروش 06475498 به پرداخت ملت از ک 6219861085062957 ش م 310872850918 ش پ 8</t>
  </si>
  <si>
    <t>کارمزد مانده حساب از پايانه فروش 13444162 پرداخت الکترونيک سامان1 از ک 6219861085062957 ش م 85180824</t>
  </si>
  <si>
    <t>کارمزد انتقال از خودپرداز 00011751 سامان از ک 6219861085062957 ش م 516708411660 ش پ 411660</t>
  </si>
  <si>
    <t>انتقال از خودپرداز 00011751 سامان به ک 6280238033262159 ش م 516708411660 ش پ 411660</t>
  </si>
  <si>
    <t>انتقال از خودپرداز 00011751 سامان به ک 6219861074936021 ش م 516708409863 ش پ 409863</t>
  </si>
  <si>
    <t>کارمزد انتقال از خودپرداز 00011751 سامان از ک 6219861085062957 ش م 516708409544 ش پ 409544</t>
  </si>
  <si>
    <t>انتقال از خودپرداز 00011751 سامان به ک 6037997547989427 ش م 516708409544 ش پ 409544</t>
  </si>
  <si>
    <t>انتقال وجه موبايلت از سپرده 9316.888.1579090.1 ش.پ 00001750036370836647 - محمود ابراهيميان</t>
  </si>
  <si>
    <t>انتقال وجه موبايلت از سپرده 9316.888.1579090.1 ش.پ 00001750036088561573 - محمود ابراهيميان</t>
  </si>
  <si>
    <t>1404/03/25</t>
  </si>
  <si>
    <t>کارمزد انتقال از خودپرداز 45101693 تجارت - بين 2 از ک 6219861085062957 ش م 169316576826 ش پ 169353</t>
  </si>
  <si>
    <t>انتقال از خودپرداز 45101693 تجارت - بين 2 به ک 6362141055049986 ش م 169316576826 ش پ 169353</t>
  </si>
  <si>
    <t>کارمزد مانده حساب از پايانه فروش 13444162 پرداخت الکترونيک سامان1 از ک 6219861085062957 ش م 85180226</t>
  </si>
  <si>
    <t>انتقال از اينترنت 06590002 صادرات از ک 6037697681149024 ش م 221136411514 ش پ 131514</t>
  </si>
  <si>
    <t>کارمزد انتقال از خودپرداز 109936   سپه از ک 6219861085062957 ش م 102278360960 ش پ 000315</t>
  </si>
  <si>
    <t>انتقال از خودپرداز 109936   سپه به ک 5892101626109181 ش م 102278360960 ش پ 000315</t>
  </si>
  <si>
    <t>کارمزد انتقال از خودپرداز 109936   سپه از ک 6219861085062957 ش م 102278515549 ش پ 000313</t>
  </si>
  <si>
    <t>انتقال از خودپرداز 109936   سپه به ک 5892101643117522 ش م 102278515549 ش پ 000313</t>
  </si>
  <si>
    <t>خريد کالا و خدمات از پايانه فروش 45042342 تجارت الکترونيک پارسيان از ک 6219861085062957 ش م 74684360</t>
  </si>
  <si>
    <t>انتقال وجه موبايلت از سپرده 9316.888.1579090.1 ش.پ 00001749967304259171 - محمود ابراهيميان</t>
  </si>
  <si>
    <t>خريد کالا و خدمات از پايانه فروش 06475498 به پرداخت ملت از ک 6219861085062957 ش م 310774378571 ش پ 3</t>
  </si>
  <si>
    <t>کارمزد مانده حساب از پايانه فروش 06475498 به پرداخت ملت از ک 6219861085062957 ش م 310774317347 ش پ 3</t>
  </si>
  <si>
    <t>خريد کالا و خدمات از پايانه فروش 31171365 پرداخت الکترونيک سامان1 از ک 6219861085062957 ش م 85177848</t>
  </si>
  <si>
    <t>انتقال وجه موبايلت از سپرده 9316.888.1579090.1 ش.پ 00001749950718638061 - محمود ابراهيميان</t>
  </si>
  <si>
    <t>1404/03/24</t>
  </si>
  <si>
    <t>کارمزد انتقال از خودپرداز 45101693 تجارت - بين 2 از ک 6219861085062957 ش م 169316465029 ش پ 169364</t>
  </si>
  <si>
    <t>انتقال از خودپرداز 45101693 تجارت - بين 2 به ک 6274121208660688 ش م 169316465029 ش پ 169364</t>
  </si>
  <si>
    <t>کارمزد مانده حساب از پايانه فروش 13444162 پرداخت الکترونيک سامان1 از ک 6219861085062957 ش م 85176519</t>
  </si>
  <si>
    <t>کارمزد انتقال از اينترنت 00019041 سامان از ک 6219861085062957 ش م 516510154349 ش پ 154349</t>
  </si>
  <si>
    <t>انتقال از اينترنت 00019041 سامان به ک 5029081028402846 ش م 516510154349 ش پ 154349</t>
  </si>
  <si>
    <t>1404/03/23</t>
  </si>
  <si>
    <t>انتقال وجه موبايلت از سپرده 9316.888.1579090.1 ش.پ 00001749815924878804 - محمود ابراهيميان</t>
  </si>
  <si>
    <t>1404/03/22</t>
  </si>
  <si>
    <t>کارمزد مانده حساب از پايانه فروش 13444162 پرداخت الکترونيک سامان1 از ک 6219861085062957 ش م 85172607</t>
  </si>
  <si>
    <t>انتقال از اينترنت 00000200 ملت از ک 6104338661506499 ش م 163254034295 ش پ 034295</t>
  </si>
  <si>
    <t>خريد کالا و خدمات از پايانه فروش 12547982 پرداخت الکترونيک سامان1 از ک 6219861085062957 ش م 85170131</t>
  </si>
  <si>
    <t>کارمزد انتقال از خودپرداز 45101693 تجارت - بين 2 از ک 6219861085062957 ش م 169316233727 ش پ 169385</t>
  </si>
  <si>
    <t>انتقال از خودپرداز 45101693 تجارت - بين 2 به ک 5892101643117522 ش م 169316233727 ش پ 169385</t>
  </si>
  <si>
    <t>پرداخت قبوض از اينترنت 10000006 سامان از ک 6219861085062957 ش م 838431493446 ش پ 375608</t>
  </si>
  <si>
    <t>انتقال وجه موبايلت از سپرده 9316.800.1512735.4 ش.پ 00001749706075655277 - علي ابراهيميان</t>
  </si>
  <si>
    <t>کارمزد مانده حساب از پايانه فروش 31171365 پرداخت الکترونيک سامان1 از ک 6219861085062957 ش م 85169930</t>
  </si>
  <si>
    <t>خريد کالا و خدمات از پايانه فروش 31171365 پرداخت الکترونيک سامان1 از ک 6219861085062957 ش م 85169928</t>
  </si>
  <si>
    <t>1404/03/21</t>
  </si>
  <si>
    <t>کارمزد مانده حساب از پايانه فروش 13444162 پرداخت الکترونيک سامان1 از ک 6219861085062957 ش م 85169385</t>
  </si>
  <si>
    <t>کارمزد انتقال از خودپرداز 45101693 تجارت - بين 2 از ک 6219861085062957 ش م 169316174230 ش پ 169389</t>
  </si>
  <si>
    <t>انتقال از خودپرداز 45101693 تجارت - بين 2 به ک 5859831103338371 ش م 169316174230 ش پ 169389</t>
  </si>
  <si>
    <t>انتقال از اينترنت 06590002 صادرات از ک 6037697681149024 ش م 221045076702 ش پ 136702</t>
  </si>
  <si>
    <t>کارمزد انتقال از خودپرداز 109936   سپه از ک 6219861085062957 ش م 102019111839 ش پ 008638</t>
  </si>
  <si>
    <t>انتقال از خودپرداز 109936   سپه به ک 6362141055049986 ش م 102019111839 ش پ 008638</t>
  </si>
  <si>
    <t>کارمزد انتقال از خودپرداز 109936   سپه از ک 6219861085062957 ش م 102019089041 ش پ 008637</t>
  </si>
  <si>
    <t>انتقال از خودپرداز 109936   سپه به ک 5892101626109181 ش م 102019089041 ش پ 008637</t>
  </si>
  <si>
    <t>کارمزد انتقال از خودپرداز 109936   سپه از ک 6219861085062957 ش م 102018946692 ش پ 008634</t>
  </si>
  <si>
    <t>انتقال از خودپرداز 109936   سپه به ک 6274121208660688 ش م 102018946692 ش پ 008634</t>
  </si>
  <si>
    <t>کارمزد انتقال از خودپرداز 109936   سپه از ک 6219861085062957 ش م 102018846816 ش پ 008632</t>
  </si>
  <si>
    <t>انتقال از خودپرداز 109936   سپه به ک 5894631874474901 ش م 102018846816 ش پ 008632</t>
  </si>
  <si>
    <t>انتقال وجه موبايلت از سپرده 9316.800.1512735.4 ش.پ 00001749622412150492 - علي ابراهيميان</t>
  </si>
  <si>
    <t>کارمزد مانده حساب از پايانه فروش 13444162 پرداخت الکترونيک سامان1 از ک 6219861085062957 ش م 85166891</t>
  </si>
  <si>
    <t>کارمزد مانده حساب از پايانه فروش 13444162 پرداخت الکترونيک سامان1 از ک 6219861085062957 ش م 85166836</t>
  </si>
  <si>
    <t>کارمزد مانده حساب از پايانه فروش 13444162 پرداخت الکترونيک سامان1 از ک 6219861085062957 ش م 85166824</t>
  </si>
  <si>
    <t>1404/03/20</t>
  </si>
  <si>
    <t>انتقال از اينترنت 130      پاسارگاد از ک 5022291574694830 ش م 059645161781 ش پ 434403</t>
  </si>
  <si>
    <t>انتقال از اينترنت 00019001 پست بانک از ک 6277601354811810 ش م 130066661388 ش پ 661388</t>
  </si>
  <si>
    <t>انتقال از اينترنت 07770001 کشاورزي از ک 6037701523129408 ش م 061010608119 ش پ 608119</t>
  </si>
  <si>
    <t>کارمزد مانده حساب از پايانه فروش 13444162 پرداخت الکترونيک سامان1 از ک 6219861085062957 ش م 85163985</t>
  </si>
  <si>
    <t>کارمزد انتقال از خودپرداز 45101693 تجارت - بين 2 از ک 6219861085062957 ش م 169316036759 ش پ 169392</t>
  </si>
  <si>
    <t>انتقال از خودپرداز 45101693 تجارت - بين 2 به ک 5894631874474901 ش م 169316036759 ش پ 169392</t>
  </si>
  <si>
    <t>کارمزد انتقال از خودپرداز 45101693 تجارت - بين 2 از ک 6219861085062957 ش م 169316036733 ش پ 169391</t>
  </si>
  <si>
    <t>انتقال از خودپرداز 45101693 تجارت - بين 2 به ک 6274121208660688 ش م 169316036733 ش پ 169391</t>
  </si>
  <si>
    <t>کارمزد انتقال از خودپرداز 45101693 تجارت - بين 2 از ک 6219861085062957 ش م 169316036705 ش پ 169390</t>
  </si>
  <si>
    <t>انتقال از خودپرداز 45101693 تجارت - بين 2 به ک 5892101643117522 ش م 169316036705 ش پ 169390</t>
  </si>
  <si>
    <t>کارمزد مانده حساب از پايانه فروش 13444162 پرداخت الکترونيک سامان1 از ک 6219861085062957 ش م 85163883</t>
  </si>
  <si>
    <t xml:space="preserve">خريد کالا و خدمات از پايانه فروش 80051818 شرکت به پرداخت ملت از ک 6219861085062957 ش م 800997591300 </t>
  </si>
  <si>
    <t>خريد کالا و خدمات از پايانه فروش 14794308 پرداخت الکترونيک سامان1 از ک 6219861085062957 ش م 85163819</t>
  </si>
  <si>
    <t>خريد کالا و خدمات از پايانه فروش 92177899 تجارت الکترونيک پارسيان از ک 6219861085062957 ش م 80988245</t>
  </si>
  <si>
    <t>خريد کالا و خدمات از پايانه فروش 14890167 پرداخت الکترونيک سامان1 از ک 6219861085062957 ش م 85163759</t>
  </si>
  <si>
    <t>خريد کالا و خدمات از پايانه فروش 31171365 پرداخت الکترونيک سامان1 از ک 6219861085062957 ش م 85163747</t>
  </si>
  <si>
    <t>انتقال وجه موبايلت از سپرده 9316.888.1579090.1 ش.پ 00001749519052089159 - محمود ابراهيميان</t>
  </si>
  <si>
    <t>انتقال وجه موبايلت از سپرده 9316.888.1579090.1 ش.پ 00001749517863341534 - محمود ابراهيميان</t>
  </si>
  <si>
    <t>1404/03/19</t>
  </si>
  <si>
    <t>انتقال از اينترنت 00019001 قرض الحسنه مهر از ک 6063731167847020 ش م 516019359422 ش پ 359422</t>
  </si>
  <si>
    <t>انتقال از اينترنت 130      پاسارگاد از ک 5022291561719608 ش م 059608083858 ش پ 864166</t>
  </si>
  <si>
    <t>انتقال وجه بلو بانک از شبا IR690560611828005590996601 ش.پ 14041138942526 - فريده شوريابي</t>
  </si>
  <si>
    <t>انتقال از اينترنت 19050022 صادرات از ک 6037691532680139 ش م 008405632676 ش پ 578860</t>
  </si>
  <si>
    <t>خريد کالا و خدمات از پايانه فروش 33576242 پرداخت الکترونيک سداد 2 از ک 6219861085062957 ش م 32746541</t>
  </si>
  <si>
    <t>کارمزد مانده حساب از پايانه فروش 13444162 پرداخت الکترونيک سامان1 از ک 6219861085062957 ش م 85161162</t>
  </si>
  <si>
    <t>انتقال از اينترنت 06590002 صادرات از ک 6037697681149024 ش م 221050551821 ش پ 131821</t>
  </si>
  <si>
    <t>کارمزد انتقال از خودپرداز 45101693 تجارت - بين 2 از ک 6219861085062957 ش م 169315933525 ش پ 169380</t>
  </si>
  <si>
    <t>انتقال از خودپرداز 45101693 تجارت - بين 2 به ک 6274121208660688 ش م 169315933525 ش پ 169380</t>
  </si>
  <si>
    <t>کارمزد انتقال از خودپرداز 45101693 تجارت - بين 2 از ک 6219861085062957 ش م 169315933489 ش پ 169379</t>
  </si>
  <si>
    <t>انتقال از خودپرداز 45101693 تجارت - بين 2 به ک 5892101626109181 ش م 169315933489 ش پ 169379</t>
  </si>
  <si>
    <t>کارمزد مانده حساب از پايانه فروش 13444162 پرداخت الکترونيک سامان1 از ک 6219861085062957 ش م 85160780</t>
  </si>
  <si>
    <t>کارمزد انتقال از خودپرداز 45101693 تجارت - بين 2 از ک 6219861085062957 ش م 169315932513 ش پ 169366</t>
  </si>
  <si>
    <t>انتقال از خودپرداز 45101693 تجارت - بين 2 به ک 6104337830162200 ش م 169315932513 ش پ 169366</t>
  </si>
  <si>
    <t>انتقال وجه موبايلت از سپرده 9316.888.1579090.1 ش.پ 00001749433072075752 - محمود ابراهيميان</t>
  </si>
  <si>
    <t>1404/03/18</t>
  </si>
  <si>
    <t>انتقال از اينترنت 17592030 ملي از ک 6037991535478063 ش م 971285701140 ش پ 816921</t>
  </si>
  <si>
    <t>انتقال از اينترنت 17592030 ملي از ک 6037997388559198 ش م 146015040137 ش پ 077616</t>
  </si>
  <si>
    <t>کارمزد مانده حساب از پايانه فروش 13444162 پرداخت الکترونيک سامان1 از ک 6219861085062957 ش م 85157823</t>
  </si>
  <si>
    <t>کارمزد انتقال از خودپرداز 45101693 تجارت - بين 2 از ک 6219861085062957 ش م 169315834103 ش پ 169304</t>
  </si>
  <si>
    <t>انتقال از خودپرداز 45101693 تجارت - بين 2 به ک 6274121208660688 ش م 169315834103 ش پ 169304</t>
  </si>
  <si>
    <t>کارمزد انتقال از خودپرداز 45101693 تجارت - بين 2 از ک 6219861085062957 ش م 169315834076 ش پ 169303</t>
  </si>
  <si>
    <t>انتقال از خودپرداز 45101693 تجارت - بين 2 به ک 6037697515190897 ش م 169315834076 ش پ 169303</t>
  </si>
  <si>
    <t>کارمزد مانده حساب از پايانه فروش 13444162 پرداخت الکترونيک سامان1 از ک 6219861085062957 ش م 85157802</t>
  </si>
  <si>
    <t>خريد کالا و خدمات از پايانه فروش 31171365 پرداخت الکترونيک سامان1 از ک 6219861085062957 ش م 85157762</t>
  </si>
  <si>
    <t>انتقال وجه موبايلت از سپرده 9316.888.1579090.1 ش.پ 00001749345199478297 - محمود ابراهيميان</t>
  </si>
  <si>
    <t>1404/03/17</t>
  </si>
  <si>
    <t>خريد کالا و خدمات از پايانه فروش 14623589 پرداخت الکترونيک سامان1 از ک 6219861085062957 ش م 85157479</t>
  </si>
  <si>
    <t>کارمزد انتقال از خودپرداز 45101693 تجارت - بين 2 از ک 6219861085062957 ش م 169315774084 ش پ 169393</t>
  </si>
  <si>
    <t>انتقال از خودپرداز 45101693 تجارت - بين 2 به ک 5892101643117522 ش م 169315774084 ش پ 169393</t>
  </si>
  <si>
    <t>کارمزد مانده حساب از پايانه فروش 13444162 پرداخت الکترونيک سامان1 از ک 6219861085062957 ش م 85156960</t>
  </si>
  <si>
    <t>خريد کالا و خدمات از پايانه فروش 50239799 پرداخت الکترونيک سامان1 از ک 6219861085062957 ش م 85156833</t>
  </si>
  <si>
    <t>انتقال از اينترنت 115      پاسارگاد از ک 5022291332189099 ش م 059537307458 ش پ 077037</t>
  </si>
  <si>
    <t>انتقال از اينترنت 17592030 ملي از ک 6037991714945296 ش م 987540504607 ش پ 160295</t>
  </si>
  <si>
    <t>کارمزد مانده حساب از پايانه فروش 13444162 پرداخت الکترونيک سامان1 از ک 6219861085062957 ش م 85156133</t>
  </si>
  <si>
    <t>انتقال از اينترنت 06590002 صادرات از ک 6037697652167229 ش م 221158261603 ش پ 121603</t>
  </si>
  <si>
    <t>کارمزد انتقال از خودپرداز 45101693 تجارت - بين 2 از ک 6219861085062957 ش م 169315736861 ش پ 169318</t>
  </si>
  <si>
    <t>انتقال از خودپرداز 45101693 تجارت - بين 2 به ک 6219861050987337 ش م 169315736861 ش پ 169318</t>
  </si>
  <si>
    <t>کارمزد انتقال از خودپرداز 45101693 تجارت - بين 2 از ک 6219861085062957 ش م 169315736585 ش پ 169314</t>
  </si>
  <si>
    <t>انتقال از خودپرداز 45101693 تجارت - بين 2 به ک 6104338653250742 ش م 169315736585 ش پ 169314</t>
  </si>
  <si>
    <t>کارمزد انتقال از خودپرداز 45101693 تجارت - بين 2 از ک 6219861085062957 ش م 169315736556 ش پ 169313</t>
  </si>
  <si>
    <t>انتقال از خودپرداز 45101693 تجارت - بين 2 به ک 6362141055049986 ش م 169315736556 ش پ 169313</t>
  </si>
  <si>
    <t>انتقال از اينترنت 00019001 ايران زمين از ک 5057851033294510 ش م 515809572573 ش پ 572573</t>
  </si>
  <si>
    <t>کارمزد مانده حساب از پايانه فروش 13444162 پرداخت الکترونيک سامان1 از ک 6219861085062957 ش م 85154703</t>
  </si>
  <si>
    <t>1404/03/16</t>
  </si>
  <si>
    <t>کارمزد انتقال از خودپرداز 00222877 سينا از ک 6219861085062957 ش م 515711911714 ش پ 287785</t>
  </si>
  <si>
    <t>انتقال از خودپرداز 00222877 سينا به ک 6104338697697478 ش م 515711911714 ش پ 287785</t>
  </si>
  <si>
    <t>سودعلي الحساب س-5-1512735-800-9316از1404/1/16تا1404/3/15</t>
  </si>
  <si>
    <t>1404/03/15</t>
  </si>
  <si>
    <t>انتقال وجه موبايلت از سپرده 9316.888.1579090.1 ش.پ 00001749136265307957 - محمود ابراهيميان</t>
  </si>
  <si>
    <t>خريد کالا و خدمات از پايانه فروش 31171365 پرداخت الکترونيک سامان1 از ک 6219861085062957 ش م 85150251</t>
  </si>
  <si>
    <t>کارمزد انتقال از خودپرداز 00222877 سينا از ک 6219861085062957 ش م 515612118764 ش پ 287742</t>
  </si>
  <si>
    <t>انتقال از خودپرداز 00222877 سينا به ک 6104338697697478 ش م 515612118764 ش پ 287742</t>
  </si>
  <si>
    <t>1404/03/14</t>
  </si>
  <si>
    <t>کارمزد انتقال از خودپرداز 45101693 تجارت - بين 2 از ک 6219861085062957 ش م 169315479836 ش پ 169304</t>
  </si>
  <si>
    <t>انتقال از خودپرداز 45101693 تجارت - بين 2 به ک 6037701619881540 ش م 169315479836 ش پ 169304</t>
  </si>
  <si>
    <t>کارمزد انتقال از خودپرداز 45101693 تجارت - بين 2 از ک 6219861085062957 ش م 169315479673 ش پ 169302</t>
  </si>
  <si>
    <t>انتقال از خودپرداز 45101693 تجارت - بين 2 به ک 6274121208660688 ش م 169315479673 ش پ 169302</t>
  </si>
  <si>
    <t>کارمزد انتقال از خودپرداز 45101693 تجارت - بين 2 از ک 6219861085062957 ش م 169315479632 ش پ 169301</t>
  </si>
  <si>
    <t>انتقال از خودپرداز 45101693 تجارت - بين 2 به ک 5892101643117522 ش م 169315479632 ش پ 169301</t>
  </si>
  <si>
    <t>کارمزد انتقال از خودپرداز 45101693 تجارت - بين 2 از ک 6219861085062957 ش م 169315479593 ش پ 169300</t>
  </si>
  <si>
    <t>انتقال از خودپرداز 45101693 تجارت - بين 2 به ک 6104338653250742 ش م 169315479593 ش پ 169300</t>
  </si>
  <si>
    <t>انتقال از اينترنت I000MP01 تجارت - بين 2 از ک 5859831818205105 ش م 953644562534 ش پ 391454</t>
  </si>
  <si>
    <t>انتقال از اينترنت 06590002 صادرات از ک 6037697676609438 ش م 222052093432 ش پ 123432</t>
  </si>
  <si>
    <t>انتقال از اينترنت 17592030 ملي از ک 6037997479820061 ش م 958460270288 ش پ 755574</t>
  </si>
  <si>
    <t>کارمزد مانده حساب از پايانه فروش 13444162 پرداخت الکترونيک سامان1 از ک 6219861085062957 ش م 85148309</t>
  </si>
  <si>
    <t>انتقال وجه موبايلت از سپرده 9316.888.1579090.1 ش.پ 00001749036211614659 - محمود ابراهيميان</t>
  </si>
  <si>
    <t>1404/03/13</t>
  </si>
  <si>
    <t>کارمزد انتقال از خودپرداز 45101693 تجارت - بين 2 از ک 6219861085062957 ش م 169315378652 ش پ 169359</t>
  </si>
  <si>
    <t>انتقال از خودپرداز 45101693 تجارت - بين 2 به ک 6037701509719917 ش م 169315378652 ش پ 169359</t>
  </si>
  <si>
    <t>کارمزد انتقال از خودپرداز 45101693 تجارت - بين 2 از ک 6219861085062957 ش م 169315364796 ش پ 169367</t>
  </si>
  <si>
    <t>انتقال از خودپرداز 45101693 تجارت - بين 2 به ک 6362141055049986 ش م 169315364796 ش پ 169367</t>
  </si>
  <si>
    <t>کارمزد مانده حساب از پايانه فروش 13444162 پرداخت الکترونيک سامان1 از ک 6219861085062957 ش م 85144547</t>
  </si>
  <si>
    <t>خريد کالا و خدمات از پايانه فروش 03071227 کارت اعتباري ايران کيش از ک 6219861085062957 ش م 712271530</t>
  </si>
  <si>
    <t>خريد کالا و خدمات از پايانه فروش 13425056 کارت اعتباري ايران کيش از ک 6219861085062957 ش م 250561533</t>
  </si>
  <si>
    <t>کارمزد مانده حساب از پايانه فروش 13444162 پرداخت الکترونيک سامان1 از ک 6219861085062957 ش م 85144245</t>
  </si>
  <si>
    <t>کارمزد انتقال از خودپرداز 109936   سپه از ک 6219861085062957 ش م 101476680213 ش پ 005473</t>
  </si>
  <si>
    <t>انتقال از خودپرداز 109936   سپه به ک 6037697600840968 ش م 101476680213 ش پ 005473</t>
  </si>
  <si>
    <t>انتقال از اينترنت 115      سپه از ک 5892101632569626 ش م 101473809126 ش پ 724521</t>
  </si>
  <si>
    <t>کارمزد انتقال از خودپرداز 45101693 تجارت - بين 2 از ک 6219861085062957 ش م 169315334208 ش پ 169355</t>
  </si>
  <si>
    <t>انتقال از خودپرداز 45101693 تجارت - بين 2 به ک 5057851012912561 ش م 169315334208 ش پ 169355</t>
  </si>
  <si>
    <t>کارمزد انتقال از خودپرداز 45101693 تجارت - بين 2 از ک 6219861085062957 ش م 169315334163 ش پ 169354</t>
  </si>
  <si>
    <t>انتقال از خودپرداز 45101693 تجارت - بين 2 به ک 5892101643117522 ش م 169315334163 ش پ 169354</t>
  </si>
  <si>
    <t>انتقال وجه موبايلت از سپرده 9316.888.1579090.1 ش.پ 00001748914035802075 - محمود ابراهيميان</t>
  </si>
  <si>
    <t>انتقال وجه موبايلت از سپرده 9316.888.1579090.1 ش.پ 00001748913436480802 - محمود ابراهيميان</t>
  </si>
  <si>
    <t>1404/03/12</t>
  </si>
  <si>
    <t>انتقال از اينترنت MP010011 تجارت - بين 2 از ک 5859831025835926 ش م 000370326023 ش پ 708987</t>
  </si>
  <si>
    <t>انتقال از اينترنت 00000035 پارسيان از ک 6221061235290667 ش م 747999946717 ش پ 504427</t>
  </si>
  <si>
    <t>انتقال از اينترنت 146      سپه از ک 5892101625162702 ش م 101409507364 ش پ 958969</t>
  </si>
  <si>
    <t>انتقال از اينترنت 06590002 صادرات از ک 6037697681149024 ش م 221057589464 ش پ 139464</t>
  </si>
  <si>
    <t>کارمزد مانده حساب از پايانه فروش 13444162 پرداخت الکترونيک سامان1 از ک 6219861085062957 ش م 85140605</t>
  </si>
  <si>
    <t>کارمزد انتقال از خودپرداز 45101693 تجارت - بين 2 از ک 6219861085062957 ش م 169315233590 ش پ 169387</t>
  </si>
  <si>
    <t>انتقال از خودپرداز 45101693 تجارت - بين 2 به ک 6280231511386376 ش م 169315233590 ش پ 169387</t>
  </si>
  <si>
    <t>کارمزد انتقال از خودپرداز 45101693 تجارت - بين 2 از ک 6219861085062957 ش م 169315233545 ش پ 169386</t>
  </si>
  <si>
    <t>انتقال از خودپرداز 45101693 تجارت - بين 2 به ک 5057851012912561 ش م 169315233545 ش پ 169386</t>
  </si>
  <si>
    <t>کارمزد انتقال از خودپرداز 45101693 تجارت - بين 2 از ک 6219861085062957 ش م 169315233498 ش پ 169385</t>
  </si>
  <si>
    <t>انتقال از خودپرداز 45101693 تجارت - بين 2 به ک 6104337886219300 ش م 169315233498 ش پ 169385</t>
  </si>
  <si>
    <t>کارمزد انتقال از خودپرداز 45101693 تجارت - بين 2 از ک 6219861085062957 ش م 169315233467 ش پ 169384</t>
  </si>
  <si>
    <t>انتقال از خودپرداز 45101693 تجارت - بين 2 به ک 5892101626109181 ش م 169315233467 ش پ 169384</t>
  </si>
  <si>
    <t>خريد کالا و خدمات از پايانه فروش 44544346 تجارت الکترونيک پارسيان از ک 6219861085062957 ش م 74672621</t>
  </si>
  <si>
    <t>انتقال وجه موبايلت از سپرده 9316.888.1579090.1 ش.پ 00001748826870375388 - محمود ابراهيميان</t>
  </si>
  <si>
    <t>1404/03/11</t>
  </si>
  <si>
    <t>کارمزد مانده حساب از پايانه فروش 13444162 پرداخت الکترونيک سامان1 از ک 6219861085062957 ش م 85139993</t>
  </si>
  <si>
    <t>انتقال از اينترنت 07770001 کشاورزي از ک 6037701641558355 ش م 060121193329 ش پ 193329</t>
  </si>
  <si>
    <t>انتقال از اينترنت 00019001 شهر از ک 5047061664151715 ش م 130023186364 ش پ 186364</t>
  </si>
  <si>
    <t>انتقال از اينترنت 02884325 ملت از ک 6104338783451012 ش م 162843228585 ش پ 228585</t>
  </si>
  <si>
    <t>خريد کالا و خدمات از پايانه فروش 33562615 پرداخت الکترونيک سداد 2 از ک 6219861085062957 ش م 32736186</t>
  </si>
  <si>
    <t>انتقال از خودپرداز 00011751 سامان به ک 6219861902493468 ش م 515209114422 ش پ 114422</t>
  </si>
  <si>
    <t>کارمزد انتقال از خودپرداز 00011751 سامان از ک 6219861085062957 ش م 515209078154 ش پ 078154</t>
  </si>
  <si>
    <t>انتقال از خودپرداز 00011751 سامان به ک 6104337886219300 ش م 515209078154 ش پ 078154</t>
  </si>
  <si>
    <t>کارمزد انتقال از خودپرداز 00011751 سامان از ک 6219861085062957 ش م 515209113271 ش پ 113271</t>
  </si>
  <si>
    <t>انتقال از خودپرداز 00011751 سامان به ک 5892101643117522 ش م 515209113271 ش پ 113271</t>
  </si>
  <si>
    <t>کارمزد انتقال از خودپرداز 00011751 سامان از ک 6219861085062957 ش م 515209112743 ش پ 112743</t>
  </si>
  <si>
    <t>انتقال از خودپرداز 00011751 سامان به ک 6274121208660688 ش م 515209112743 ش پ 112743</t>
  </si>
  <si>
    <t>انتقال وجه موبايلت از سپرده 9316.888.1579090.1 ش.پ 00001748741069868381 - محمود ابراهيميان</t>
  </si>
  <si>
    <t>انتقال وجه موبايلت از سپرده 9316.888.1579090.1 ش.پ 00001748740059385076 - محمود ابراهيميان</t>
  </si>
  <si>
    <t>1404/03/10</t>
  </si>
  <si>
    <t>انتقال از اينترنت 146      سپه از ک 5892101311895185 ش م 101287999535 ش پ 910686</t>
  </si>
  <si>
    <t>انتقال از اينترنت 17592030 ملي از ک 6037998218984200 ش م 006658744617 ش پ 515591</t>
  </si>
  <si>
    <t xml:space="preserve">انتقالي از 9316.800.1512735.5 به 9316.424.1-هزينه 33 صفحه صورتحساب </t>
  </si>
  <si>
    <t>انتقال از اينترنت 00000035 پارسيان از ک 6221061079086700 ش م 747992718688 ش پ 396388</t>
  </si>
  <si>
    <t>انتقال از اينترنت 17592030 ملي از ک 6037997487480379 ش م 114056330885 ش پ 246289</t>
  </si>
  <si>
    <t>انتقال از خودپرداز 00031246 سرمايه از ک 6280231478146292 ش م 515111501706 ش پ 501706</t>
  </si>
  <si>
    <t>انتقال از اينترنت 06590002 صادرات از ک 6037697681149024 ش م 221053321588 ش پ 131588</t>
  </si>
  <si>
    <t>انتقال از اينترنت 00019001 ايران زمين از ک 5057851033294510 ش م 515110767243 ش پ 767243</t>
  </si>
  <si>
    <t>کارمزد مانده حساب از پايانه فروش 13444162 پرداخت الکترونيک سامان1 از ک 6219861085062957 ش م 85134222</t>
  </si>
  <si>
    <t>کارمزد انتقال از خودپرداز 45101693 تجارت - بين 2 از ک 6219861085062957 ش م 169315033163 ش پ 169344</t>
  </si>
  <si>
    <t>انتقال از خودپرداز 45101693 تجارت - بين 2 به ک 6104337886219300 ش م 169315033163 ش پ 169344</t>
  </si>
  <si>
    <t>کارمزد انتقال از خودپرداز 45101693 تجارت - بين 2 از ک 6219861085062957 ش م 169315033137 ش پ 169343</t>
  </si>
  <si>
    <t>انتقال از خودپرداز 45101693 تجارت - بين 2 به ک 6104338653250742 ش م 169315033137 ش پ 169343</t>
  </si>
  <si>
    <t>کارمزد انتقال از خودپرداز 45101693 تجارت - بين 2 از ک 6219861085062957 ش م 169315033102 ش پ 169342</t>
  </si>
  <si>
    <t>انتقال از خودپرداز 45101693 تجارت - بين 2 به ک 6037997188987458 ش م 169315033102 ش پ 169342</t>
  </si>
  <si>
    <t>کارمزد انتقال از خودپرداز 45101693 تجارت - بين 2 از ک 6219861085062957 ش م 169315033072 ش پ 169341</t>
  </si>
  <si>
    <t>انتقال از خودپرداز 45101693 تجارت - بين 2 به ک 5022291571797925 ش م 169315033072 ش پ 169341</t>
  </si>
  <si>
    <t>کارمزد انتقال از خودپرداز 45101693 تجارت - بين 2 از ک 6219861085062957 ش م 169315033047 ش پ 169340</t>
  </si>
  <si>
    <t>انتقال از خودپرداز 45101693 تجارت - بين 2 به ک 6362141055049986 ش م 169315033047 ش پ 169340</t>
  </si>
  <si>
    <t>کارمزد مانده حساب از پايانه فروش 13444162 پرداخت الکترونيک سامان1 از ک 6219861085062957 ش م 85134162</t>
  </si>
  <si>
    <t>1404/03/09</t>
  </si>
  <si>
    <t>انتقال از خودپرداز 21855204 کشاورزي از ک 6393461045557127 ش م 290114983111 ش پ 290149</t>
  </si>
  <si>
    <t>خريد کالا و خدمات از پايانه فروش 07154583 به پرداخت ملت از ک 6219861085062957 ش م 309281318733 ش پ 3</t>
  </si>
  <si>
    <t xml:space="preserve">خريد کالا و خدمات از پايانه فروش 30705632 پرداخت نوين آرين از ک 6219861085062957 ش م 511789331136 ش </t>
  </si>
  <si>
    <t>خريد کالا و خدمات از پايانه فروش 45123223 تجارت الکترونيک پارسيان از ک 6219861085062957 ش م 74670478</t>
  </si>
  <si>
    <t>انتقال وجه موبايلت از سپرده 9316.888.1579090.1 ش.پ 00001748604042766972 - محمود ابراهيميان</t>
  </si>
  <si>
    <t>1404/03/08</t>
  </si>
  <si>
    <t xml:space="preserve">خريد کالا و خدمات از پايانه فروش 30382171 پرداخت نوين آرين از ک 6219861085062957 ش م 511777411707 ش </t>
  </si>
  <si>
    <t xml:space="preserve">کارمزد مانده حساب از پايانه فروش 30382171 پرداخت نوين آرين از ک 6219861085062957 ش م 511777408753 ش </t>
  </si>
  <si>
    <t>انتقال از اينترنت I000MP01 تجارت - بين 2 از ک 5859831812214202 ش م 059225123287 ش پ 419581</t>
  </si>
  <si>
    <t>کارمزد انتقال از خودپرداز 45101693 تجارت - بين 2 از ک 6219861085062957 ش م 169314839467 ش پ 169337</t>
  </si>
  <si>
    <t>انتقال از خودپرداز 45101693 تجارت - بين 2 به ک 6274121208660688 ش م 169314839467 ش پ 169337</t>
  </si>
  <si>
    <t>کارمزد انتقال از خودپرداز 45101693 تجارت - بين 2 از ک 6219861085062957 ش م 169314839433 ش پ 169336</t>
  </si>
  <si>
    <t>انتقال از خودپرداز 45101693 تجارت - بين 2 به ک 5892101643117522 ش م 169314839433 ش پ 169336</t>
  </si>
  <si>
    <t>کارمزد انتقال از خودپرداز 45101693 تجارت - بين 2 از ک 6219861085062957 ش م 169314839403 ش پ 169335</t>
  </si>
  <si>
    <t>انتقال از خودپرداز 45101693 تجارت - بين 2 به ک 6037697600840968 ش م 169314839403 ش پ 169335</t>
  </si>
  <si>
    <t>کارمزد مانده حساب از پايانه فروش 13444162 پرداخت الکترونيک سامان1 از ک 6219861085062957 ش م 85128893</t>
  </si>
  <si>
    <t>خريد کالا و خدمات از پايانه فروش 03071227 کارت اعتباري ايران کيش از ک 6219861085062957 ش م 712271480</t>
  </si>
  <si>
    <t>انتقال از اينترنت 06590002 صادرات از ک 6037697582069735 ش م 220932371034 ش پ 121034</t>
  </si>
  <si>
    <t>انتقال وجه موبايلت از سپرده 9316.888.1579090.1 ش.پ 00001748482459382484 - محمود ابراهيميان</t>
  </si>
  <si>
    <t>1404/03/07</t>
  </si>
  <si>
    <t>انتقال از اينترنت 17592030 ملي از ک 6037997498315291 ش م 148449051378 ش پ 679196</t>
  </si>
  <si>
    <t>کارمزد انتقال از خودپرداز 109936   سپه از ک 6219861085062957 ش م 101080550393 ش پ 003002</t>
  </si>
  <si>
    <t>انتقال از خودپرداز 109936   سپه به ک 5892101626109181 ش م 101080550393 ش پ 003002</t>
  </si>
  <si>
    <t>کارمزد مانده حساب از پايانه فروش 13444162 پرداخت الکترونيک سامان1 از ک 6219861085062957 ش م 85127459</t>
  </si>
  <si>
    <t>انتقال از اينترنت 130      پاسارگاد از ک 5022291546028927 ش م 059216664388 ش پ 907637</t>
  </si>
  <si>
    <t>انتقال وجه بلو بانک از شبا IR560560611828005160935501 ش.پ 1404955529411 - بهمن جوادي</t>
  </si>
  <si>
    <t>کارمزد انتقال از خودپرداز 45101693 تجارت - بين 2 از ک 6219861085062957 ش م 169314734658 ش پ 169384</t>
  </si>
  <si>
    <t>انتقال از خودپرداز 45101693 تجارت - بين 2 به ک 6274121208660688 ش م 169314734658 ش پ 169384</t>
  </si>
  <si>
    <t>کارمزد انتقال از خودپرداز 45101693 تجارت - بين 2 از ک 6219861085062957 ش م 169314734630 ش پ 169383</t>
  </si>
  <si>
    <t>انتقال از خودپرداز 45101693 تجارت - بين 2 به ک 6037997143884923 ش م 169314734630 ش پ 169383</t>
  </si>
  <si>
    <t>کارمزد انتقال از خودپرداز 45101693 تجارت - بين 2 از ک 6219861085062957 ش م 169314734591 ش پ 169382</t>
  </si>
  <si>
    <t>انتقال از خودپرداز 45101693 تجارت - بين 2 به ک 6037991713397994 ش م 169314734591 ش پ 169382</t>
  </si>
  <si>
    <t>انتقال وجه موبايلت از سپرده 9316.888.1579090.1 ش.پ 00001748395117189920 - محمود ابراهيميان</t>
  </si>
  <si>
    <t>1404/03/06</t>
  </si>
  <si>
    <t>کارمزد مانده حساب از پايانه فروش 13444162 پرداخت الکترونيک سامان1 از ک 6219861085062957 ش م 85124894</t>
  </si>
  <si>
    <t>کارمزد انتقال از خودپرداز 45101693 تجارت - بين 2 از ک 6219861085062957 ش م 169314672896 ش پ 169347</t>
  </si>
  <si>
    <t>انتقال از خودپرداز 45101693 تجارت - بين 2 به ک 5892101643117522 ش م 169314672896 ش پ 169347</t>
  </si>
  <si>
    <t>کارمزد مانده حساب از پايانه فروش 13444162 پرداخت الکترونيک سامان1 از ک 6219861085062957 ش م 85124398</t>
  </si>
  <si>
    <t>انتقال از اينترنت 19050022 صادرات از ک 6037697671649397 ش م 008342413744 ش پ 359928</t>
  </si>
  <si>
    <t>کارمزد انتقال از خودپرداز 45101693 تجارت - بين 2 از ک 6219861085062957 ش م 169314638293 ش پ 169345</t>
  </si>
  <si>
    <t>انتقال از خودپرداز 45101693 تجارت - بين 2 به ک 5859831103338371 ش م 169314638293 ش پ 169345</t>
  </si>
  <si>
    <t>کارمزد مانده حساب از پايانه فروش 13444162 پرداخت الکترونيک سامان1 از ک 6219861085062957 ش م 85122416</t>
  </si>
  <si>
    <t>کارمزد انتقال از خودپرداز 45101693 تجارت - بين 2 از ک 6219861085062957 ش م 169314634896 ش پ 169393</t>
  </si>
  <si>
    <t>انتقال از خودپرداز 45101693 تجارت - بين 2 به ک 5892101626109181 ش م 169314634896 ش پ 169393</t>
  </si>
  <si>
    <t>کارمزد انتقال از خودپرداز 45101693 تجارت - بين 2 از ک 6219861085062957 ش م 169314634867 ش پ 169392</t>
  </si>
  <si>
    <t>انتقال از خودپرداز 45101693 تجارت - بين 2 به ک 6274121208660688 ش م 169314634867 ش پ 169392</t>
  </si>
  <si>
    <t>انتقال وجه موبايلت به سپرده 9316.817.1512735.1 ش.پ 00001748324482367802-علي ابراهيميان</t>
  </si>
  <si>
    <t>خريد کالا و خدمات از پايانه فروش 92177899 تجارت الکترونيک پارسيان از ک 6219861085062957 ش م 80973843</t>
  </si>
  <si>
    <t>خريد کالا و خدمات از پايانه فروش 31171365 پرداخت الکترونيک سامان1 از ک 6219861085062957 ش م 85122164</t>
  </si>
  <si>
    <t>انتقال وجه موبايلت از سپرده 9316.888.1579090.1 ش.پ 00001748308920892731 - محمود ابراهيميان</t>
  </si>
  <si>
    <t>1404/03/05</t>
  </si>
  <si>
    <t>کارمزد مانده حساب از پايانه فروش 13444162 پرداخت الکترونيک سامان1 از ک 6219861085062957 ش م 85121774</t>
  </si>
  <si>
    <t>خريد کالا و خدمات از پايانه فروش 33576242 پرداخت الکترونيک سداد 2 از ک 6219861085062957 ش م 32729397</t>
  </si>
  <si>
    <t>خريد کالا و خدمات از پايانه فروش 37168878 پرداخت الکترونيک سداد 2 از ک 6219861085062957 ش م 32729358</t>
  </si>
  <si>
    <t>انتقال از اينترنت 17592030 ملي از ک 6037991790948404 ش م 192956006370 ش پ 689865</t>
  </si>
  <si>
    <t>کارمزد مانده حساب از پايانه فروش 13444162 پرداخت الکترونيک سامان1 از ک 6219861085062957 ش م 85119948</t>
  </si>
  <si>
    <t>انتقال از اينترنت 17592030 ملي از ک 6037997566477635 ش م 780200561573 ش پ 241054</t>
  </si>
  <si>
    <t>خريد کالا و خدمات از پايانه فروش 45005796 تجارت الکترونيک پارسيان از ک 6219861085062957 ش م 74666205</t>
  </si>
  <si>
    <t>پرداخت قبوض از پايانه فروش 13444162 پرداخت الکترونيک سامان1 از ک 6219861085062957 ش م 851193527187 ش</t>
  </si>
  <si>
    <t>پرداخت قبوض از پايانه فروش 13444162 پرداخت الکترونيک سامان1 از ک 6219861085062957 ش م 851193512490 ش</t>
  </si>
  <si>
    <t>کارمزد انتقال از خودپرداز 45101693 تجارت - بين 2 از ک 6219861085062957 ش م 169314532496 ش پ 169322</t>
  </si>
  <si>
    <t>انتقال از خودپرداز 45101693 تجارت - بين 2 به ک 6104338697697478 ش م 169314532496 ش پ 169322</t>
  </si>
  <si>
    <t>کارمزد انتقال از خودپرداز 45101693 تجارت - بين 2 از ک 6219861085062957 ش م 169314532471 ش پ 169321</t>
  </si>
  <si>
    <t>انتقال از خودپرداز 45101693 تجارت - بين 2 به ک 6274121208660688 ش م 169314532471 ش پ 169321</t>
  </si>
  <si>
    <t>کارمزد انتقال از خودپرداز 45101693 تجارت - بين 2 از ک 6219861085062957 ش م 169314532439 ش پ 169320</t>
  </si>
  <si>
    <t>انتقال از خودپرداز 45101693 تجارت - بين 2 به ک 5892101626109181 ش م 169314532439 ش پ 169320</t>
  </si>
  <si>
    <t>انتقال وجه موبايلت از سپرده 9316.888.1579090.1 ش.پ 00001748222676805222 - محمود ابراهيميان</t>
  </si>
  <si>
    <t>انتقال وجه موبايلت از سپرده 9316.888.1579090.1 ش.پ 00001748222583970420 - محمود ابراهيميان</t>
  </si>
  <si>
    <t>1404/03/04</t>
  </si>
  <si>
    <t>انتقال وجه بلو بانک از شبا IR610560611828005115643201 ش.پ 1404915544930 - محمدرضا سخدري</t>
  </si>
  <si>
    <t>انتقال وجه بلو بانک از شبا IR850560611828005957065001 ش.پ 1404914237645 - حسين بهادريان</t>
  </si>
  <si>
    <t>کارمزد مانده حساب از پايانه فروش 13444162 پرداخت الکترونيک سامان1 از ک 6219861085062957 ش م 85118028</t>
  </si>
  <si>
    <t>کارمزد انتقال از خودپرداز 45101693 تجارت - بين 2 از ک 6219861085062957 ش م 169314471055 ش پ 169310</t>
  </si>
  <si>
    <t>انتقال از خودپرداز 45101693 تجارت - بين 2 به ک 5892101643117522 ش م 169314471055 ش پ 169310</t>
  </si>
  <si>
    <t>انتقال از اينترنت I000MP01 تجارت - بين 2 از ک 5859831226020211 ش م 579015172690 ش پ 121045</t>
  </si>
  <si>
    <t>کارمزد مانده حساب از پايانه فروش 13444162 پرداخت الکترونيک سامان1 از ک 6219861085062957 ش م 85117498</t>
  </si>
  <si>
    <t>انتقال از اينترنت 17592030 ملي از ک 6037998235555074 ش م 823480604901 ش پ 818075</t>
  </si>
  <si>
    <t>کارمزد انتقال از خودپرداز 109343   سپه از ک 6219861085062957 ش م 100778724579 ش پ 000471</t>
  </si>
  <si>
    <t>انتقال از خودپرداز 109343   سپه به ک 6219861076095867 ش م 100778724579 ش پ 000471</t>
  </si>
  <si>
    <t>کارمزد انتقال از خودپرداز 00014106 سامان از ک 6219861085062957 ش م 514508623024 ش پ 623024</t>
  </si>
  <si>
    <t>انتقال از خودپرداز 00014106 سامان به ک 6104338697697478 ش م 514508623024 ش پ 623024</t>
  </si>
  <si>
    <t>انتقال از خودپرداز 00014106 سامان به ک 6219861076095867 ش م 514508621804 ش پ 621804</t>
  </si>
  <si>
    <t>انتقال وجه موبايلت از سپرده 9316.888.1579090.1 ش.پ 00001748136927731799 - محمود ابراهيميان</t>
  </si>
  <si>
    <t>انتقال وجه موبايلت از سپرده 9316.888.1579090.1 ش.پ 00001748135616762249 - محمود ابراهيميان</t>
  </si>
  <si>
    <t>1404/03/03</t>
  </si>
  <si>
    <t>کارمزد انتقال از خودپرداز 109936   سپه از ک 6219861085062957 ش م 100759865213 ش پ 000788</t>
  </si>
  <si>
    <t>انتقال از خودپرداز 109936   سپه به ک 6362141055049986 ش م 100759865213 ش پ 000788</t>
  </si>
  <si>
    <t>کارمزد انتقال از خودپرداز 109936   سپه از ک 6219861085062957 ش م 100759842513 ش پ 000786</t>
  </si>
  <si>
    <t>انتقال از خودپرداز 109936   سپه به ک 6274121208660688 ش م 100759842513 ش پ 000786</t>
  </si>
  <si>
    <t>انتقال از اينترنت 115      سپه از ک 5892101574644916 ش م 100753923783 ش پ 451248</t>
  </si>
  <si>
    <t>کارمزد مانده حساب از پايانه فروش 13444162 پرداخت الکترونيک سامان1 از ک 6219861085062957 ش م 85115067</t>
  </si>
  <si>
    <t>کارمزد انتقال از خودپرداز 109936   سپه از ک 6219861085062957 ش م 100751032673 ش پ 000730</t>
  </si>
  <si>
    <t>انتقال از خودپرداز 109936   سپه به ک 6037697600840968 ش م 100751032673 ش پ 000730</t>
  </si>
  <si>
    <t>انتقال از اينترنت 07770023 کشاورزي از ک 6037701562453529 ش م 052418378761 ش پ 378761</t>
  </si>
  <si>
    <t>کارمزد مانده حساب از پايانه فروش 02263389 پرداخت الکترونيک سامان1 از ک 6219861085062957 ش م 85113145</t>
  </si>
  <si>
    <t>انتقال از اينترنت 00000200 ملت از ک 6104338631794324 ش م 162473959211 ش پ 959211</t>
  </si>
  <si>
    <t>خريد کالا و خدمات از پايانه فروش 03071227 کارت اعتباري ايران کيش از ک 6219861085062957 ش م 712271430</t>
  </si>
  <si>
    <t>پرداخت قبوض از پايانه 00212331 سپه از ک 6219861085062957 ش م 003298575836 ش پ 091584</t>
  </si>
  <si>
    <t>1404/03/02</t>
  </si>
  <si>
    <t>کارمزد انتقال از خودپرداز 106317   سپه از ک 6219861085062957 ش م 100657994628 ش پ 002208</t>
  </si>
  <si>
    <t>انتقال از خودپرداز 106317   سپه به ک 6219861050987337 ش م 100657994628 ش پ 002208</t>
  </si>
  <si>
    <t>کارمزد انتقال از خودپرداز 106317   سپه از ک 6219861085062957 ش م 100657843658 ش پ 002206</t>
  </si>
  <si>
    <t>انتقال از خودپرداز 106317   سپه به ک 6037997381658112 ش م 100657843658 ش پ 002206</t>
  </si>
  <si>
    <t>کارمزد انتقال از خودپرداز 106317   سپه از ک 6219861085062957 ش م 100657953851 ش پ 002204</t>
  </si>
  <si>
    <t>انتقال از خودپرداز 106317   سپه به ک 6274121208660688 ش م 100657953851 ش پ 002204</t>
  </si>
  <si>
    <t>کارمزد انتقال از خودپرداز 106317   سپه از ک 6219861085062957 ش م 100657900181 ش پ 002201</t>
  </si>
  <si>
    <t>انتقال از خودپرداز 106317   سپه به ک 6037697454531903 ش م 100657900181 ش پ 002201</t>
  </si>
  <si>
    <t>انتقال وجه موبايلت از سپرده 9316.888.1579090.1 ش.پ 00001748000135847748 - محمود ابراهيميان</t>
  </si>
  <si>
    <t>انتقال وجه موبايلت از سپرده 9316.888.1579090.1 ش.پ 00001747999401521173 - محمود ابراهيميان</t>
  </si>
  <si>
    <t>1404/03/01</t>
  </si>
  <si>
    <t>کارمزد مانده حساب از پايانه فروش 13444162 پرداخت الکترونيک سامان1 از ک 6219861085062957 ش م 85109596</t>
  </si>
  <si>
    <t xml:space="preserve">خريد کالا و خدمات از پايانه فروش 11775072 پرداخت نوين آرين از ک 6219861085062957 ش م 511700331233 ش </t>
  </si>
  <si>
    <t>خريد کالا و خدمات از پايانه فروش 23162201 پرداخت الکترونيک سداد 2 از ک 6219861085062957 ش م 32723950</t>
  </si>
  <si>
    <t>کارمزد مانده حساب از پايانه فروش 13444162 پرداخت الکترونيک سامان1 از ک 6219861085062957 ش م 85108439</t>
  </si>
  <si>
    <t>انتقال از اينترنت 115      سپه از ک 5892101206409191 ش م 100576269918 ش پ 842052</t>
  </si>
  <si>
    <t>خريد کالا و خدمات از پايانه فروش 31171365 پرداخت الکترونيک سامان1 از ک 6219861085062957 ش م 85108116</t>
  </si>
  <si>
    <t>کارمزد انتقال از خودپرداز 45101693 تجارت - بين 2 از ک 6219861085062957 ش م 169314147749 ش پ 169304</t>
  </si>
  <si>
    <t>انتقال از خودپرداز 45101693 تجارت - بين 2 به ک 5892101643117522 ش م 169314147749 ش پ 169304</t>
  </si>
  <si>
    <t>کارمزد انتقال از خودپرداز 45101693 تجارت - بين 2 از ک 6219861085062957 ش م 169314147710 ش پ 169303</t>
  </si>
  <si>
    <t>انتقال از خودپرداز 45101693 تجارت - بين 2 به ک 5892101413472149 ش م 169314147710 ش پ 169303</t>
  </si>
  <si>
    <t>انتقال از اينترنت I000MP01 تجارت - بين 2 از ک 5859831825969560 ش م 831926104179 ش پ 954991</t>
  </si>
  <si>
    <t>انتقال از اينترنت 00000035 پارسيان از ک 6221061250693399 ش م 739818816410 ش پ 644488</t>
  </si>
  <si>
    <t>انتقال وجه موبايلت از سپرده 9316.888.1579090.1 ش.پ 00001747878018528477 - محمود ابراهيميان</t>
  </si>
  <si>
    <t>انتقال وجه موبايلت از سپرده 9316.888.1579090.1 ش.پ 00001747877043412183 - محمود ابراهيميان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</si>
</sst>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\-#,##0\ "/>
    <numFmt numFmtId="165" formatCode="#,##0_-_ر_ي_ا_ل"/>
  </numFmts>
  <fonts count="11">
    <font>
      <sz val="11"/>
      <color theme="1"/>
      <name val="Calibri"/>
      <scheme val="minor"/>
    </font>
    <font>
      <sz val="9"/>
      <color theme="1"/>
      <name val="Tahoma"/>
    </font>
    <font>
      <b/>
      <sz val="11"/>
      <color theme="1"/>
      <name val="Tahoma"/>
    </font>
    <font>
      <sz val="8"/>
      <color theme="1"/>
      <name val="Tahoma"/>
    </font>
    <font>
      <b/>
      <sz val="8"/>
      <color rgb="FF7F7F7F"/>
      <name val="Tahoma"/>
    </font>
    <font>
      <sz val="9"/>
      <color rgb="FF595959"/>
      <name val="Tahoma"/>
    </font>
    <font>
      <b/>
      <sz val="10"/>
      <color rgb="FF595959"/>
      <name val="Tahoma"/>
    </font>
    <font>
      <sz val="11"/>
      <color theme="1"/>
      <name val="Calibri"/>
      <scheme val="minor"/>
    </font>
    <font>
      <sz val="9"/>
      <color rgb="FF000000"/>
      <name val="Tahoma"/>
    </font>
    <font>
      <sz val="9"/>
      <color rgb="FF3D3D3D"/>
      <name val="VazirFa"/>
    </font>
    <font>
      <sz val="9"/>
      <color rgb="FF8F8F8F"/>
      <name val="VazirFa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CE1"/>
        <bgColor rgb="FFEEECE1"/>
      </patternFill>
    </fill>
    <fill>
      <patternFill patternType="solid">
        <fgColor rgb="FFF5F5F5"/>
        <bgColor rgb="FFF5F5F5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3" fontId="4" fillId="2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vertical="center"/>
    </xf>
    <xf numFmtId="3" fontId="3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49" fontId="7" fillId="0" borderId="0" xfId="0" applyNumberFormat="1" applyFont="1"/>
    <xf numFmtId="49" fontId="8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4" borderId="0" xfId="0" applyFont="1" applyFill="1"/>
    <xf numFmtId="0" fontId="7" fillId="0" borderId="0" xfId="0" applyFont="1"/>
    <xf numFmtId="0" fontId="10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rightToLeft="1" workbookViewId="0">
      <pane ySplit="8" topLeftCell="A9" activePane="bottomLeft" state="frozen"/>
      <selection pane="bottomLeft" activeCell="B10" sqref="B10"/>
    </sheetView>
  </sheetViews>
  <sheetFormatPr defaultColWidth="14.42578125" defaultRowHeight="15" customHeight="1"/>
  <cols>
    <col min="1" max="1" width="7.5703125" customWidth="1"/>
    <col min="2" max="2" width="13" customWidth="1"/>
    <col min="3" max="3" width="10.140625" customWidth="1"/>
    <col min="4" max="4" width="20.42578125" customWidth="1"/>
    <col min="5" max="5" width="35.7109375" customWidth="1"/>
    <col min="6" max="6" width="21.85546875" customWidth="1"/>
    <col min="7" max="7" width="19.42578125" customWidth="1"/>
    <col min="8" max="8" width="16.85546875" customWidth="1"/>
    <col min="9" max="9" width="20.42578125" customWidth="1"/>
    <col min="10" max="10" width="26.7109375" customWidth="1"/>
    <col min="11" max="11" width="28" customWidth="1"/>
    <col min="12" max="12" width="13.42578125" customWidth="1"/>
    <col min="13" max="13" width="26.140625" customWidth="1"/>
    <col min="14" max="14" width="26.7109375" customWidth="1"/>
    <col min="15" max="29" width="9.140625" customWidth="1"/>
  </cols>
  <sheetData>
    <row r="1" spans="1:29" ht="4.5" hidden="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3.25" customHeight="1">
      <c r="A2" s="2" t="s">
        <v>0</v>
      </c>
      <c r="B2" s="2" t="s">
        <v>1</v>
      </c>
      <c r="C2" s="2"/>
      <c r="D2" s="3" t="s">
        <v>2</v>
      </c>
      <c r="E2" s="3"/>
      <c r="F2" s="3"/>
      <c r="G2" s="4"/>
      <c r="H2" s="2"/>
      <c r="I2" s="2"/>
      <c r="J2" s="2"/>
      <c r="K2" s="2"/>
      <c r="L2" s="2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19.5" customHeight="1">
      <c r="A3" s="3" t="s">
        <v>3</v>
      </c>
      <c r="B3" s="3"/>
      <c r="C3" s="3"/>
      <c r="D3" s="3" t="s">
        <v>4</v>
      </c>
      <c r="E3" s="3"/>
      <c r="F3" s="3"/>
      <c r="G3" s="4"/>
      <c r="H3" s="3"/>
      <c r="I3" s="3"/>
      <c r="J3" s="3"/>
      <c r="K3" s="3"/>
      <c r="L3" s="3"/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9.5" customHeight="1">
      <c r="A4" s="5" t="s">
        <v>5</v>
      </c>
      <c r="B4" s="5"/>
      <c r="C4" s="5"/>
      <c r="D4" s="5"/>
      <c r="E4" s="5"/>
      <c r="F4" s="5"/>
      <c r="G4" s="4"/>
      <c r="H4" s="5"/>
      <c r="I4" s="6"/>
      <c r="J4" s="6"/>
      <c r="K4" s="7"/>
      <c r="L4" s="5"/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9.5" customHeight="1">
      <c r="A5" s="8"/>
      <c r="B5" s="8" t="s">
        <v>6</v>
      </c>
      <c r="C5" s="8" t="s">
        <v>7</v>
      </c>
      <c r="D5" s="8" t="s">
        <v>8</v>
      </c>
      <c r="E5" s="9">
        <v>21907570</v>
      </c>
      <c r="F5" s="9"/>
      <c r="G5" s="10"/>
      <c r="H5" s="11" t="s">
        <v>9</v>
      </c>
      <c r="I5" s="9">
        <v>21907570</v>
      </c>
      <c r="J5" s="8" t="s">
        <v>10</v>
      </c>
      <c r="K5" s="9">
        <v>0</v>
      </c>
      <c r="L5" s="12"/>
      <c r="M5" s="10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ht="19.5" customHeight="1">
      <c r="A6" s="8"/>
      <c r="B6" s="8" t="s">
        <v>11</v>
      </c>
      <c r="C6" s="8"/>
      <c r="D6" s="11" t="s">
        <v>12</v>
      </c>
      <c r="E6" s="8" t="s">
        <v>13</v>
      </c>
      <c r="F6" s="8"/>
      <c r="G6" s="10"/>
      <c r="H6" s="8" t="s">
        <v>14</v>
      </c>
      <c r="I6" s="8"/>
      <c r="J6" s="12"/>
      <c r="K6" s="8"/>
      <c r="L6" s="8"/>
      <c r="M6" s="10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ht="19.5" customHeight="1">
      <c r="A7" s="8"/>
      <c r="B7" s="8" t="s">
        <v>15</v>
      </c>
      <c r="C7" s="8"/>
      <c r="D7" s="13" t="s">
        <v>16</v>
      </c>
      <c r="E7" s="8"/>
      <c r="F7" s="8"/>
      <c r="G7" s="10"/>
      <c r="H7" s="13" t="s">
        <v>17</v>
      </c>
      <c r="I7" s="8"/>
      <c r="J7" s="12"/>
      <c r="K7" s="8"/>
      <c r="L7" s="8"/>
      <c r="M7" s="10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ht="20.25" customHeight="1">
      <c r="A8" s="14" t="s">
        <v>18</v>
      </c>
      <c r="B8" s="14" t="s">
        <v>19</v>
      </c>
      <c r="C8" s="14" t="s">
        <v>20</v>
      </c>
      <c r="D8" s="14" t="s">
        <v>21</v>
      </c>
      <c r="E8" s="14" t="s">
        <v>22</v>
      </c>
      <c r="F8" s="14"/>
      <c r="G8" s="14" t="s">
        <v>23</v>
      </c>
      <c r="H8" s="14" t="s">
        <v>24</v>
      </c>
      <c r="I8" s="14" t="s">
        <v>25</v>
      </c>
      <c r="J8" s="14" t="s">
        <v>26</v>
      </c>
      <c r="K8" s="14" t="s">
        <v>27</v>
      </c>
      <c r="L8" s="14" t="s">
        <v>28</v>
      </c>
      <c r="M8" s="14" t="s">
        <v>29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spans="1:29" ht="25.5" customHeight="1">
      <c r="A9" s="15">
        <v>1</v>
      </c>
      <c r="B9" s="15" t="s">
        <v>30</v>
      </c>
      <c r="C9" s="16" t="s">
        <v>31</v>
      </c>
      <c r="D9" s="16" t="s">
        <v>32</v>
      </c>
      <c r="E9" s="16" t="s">
        <v>33</v>
      </c>
      <c r="F9" s="16"/>
      <c r="G9" s="17" t="str">
        <f ca="1">VLOOKUP(M9, Cards!A:B, 2, FALSE)</f>
        <v>بنت الهدي سرچاهي</v>
      </c>
      <c r="H9" s="18">
        <v>550000</v>
      </c>
      <c r="I9" s="19">
        <v>0</v>
      </c>
      <c r="J9" s="20">
        <v>4441990</v>
      </c>
      <c r="K9" s="21" t="s">
        <v>34</v>
      </c>
      <c r="L9" s="16" t="s">
        <v>35</v>
      </c>
      <c r="M9" s="1" t="str">
        <f ca="1">IFERROR(__xludf.DUMMYFUNCTION("REGEXEXTRACT(E9, ""ک\s(\d{16})"")
"),"6219861067456409")</f>
        <v>6219861067456409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</row>
    <row r="10" spans="1:29" ht="25.5" customHeight="1">
      <c r="A10" s="15">
        <v>2</v>
      </c>
      <c r="B10" s="15" t="s">
        <v>30</v>
      </c>
      <c r="C10" s="16" t="s">
        <v>36</v>
      </c>
      <c r="D10" s="16" t="s">
        <v>32</v>
      </c>
      <c r="E10" s="16" t="s">
        <v>37</v>
      </c>
      <c r="F10" s="16"/>
      <c r="G10" s="17" t="str">
        <f ca="1">VLOOKUP(M10, Cards!A:B, 2, FALSE)</f>
        <v>فايزه اديبان</v>
      </c>
      <c r="H10" s="18">
        <v>250000</v>
      </c>
      <c r="I10" s="19">
        <v>0</v>
      </c>
      <c r="J10" s="20">
        <v>3891990</v>
      </c>
      <c r="K10" s="21" t="s">
        <v>34</v>
      </c>
      <c r="L10" s="16" t="s">
        <v>38</v>
      </c>
      <c r="M10" s="1" t="str">
        <f ca="1">IFERROR(__xludf.DUMMYFUNCTION("REGEXEXTRACT(E10, ""ک\s(\d{16})"")
"),"6037998273831502")</f>
        <v>6037998273831502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 spans="1:29" ht="25.5" customHeight="1">
      <c r="A11" s="15">
        <v>3</v>
      </c>
      <c r="B11" s="15" t="s">
        <v>30</v>
      </c>
      <c r="C11" s="16" t="s">
        <v>39</v>
      </c>
      <c r="D11" s="16" t="s">
        <v>32</v>
      </c>
      <c r="E11" s="16" t="s">
        <v>40</v>
      </c>
      <c r="F11" s="16"/>
      <c r="G11" s="17" t="str">
        <f ca="1">VLOOKUP(M11, Cards!A:B, 2, FALSE)</f>
        <v>مجيد شجاع پور</v>
      </c>
      <c r="H11" s="18">
        <v>0</v>
      </c>
      <c r="I11" s="19">
        <v>9223000</v>
      </c>
      <c r="J11" s="20">
        <v>53164940</v>
      </c>
      <c r="K11" s="21" t="s">
        <v>34</v>
      </c>
      <c r="L11" s="16" t="s">
        <v>41</v>
      </c>
      <c r="M11" s="1" t="str">
        <f ca="1">IFERROR(__xludf.DUMMYFUNCTION("REGEXEXTRACT(E11, ""ک\s(\d{16})"")
"),"5892101626109181")</f>
        <v>5892101626109181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ht="25.5" customHeight="1">
      <c r="A12" s="15">
        <v>4</v>
      </c>
      <c r="B12" s="15" t="s">
        <v>30</v>
      </c>
      <c r="C12" s="16" t="s">
        <v>42</v>
      </c>
      <c r="D12" s="16" t="s">
        <v>32</v>
      </c>
      <c r="E12" s="16" t="s">
        <v>43</v>
      </c>
      <c r="F12" s="16"/>
      <c r="G12" s="17" t="str">
        <f ca="1">VLOOKUP(M12, Cards!A:B, 2, FALSE)</f>
        <v>محمد کريمي</v>
      </c>
      <c r="H12" s="18">
        <v>0</v>
      </c>
      <c r="I12" s="19">
        <v>17845750</v>
      </c>
      <c r="J12" s="20">
        <v>7159190</v>
      </c>
      <c r="K12" s="21" t="s">
        <v>34</v>
      </c>
      <c r="L12" s="16" t="s">
        <v>44</v>
      </c>
      <c r="M12" s="1" t="str">
        <f ca="1">IFERROR(__xludf.DUMMYFUNCTION("REGEXEXTRACT(E12, ""ک\s(\d{16})"")
"),"5892101643117522")</f>
        <v>5892101643117522</v>
      </c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 spans="1:29" ht="25.5" customHeight="1">
      <c r="A13" s="15">
        <v>5</v>
      </c>
      <c r="B13" s="15" t="s">
        <v>30</v>
      </c>
      <c r="C13" s="16" t="s">
        <v>45</v>
      </c>
      <c r="D13" s="16" t="s">
        <v>32</v>
      </c>
      <c r="E13" s="16" t="s">
        <v>46</v>
      </c>
      <c r="F13" s="16"/>
      <c r="G13" s="17" t="str">
        <f ca="1">VLOOKUP(M13, Cards!A:B, 2, FALSE)</f>
        <v>محمد خانگاه</v>
      </c>
      <c r="H13" s="18">
        <v>0</v>
      </c>
      <c r="I13" s="19">
        <v>28140000</v>
      </c>
      <c r="J13" s="20">
        <v>25017740</v>
      </c>
      <c r="K13" s="21" t="s">
        <v>34</v>
      </c>
      <c r="L13" s="16" t="s">
        <v>47</v>
      </c>
      <c r="M13" s="1" t="str">
        <f ca="1">IFERROR(__xludf.DUMMYFUNCTION("REGEXEXTRACT(E13, ""ک\s(\d{16})"")
"),"6104338971567579")</f>
        <v>6104338971567579</v>
      </c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 spans="1:29" ht="25.5" customHeight="1">
      <c r="A14" s="15">
        <v>6</v>
      </c>
      <c r="B14" s="15" t="s">
        <v>30</v>
      </c>
      <c r="C14" s="16" t="s">
        <v>48</v>
      </c>
      <c r="D14" s="16" t="s">
        <v>32</v>
      </c>
      <c r="E14" s="16" t="s">
        <v>49</v>
      </c>
      <c r="F14" s="16"/>
      <c r="G14" s="17" t="str">
        <f ca="1">VLOOKUP(M14, Cards!A:B, 2, FALSE)</f>
        <v>محمد مومني</v>
      </c>
      <c r="H14" s="18">
        <v>0</v>
      </c>
      <c r="I14" s="19">
        <v>3500000</v>
      </c>
      <c r="J14" s="20">
        <v>3649190</v>
      </c>
      <c r="K14" s="21" t="s">
        <v>34</v>
      </c>
      <c r="L14" s="16" t="s">
        <v>50</v>
      </c>
      <c r="M14" s="1" t="str">
        <f ca="1">IFERROR(__xludf.DUMMYFUNCTION("REGEXEXTRACT(E14, ""ک\s(\d{16})"")
"),"6362141055049986")</f>
        <v>6362141055049986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 spans="1:29" ht="25.5" customHeight="1">
      <c r="A15" s="15">
        <v>7</v>
      </c>
      <c r="B15" s="15" t="s">
        <v>30</v>
      </c>
      <c r="C15" s="16" t="s">
        <v>51</v>
      </c>
      <c r="D15" s="16" t="s">
        <v>52</v>
      </c>
      <c r="E15" s="16" t="s">
        <v>53</v>
      </c>
      <c r="F15" s="16"/>
      <c r="G15" s="1" t="e">
        <f ca="1">VLOOKUP(M15, Cards!A:B, 2, FALSE)</f>
        <v>#N/A</v>
      </c>
      <c r="H15" s="18">
        <v>24000000</v>
      </c>
      <c r="I15" s="19">
        <v>0</v>
      </c>
      <c r="J15" s="20">
        <v>27387940</v>
      </c>
      <c r="K15" s="21" t="s">
        <v>54</v>
      </c>
      <c r="L15" s="16" t="s">
        <v>55</v>
      </c>
      <c r="M15" s="1" t="str">
        <f ca="1">IFERROR(__xludf.DUMMYFUNCTION("REGEXEXTRACT(E15, ""ک\s(\d{16})"")
"),"#N/A")</f>
        <v>#N/A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 spans="1:29" ht="25.5" customHeight="1">
      <c r="A16" s="15">
        <v>8</v>
      </c>
      <c r="B16" s="15" t="s">
        <v>30</v>
      </c>
      <c r="C16" s="16" t="s">
        <v>56</v>
      </c>
      <c r="D16" s="16" t="s">
        <v>52</v>
      </c>
      <c r="E16" s="16" t="s">
        <v>57</v>
      </c>
      <c r="F16" s="16"/>
      <c r="G16" s="1" t="e">
        <f ca="1">VLOOKUP(M16, Cards!A:B, 2, FALSE)</f>
        <v>#N/A</v>
      </c>
      <c r="H16" s="18">
        <v>43000000</v>
      </c>
      <c r="I16" s="19">
        <v>0</v>
      </c>
      <c r="J16" s="20">
        <v>70387940</v>
      </c>
      <c r="K16" s="21" t="s">
        <v>54</v>
      </c>
      <c r="L16" s="16" t="s">
        <v>58</v>
      </c>
      <c r="M16" s="1" t="str">
        <f ca="1">IFERROR(__xludf.DUMMYFUNCTION("REGEXEXTRACT(E16, ""ک\s(\d{16})"")
"),"#N/A")</f>
        <v>#N/A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 spans="1:29" ht="25.5" customHeight="1">
      <c r="A17" s="15">
        <v>9</v>
      </c>
      <c r="B17" s="15" t="s">
        <v>30</v>
      </c>
      <c r="C17" s="16" t="s">
        <v>59</v>
      </c>
      <c r="D17" s="16" t="s">
        <v>60</v>
      </c>
      <c r="E17" s="16" t="s">
        <v>61</v>
      </c>
      <c r="F17" s="16"/>
      <c r="G17" s="17" t="str">
        <f ca="1">VLOOKUP(M17, Cards!A:B, 2, FALSE)</f>
        <v>علي ابراهيميان</v>
      </c>
      <c r="H17" s="18">
        <v>0</v>
      </c>
      <c r="I17" s="19">
        <v>2000000</v>
      </c>
      <c r="J17" s="20">
        <v>68387940</v>
      </c>
      <c r="K17" s="21" t="s">
        <v>34</v>
      </c>
      <c r="L17" s="16" t="s">
        <v>62</v>
      </c>
      <c r="M17" s="1" t="str">
        <f ca="1">IFERROR(__xludf.DUMMYFUNCTION("REGEXEXTRACT(E17, ""ک\s(\d{16})"")
"),"6219861085062957")</f>
        <v>6219861085062957</v>
      </c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 spans="1:29" ht="25.5" customHeight="1">
      <c r="A18" s="15">
        <v>10</v>
      </c>
      <c r="B18" s="15" t="s">
        <v>30</v>
      </c>
      <c r="C18" s="16" t="s">
        <v>63</v>
      </c>
      <c r="D18" s="16" t="s">
        <v>60</v>
      </c>
      <c r="E18" s="16" t="s">
        <v>64</v>
      </c>
      <c r="F18" s="16"/>
      <c r="G18" s="17" t="str">
        <f ca="1">VLOOKUP(M18, Cards!A:B, 2, FALSE)</f>
        <v>علي ابراهيميان</v>
      </c>
      <c r="H18" s="18">
        <v>0</v>
      </c>
      <c r="I18" s="19">
        <v>6000000</v>
      </c>
      <c r="J18" s="20">
        <v>62387940</v>
      </c>
      <c r="K18" s="21" t="s">
        <v>34</v>
      </c>
      <c r="L18" s="16" t="s">
        <v>65</v>
      </c>
      <c r="M18" s="1" t="str">
        <f ca="1">IFERROR(__xludf.DUMMYFUNCTION("REGEXEXTRACT(E18, ""ک\s(\d{16})"")
"),"6219861085062957")</f>
        <v>6219861085062957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29" ht="25.5" customHeight="1">
      <c r="A19" s="15">
        <v>11</v>
      </c>
      <c r="B19" s="15" t="s">
        <v>30</v>
      </c>
      <c r="C19" s="16" t="s">
        <v>39</v>
      </c>
      <c r="D19" s="16" t="s">
        <v>32</v>
      </c>
      <c r="E19" s="16" t="s">
        <v>66</v>
      </c>
      <c r="F19" s="16"/>
      <c r="G19" s="17" t="str">
        <f ca="1">VLOOKUP(M19, Cards!A:B, 2, FALSE)</f>
        <v>علي ابراهيميان</v>
      </c>
      <c r="H19" s="18">
        <v>0</v>
      </c>
      <c r="I19" s="19">
        <v>7200</v>
      </c>
      <c r="J19" s="20">
        <v>53157740</v>
      </c>
      <c r="K19" s="21" t="s">
        <v>34</v>
      </c>
      <c r="L19" s="16" t="s">
        <v>41</v>
      </c>
      <c r="M19" s="1" t="str">
        <f ca="1">IFERROR(__xludf.DUMMYFUNCTION("REGEXEXTRACT(E19, ""ک\s(\d{16})"")
"),"6219861085062957")</f>
        <v>6219861085062957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 spans="1:29" ht="25.5" customHeight="1">
      <c r="A20" s="15">
        <v>12</v>
      </c>
      <c r="B20" s="15" t="s">
        <v>30</v>
      </c>
      <c r="C20" s="16" t="s">
        <v>45</v>
      </c>
      <c r="D20" s="16" t="s">
        <v>32</v>
      </c>
      <c r="E20" s="16" t="s">
        <v>67</v>
      </c>
      <c r="F20" s="16"/>
      <c r="G20" s="17" t="str">
        <f ca="1">VLOOKUP(M20, Cards!A:B, 2, FALSE)</f>
        <v>علي ابراهيميان</v>
      </c>
      <c r="H20" s="18">
        <v>0</v>
      </c>
      <c r="I20" s="19">
        <v>12800</v>
      </c>
      <c r="J20" s="20">
        <v>25004940</v>
      </c>
      <c r="K20" s="21" t="s">
        <v>34</v>
      </c>
      <c r="L20" s="16" t="s">
        <v>47</v>
      </c>
      <c r="M20" s="1" t="str">
        <f ca="1">IFERROR(__xludf.DUMMYFUNCTION("REGEXEXTRACT(E20, ""ک\s(\d{16})"")
"),"6219861085062957")</f>
        <v>6219861085062957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29" ht="25.5" customHeight="1">
      <c r="A21" s="15">
        <v>13</v>
      </c>
      <c r="B21" s="15" t="s">
        <v>30</v>
      </c>
      <c r="C21" s="16" t="s">
        <v>42</v>
      </c>
      <c r="D21" s="16" t="s">
        <v>32</v>
      </c>
      <c r="E21" s="16" t="s">
        <v>68</v>
      </c>
      <c r="F21" s="16"/>
      <c r="G21" s="17" t="str">
        <f ca="1">VLOOKUP(M21, Cards!A:B, 2, FALSE)</f>
        <v>علي ابراهيميان</v>
      </c>
      <c r="H21" s="18">
        <v>0</v>
      </c>
      <c r="I21" s="19">
        <v>10000</v>
      </c>
      <c r="J21" s="20">
        <v>7149190</v>
      </c>
      <c r="K21" s="21" t="s">
        <v>34</v>
      </c>
      <c r="L21" s="16" t="s">
        <v>44</v>
      </c>
      <c r="M21" s="1" t="str">
        <f ca="1">IFERROR(__xludf.DUMMYFUNCTION("REGEXEXTRACT(E21, ""ک\s(\d{16})"")
"),"6219861085062957")</f>
        <v>6219861085062957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 spans="1:29" ht="25.5" customHeight="1">
      <c r="A22" s="15">
        <v>14</v>
      </c>
      <c r="B22" s="15" t="s">
        <v>30</v>
      </c>
      <c r="C22" s="16" t="s">
        <v>48</v>
      </c>
      <c r="D22" s="16" t="s">
        <v>32</v>
      </c>
      <c r="E22" s="16" t="s">
        <v>69</v>
      </c>
      <c r="F22" s="16"/>
      <c r="G22" s="17" t="str">
        <f ca="1">VLOOKUP(M22, Cards!A:B, 2, FALSE)</f>
        <v>علي ابراهيميان</v>
      </c>
      <c r="H22" s="18">
        <v>0</v>
      </c>
      <c r="I22" s="19">
        <v>7200</v>
      </c>
      <c r="J22" s="20">
        <v>3641990</v>
      </c>
      <c r="K22" s="21" t="s">
        <v>34</v>
      </c>
      <c r="L22" s="16" t="s">
        <v>50</v>
      </c>
      <c r="M22" s="1" t="str">
        <f ca="1">IFERROR(__xludf.DUMMYFUNCTION("REGEXEXTRACT(E22, ""ک\s(\d{16})"")
"),"6219861085062957")</f>
        <v>6219861085062957</v>
      </c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spans="1:29" ht="25.5" customHeight="1">
      <c r="A23" s="15">
        <v>15</v>
      </c>
      <c r="B23" s="15" t="s">
        <v>30</v>
      </c>
      <c r="C23" s="16" t="s">
        <v>70</v>
      </c>
      <c r="D23" s="16" t="s">
        <v>71</v>
      </c>
      <c r="E23" s="16" t="s">
        <v>72</v>
      </c>
      <c r="F23" s="16"/>
      <c r="G23" s="17" t="str">
        <f ca="1">VLOOKUP(M23, Cards!A:B, 2, FALSE)</f>
        <v>علي ابراهيميان</v>
      </c>
      <c r="H23" s="18">
        <v>0</v>
      </c>
      <c r="I23" s="19">
        <v>1440</v>
      </c>
      <c r="J23" s="20">
        <v>4440550</v>
      </c>
      <c r="K23" s="21" t="s">
        <v>34</v>
      </c>
      <c r="L23" s="16" t="s">
        <v>73</v>
      </c>
      <c r="M23" s="1" t="str">
        <f ca="1">IFERROR(__xludf.DUMMYFUNCTION("REGEXEXTRACT(E23, ""ک\s(\d{16})"")
"),"6219861085062957")</f>
        <v>6219861085062957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 spans="1:29" ht="25.5" customHeight="1">
      <c r="A24" s="15">
        <v>16</v>
      </c>
      <c r="B24" s="15" t="s">
        <v>74</v>
      </c>
      <c r="C24" s="16" t="s">
        <v>75</v>
      </c>
      <c r="D24" s="16" t="s">
        <v>32</v>
      </c>
      <c r="E24" s="16" t="s">
        <v>76</v>
      </c>
      <c r="F24" s="16"/>
      <c r="G24" s="17" t="str">
        <f ca="1">VLOOKUP(M24, Cards!A:B, 2, FALSE)</f>
        <v>مهناز شوروزي</v>
      </c>
      <c r="H24" s="18">
        <v>1200000</v>
      </c>
      <c r="I24" s="19">
        <v>0</v>
      </c>
      <c r="J24" s="20">
        <v>44272150</v>
      </c>
      <c r="K24" s="21" t="s">
        <v>34</v>
      </c>
      <c r="L24" s="16" t="s">
        <v>77</v>
      </c>
      <c r="M24" s="1" t="str">
        <f ca="1">IFERROR(__xludf.DUMMYFUNCTION("REGEXEXTRACT(E24, ""ک\s(\d{16})"")
"),"6037997417144129")</f>
        <v>6037997417144129</v>
      </c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29" ht="25.5" customHeight="1">
      <c r="A25" s="15">
        <v>17</v>
      </c>
      <c r="B25" s="15" t="s">
        <v>74</v>
      </c>
      <c r="C25" s="16" t="s">
        <v>78</v>
      </c>
      <c r="D25" s="16" t="s">
        <v>32</v>
      </c>
      <c r="E25" s="16" t="s">
        <v>79</v>
      </c>
      <c r="F25" s="16"/>
      <c r="G25" s="17" t="str">
        <f ca="1">VLOOKUP(M25, Cards!A:B, 2, FALSE)</f>
        <v>مجيد شجاع پور</v>
      </c>
      <c r="H25" s="18">
        <v>0</v>
      </c>
      <c r="I25" s="19">
        <v>7840000</v>
      </c>
      <c r="J25" s="20">
        <v>99600550</v>
      </c>
      <c r="K25" s="21" t="s">
        <v>34</v>
      </c>
      <c r="L25" s="16" t="s">
        <v>80</v>
      </c>
      <c r="M25" s="1" t="str">
        <f ca="1">IFERROR(__xludf.DUMMYFUNCTION("REGEXEXTRACT(E25, ""ک\s(\d{16})"")
"),"5892101626109181")</f>
        <v>5892101626109181</v>
      </c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 spans="1:29" ht="25.5" customHeight="1">
      <c r="A26" s="15">
        <v>18</v>
      </c>
      <c r="B26" s="15" t="s">
        <v>74</v>
      </c>
      <c r="C26" s="16" t="s">
        <v>81</v>
      </c>
      <c r="D26" s="16" t="s">
        <v>32</v>
      </c>
      <c r="E26" s="16" t="s">
        <v>82</v>
      </c>
      <c r="F26" s="16"/>
      <c r="G26" s="17" t="str">
        <f ca="1">VLOOKUP(M26, Cards!A:B, 2, FALSE)</f>
        <v>محسن عاملي</v>
      </c>
      <c r="H26" s="18">
        <v>0</v>
      </c>
      <c r="I26" s="19">
        <v>56500000</v>
      </c>
      <c r="J26" s="20">
        <v>43093350</v>
      </c>
      <c r="K26" s="21" t="s">
        <v>34</v>
      </c>
      <c r="L26" s="16" t="s">
        <v>83</v>
      </c>
      <c r="M26" s="1" t="str">
        <f ca="1">IFERROR(__xludf.DUMMYFUNCTION("REGEXEXTRACT(E26, ""ک\s(\d{16})"")
"),"6104337886219300")</f>
        <v>6104337886219300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spans="1:29" ht="25.5" customHeight="1">
      <c r="A27" s="15">
        <v>19</v>
      </c>
      <c r="B27" s="15" t="s">
        <v>74</v>
      </c>
      <c r="C27" s="16" t="s">
        <v>84</v>
      </c>
      <c r="D27" s="16" t="s">
        <v>32</v>
      </c>
      <c r="E27" s="16" t="s">
        <v>85</v>
      </c>
      <c r="F27" s="16"/>
      <c r="G27" s="17" t="str">
        <f ca="1">VLOOKUP(M27, Cards!A:B, 2, FALSE)</f>
        <v>محمد خانگاه</v>
      </c>
      <c r="H27" s="18">
        <v>0</v>
      </c>
      <c r="I27" s="19">
        <v>23300000</v>
      </c>
      <c r="J27" s="20">
        <v>20972150</v>
      </c>
      <c r="K27" s="21" t="s">
        <v>34</v>
      </c>
      <c r="L27" s="16" t="s">
        <v>86</v>
      </c>
      <c r="M27" s="1" t="str">
        <f ca="1">IFERROR(__xludf.DUMMYFUNCTION("REGEXEXTRACT(E27, ""ک\s(\d{16})"")
"),"6104338971567579")</f>
        <v>6104338971567579</v>
      </c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spans="1:29" ht="25.5" customHeight="1">
      <c r="A28" s="15">
        <v>20</v>
      </c>
      <c r="B28" s="15" t="s">
        <v>74</v>
      </c>
      <c r="C28" s="16" t="s">
        <v>87</v>
      </c>
      <c r="D28" s="16" t="s">
        <v>52</v>
      </c>
      <c r="E28" s="16" t="s">
        <v>88</v>
      </c>
      <c r="F28" s="16"/>
      <c r="G28" s="1" t="e">
        <f ca="1">VLOOKUP(M28, Cards!A:B, 2, FALSE)</f>
        <v>#N/A</v>
      </c>
      <c r="H28" s="18">
        <v>103000000</v>
      </c>
      <c r="I28" s="19">
        <v>0</v>
      </c>
      <c r="J28" s="20">
        <v>107440550</v>
      </c>
      <c r="K28" s="21" t="s">
        <v>54</v>
      </c>
      <c r="L28" s="16" t="s">
        <v>89</v>
      </c>
      <c r="M28" s="1" t="str">
        <f ca="1">IFERROR(__xludf.DUMMYFUNCTION("REGEXEXTRACT(E28, ""ک\s(\d{16})"")
"),"#N/A")</f>
        <v>#N/A</v>
      </c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 spans="1:29" ht="25.5" customHeight="1">
      <c r="A29" s="15">
        <v>21</v>
      </c>
      <c r="B29" s="15" t="s">
        <v>74</v>
      </c>
      <c r="C29" s="16" t="s">
        <v>78</v>
      </c>
      <c r="D29" s="16" t="s">
        <v>32</v>
      </c>
      <c r="E29" s="16" t="s">
        <v>90</v>
      </c>
      <c r="F29" s="16"/>
      <c r="G29" s="17" t="str">
        <f ca="1">VLOOKUP(M29, Cards!A:B, 2, FALSE)</f>
        <v>علي ابراهيميان</v>
      </c>
      <c r="H29" s="18">
        <v>0</v>
      </c>
      <c r="I29" s="19">
        <v>7200</v>
      </c>
      <c r="J29" s="20">
        <v>99593350</v>
      </c>
      <c r="K29" s="21" t="s">
        <v>34</v>
      </c>
      <c r="L29" s="16" t="s">
        <v>80</v>
      </c>
      <c r="M29" s="1" t="str">
        <f ca="1">IFERROR(__xludf.DUMMYFUNCTION("REGEXEXTRACT(E29, ""ک\s(\d{16})"")
"),"6219861085062957")</f>
        <v>6219861085062957</v>
      </c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 spans="1:29" ht="25.5" customHeight="1">
      <c r="A30" s="15">
        <v>22</v>
      </c>
      <c r="B30" s="15" t="s">
        <v>74</v>
      </c>
      <c r="C30" s="16" t="s">
        <v>81</v>
      </c>
      <c r="D30" s="16" t="s">
        <v>32</v>
      </c>
      <c r="E30" s="16" t="s">
        <v>91</v>
      </c>
      <c r="F30" s="16"/>
      <c r="G30" s="17" t="str">
        <f ca="1">VLOOKUP(M30, Cards!A:B, 2, FALSE)</f>
        <v>علي ابراهيميان</v>
      </c>
      <c r="H30" s="18">
        <v>0</v>
      </c>
      <c r="I30" s="19">
        <v>21200</v>
      </c>
      <c r="J30" s="20">
        <v>43072150</v>
      </c>
      <c r="K30" s="21" t="s">
        <v>34</v>
      </c>
      <c r="L30" s="16" t="s">
        <v>83</v>
      </c>
      <c r="M30" s="1" t="str">
        <f ca="1">IFERROR(__xludf.DUMMYFUNCTION("REGEXEXTRACT(E30, ""ک\s(\d{16})"")
"),"6219861085062957")</f>
        <v>6219861085062957</v>
      </c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 spans="1:29" ht="25.5" customHeight="1">
      <c r="A31" s="15">
        <v>23</v>
      </c>
      <c r="B31" s="15" t="s">
        <v>74</v>
      </c>
      <c r="C31" s="16" t="s">
        <v>84</v>
      </c>
      <c r="D31" s="16" t="s">
        <v>32</v>
      </c>
      <c r="E31" s="16" t="s">
        <v>92</v>
      </c>
      <c r="F31" s="16"/>
      <c r="G31" s="17" t="str">
        <f ca="1">VLOOKUP(M31, Cards!A:B, 2, FALSE)</f>
        <v>علي ابراهيميان</v>
      </c>
      <c r="H31" s="18">
        <v>0</v>
      </c>
      <c r="I31" s="19">
        <v>12800</v>
      </c>
      <c r="J31" s="20">
        <v>20959350</v>
      </c>
      <c r="K31" s="21" t="s">
        <v>34</v>
      </c>
      <c r="L31" s="16" t="s">
        <v>86</v>
      </c>
      <c r="M31" s="1" t="str">
        <f ca="1">IFERROR(__xludf.DUMMYFUNCTION("REGEXEXTRACT(E31, ""ک\s(\d{16})"")
"),"6219861085062957")</f>
        <v>6219861085062957</v>
      </c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 spans="1:29" ht="25.5" customHeight="1">
      <c r="A32" s="15">
        <v>24</v>
      </c>
      <c r="B32" s="15" t="s">
        <v>74</v>
      </c>
      <c r="C32" s="16" t="s">
        <v>93</v>
      </c>
      <c r="D32" s="16" t="s">
        <v>71</v>
      </c>
      <c r="E32" s="16" t="s">
        <v>94</v>
      </c>
      <c r="F32" s="16"/>
      <c r="G32" s="17" t="str">
        <f ca="1">VLOOKUP(M32, Cards!A:B, 2, FALSE)</f>
        <v>علي ابراهيميان</v>
      </c>
      <c r="H32" s="18">
        <v>0</v>
      </c>
      <c r="I32" s="19">
        <v>1440</v>
      </c>
      <c r="J32" s="20">
        <v>20957910</v>
      </c>
      <c r="K32" s="21" t="s">
        <v>34</v>
      </c>
      <c r="L32" s="16" t="s">
        <v>95</v>
      </c>
      <c r="M32" s="1" t="str">
        <f ca="1">IFERROR(__xludf.DUMMYFUNCTION("REGEXEXTRACT(E32, ""ک\s(\d{16})"")
"),"6219861085062957")</f>
        <v>6219861085062957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 spans="1:29" ht="25.5" customHeight="1">
      <c r="A33" s="15">
        <v>25</v>
      </c>
      <c r="B33" s="15" t="s">
        <v>96</v>
      </c>
      <c r="C33" s="16" t="s">
        <v>97</v>
      </c>
      <c r="D33" s="16" t="s">
        <v>32</v>
      </c>
      <c r="E33" s="16" t="s">
        <v>98</v>
      </c>
      <c r="F33" s="16"/>
      <c r="G33" s="17" t="str">
        <f ca="1">VLOOKUP(M33, Cards!A:B, 2, FALSE)</f>
        <v>عباس شفيعي</v>
      </c>
      <c r="H33" s="18">
        <v>2250000</v>
      </c>
      <c r="I33" s="19">
        <v>0</v>
      </c>
      <c r="J33" s="20">
        <v>17005770</v>
      </c>
      <c r="K33" s="21" t="s">
        <v>34</v>
      </c>
      <c r="L33" s="16" t="s">
        <v>99</v>
      </c>
      <c r="M33" s="1" t="str">
        <f ca="1">IFERROR(__xludf.DUMMYFUNCTION("REGEXEXTRACT(E33, ""ک\s(\d{16})"")
"),"6063731012075140")</f>
        <v>6063731012075140</v>
      </c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 spans="1:29" ht="25.5" customHeight="1">
      <c r="A34" s="15">
        <v>26</v>
      </c>
      <c r="B34" s="15" t="s">
        <v>96</v>
      </c>
      <c r="C34" s="16" t="s">
        <v>100</v>
      </c>
      <c r="D34" s="16" t="s">
        <v>32</v>
      </c>
      <c r="E34" s="16" t="s">
        <v>101</v>
      </c>
      <c r="F34" s="16"/>
      <c r="G34" s="17" t="str">
        <f ca="1">VLOOKUP(M34, Cards!A:B, 2, FALSE)</f>
        <v>مهدي خاني علي آبادي</v>
      </c>
      <c r="H34" s="18">
        <v>1650000</v>
      </c>
      <c r="I34" s="19">
        <v>0</v>
      </c>
      <c r="J34" s="20">
        <v>13905770</v>
      </c>
      <c r="K34" s="21" t="s">
        <v>34</v>
      </c>
      <c r="L34" s="16" t="s">
        <v>102</v>
      </c>
      <c r="M34" s="1" t="str">
        <f ca="1">IFERROR(__xludf.DUMMYFUNCTION("REGEXEXTRACT(E34, ""ک\s(\d{16})"")
"),"5892101634813113")</f>
        <v>5892101634813113</v>
      </c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 spans="1:29" ht="25.5" customHeight="1">
      <c r="A35" s="15">
        <v>27</v>
      </c>
      <c r="B35" s="15" t="s">
        <v>96</v>
      </c>
      <c r="C35" s="16" t="s">
        <v>103</v>
      </c>
      <c r="D35" s="16" t="s">
        <v>32</v>
      </c>
      <c r="E35" s="16" t="s">
        <v>104</v>
      </c>
      <c r="F35" s="16"/>
      <c r="G35" s="17">
        <f ca="1">VLOOKUP(M35, Cards!A:B, 2, FALSE)</f>
        <v>0</v>
      </c>
      <c r="H35" s="18">
        <v>850000</v>
      </c>
      <c r="I35" s="19">
        <v>0</v>
      </c>
      <c r="J35" s="20">
        <v>14755770</v>
      </c>
      <c r="K35" s="21" t="s">
        <v>34</v>
      </c>
      <c r="L35" s="16" t="s">
        <v>105</v>
      </c>
      <c r="M35" s="1" t="str">
        <f ca="1">IFERROR(__xludf.DUMMYFUNCTION("REGEXEXTRACT(E35, ""ک\s(\d{16})"")
"),"5892101600739268")</f>
        <v>5892101600739268</v>
      </c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 spans="1:29" ht="25.5" customHeight="1">
      <c r="A36" s="15">
        <v>28</v>
      </c>
      <c r="B36" s="15" t="s">
        <v>96</v>
      </c>
      <c r="C36" s="16" t="s">
        <v>106</v>
      </c>
      <c r="D36" s="16" t="s">
        <v>32</v>
      </c>
      <c r="E36" s="16" t="s">
        <v>107</v>
      </c>
      <c r="F36" s="16"/>
      <c r="G36" s="17" t="str">
        <f ca="1">VLOOKUP(M36, Cards!A:B, 2, FALSE)</f>
        <v>حسين شرفي</v>
      </c>
      <c r="H36" s="18">
        <v>0</v>
      </c>
      <c r="I36" s="19">
        <v>10525000</v>
      </c>
      <c r="J36" s="20">
        <v>84244910</v>
      </c>
      <c r="K36" s="21" t="s">
        <v>34</v>
      </c>
      <c r="L36" s="16" t="s">
        <v>108</v>
      </c>
      <c r="M36" s="1" t="str">
        <f ca="1">IFERROR(__xludf.DUMMYFUNCTION("REGEXEXTRACT(E36, ""ک\s(\d{16})"")
"),"6104338930122953")</f>
        <v>6104338930122953</v>
      </c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 spans="1:29" ht="25.5" customHeight="1">
      <c r="A37" s="15">
        <v>29</v>
      </c>
      <c r="B37" s="15" t="s">
        <v>96</v>
      </c>
      <c r="C37" s="16" t="s">
        <v>109</v>
      </c>
      <c r="D37" s="16" t="s">
        <v>32</v>
      </c>
      <c r="E37" s="16" t="s">
        <v>110</v>
      </c>
      <c r="F37" s="16"/>
      <c r="G37" s="17" t="str">
        <f ca="1">VLOOKUP(M37, Cards!A:B, 2, FALSE)</f>
        <v>محمدمهدي روديان</v>
      </c>
      <c r="H37" s="18">
        <v>0</v>
      </c>
      <c r="I37" s="19">
        <v>54000000</v>
      </c>
      <c r="J37" s="20">
        <v>12278410</v>
      </c>
      <c r="K37" s="21" t="s">
        <v>34</v>
      </c>
      <c r="L37" s="16" t="s">
        <v>111</v>
      </c>
      <c r="M37" s="1" t="str">
        <f ca="1">IFERROR(__xludf.DUMMYFUNCTION("REGEXEXTRACT(E37, ""ک\s(\d{16})"")
"),"5892101634724955")</f>
        <v>5892101634724955</v>
      </c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 spans="1:29" ht="25.5" customHeight="1">
      <c r="A38" s="15">
        <v>30</v>
      </c>
      <c r="B38" s="15" t="s">
        <v>96</v>
      </c>
      <c r="C38" s="16" t="s">
        <v>112</v>
      </c>
      <c r="D38" s="16" t="s">
        <v>32</v>
      </c>
      <c r="E38" s="16" t="s">
        <v>113</v>
      </c>
      <c r="F38" s="16"/>
      <c r="G38" s="17" t="str">
        <f ca="1">VLOOKUP(M38, Cards!A:B, 2, FALSE)</f>
        <v>محمد کريمي</v>
      </c>
      <c r="H38" s="18">
        <v>0</v>
      </c>
      <c r="I38" s="19">
        <v>17946500</v>
      </c>
      <c r="J38" s="20">
        <v>66288410</v>
      </c>
      <c r="K38" s="21" t="s">
        <v>34</v>
      </c>
      <c r="L38" s="16" t="s">
        <v>114</v>
      </c>
      <c r="M38" s="1" t="str">
        <f ca="1">IFERROR(__xludf.DUMMYFUNCTION("REGEXEXTRACT(E38, ""ک\s(\d{16})"")
"),"5892101643117522")</f>
        <v>5892101643117522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 spans="1:29" ht="25.5" customHeight="1">
      <c r="A39" s="15">
        <v>31</v>
      </c>
      <c r="B39" s="15" t="s">
        <v>96</v>
      </c>
      <c r="C39" s="16" t="s">
        <v>115</v>
      </c>
      <c r="D39" s="16" t="s">
        <v>52</v>
      </c>
      <c r="E39" s="16" t="s">
        <v>116</v>
      </c>
      <c r="F39" s="16"/>
      <c r="G39" s="1" t="e">
        <f ca="1">VLOOKUP(M39, Cards!A:B, 2, FALSE)</f>
        <v>#N/A</v>
      </c>
      <c r="H39" s="18">
        <v>44000000</v>
      </c>
      <c r="I39" s="19">
        <v>0</v>
      </c>
      <c r="J39" s="20">
        <v>64957910</v>
      </c>
      <c r="K39" s="21" t="s">
        <v>54</v>
      </c>
      <c r="L39" s="16" t="s">
        <v>117</v>
      </c>
      <c r="M39" s="1" t="str">
        <f ca="1">IFERROR(__xludf.DUMMYFUNCTION("REGEXEXTRACT(E39, ""ک\s(\d{16})"")
"),"#N/A")</f>
        <v>#N/A</v>
      </c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 spans="1:29" ht="25.5" customHeight="1">
      <c r="A40" s="15">
        <v>32</v>
      </c>
      <c r="B40" s="15" t="s">
        <v>96</v>
      </c>
      <c r="C40" s="16" t="s">
        <v>118</v>
      </c>
      <c r="D40" s="16" t="s">
        <v>52</v>
      </c>
      <c r="E40" s="16" t="s">
        <v>119</v>
      </c>
      <c r="F40" s="16"/>
      <c r="G40" s="1" t="e">
        <f ca="1">VLOOKUP(M40, Cards!A:B, 2, FALSE)</f>
        <v>#N/A</v>
      </c>
      <c r="H40" s="18">
        <v>41000000</v>
      </c>
      <c r="I40" s="19">
        <v>0</v>
      </c>
      <c r="J40" s="20">
        <v>105957910</v>
      </c>
      <c r="K40" s="21" t="s">
        <v>54</v>
      </c>
      <c r="L40" s="16" t="s">
        <v>120</v>
      </c>
      <c r="M40" s="1" t="str">
        <f ca="1">IFERROR(__xludf.DUMMYFUNCTION("REGEXEXTRACT(E40, ""ک\s(\d{16})"")
"),"#N/A")</f>
        <v>#N/A</v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 spans="1:29" ht="25.5" customHeight="1">
      <c r="A41" s="15">
        <v>33</v>
      </c>
      <c r="B41" s="15" t="s">
        <v>96</v>
      </c>
      <c r="C41" s="16" t="s">
        <v>121</v>
      </c>
      <c r="D41" s="16" t="s">
        <v>122</v>
      </c>
      <c r="E41" s="16" t="s">
        <v>123</v>
      </c>
      <c r="F41" s="16"/>
      <c r="G41" s="17" t="str">
        <f ca="1">VLOOKUP(M41, Cards!A:B, 2, FALSE)</f>
        <v>علي ابراهيميان</v>
      </c>
      <c r="H41" s="18">
        <v>0</v>
      </c>
      <c r="I41" s="19">
        <v>4889000</v>
      </c>
      <c r="J41" s="20">
        <v>12116770</v>
      </c>
      <c r="K41" s="21" t="s">
        <v>34</v>
      </c>
      <c r="L41" s="16" t="s">
        <v>124</v>
      </c>
      <c r="M41" s="1" t="str">
        <f ca="1">IFERROR(__xludf.DUMMYFUNCTION("REGEXEXTRACT(E41, ""ک\s(\d{16})"")
"),"6219861085062957")</f>
        <v>6219861085062957</v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 spans="1:29" ht="25.5" customHeight="1">
      <c r="A42" s="15">
        <v>34</v>
      </c>
      <c r="B42" s="15" t="s">
        <v>96</v>
      </c>
      <c r="C42" s="16" t="s">
        <v>125</v>
      </c>
      <c r="D42" s="16" t="s">
        <v>122</v>
      </c>
      <c r="E42" s="16" t="s">
        <v>126</v>
      </c>
      <c r="F42" s="16"/>
      <c r="G42" s="1" t="e">
        <f ca="1">VLOOKUP(M42, Cards!A:B, 2, FALSE)</f>
        <v>#N/A</v>
      </c>
      <c r="H42" s="18">
        <v>0</v>
      </c>
      <c r="I42" s="19">
        <v>328000</v>
      </c>
      <c r="J42" s="20">
        <v>94769910</v>
      </c>
      <c r="K42" s="21" t="s">
        <v>34</v>
      </c>
      <c r="L42" s="16" t="s">
        <v>127</v>
      </c>
      <c r="M42" s="1" t="str">
        <f ca="1">IFERROR(__xludf.DUMMYFUNCTION("REGEXEXTRACT(E42, ""ک\s(\d{16})"")
"),"#N/A")</f>
        <v>#N/A</v>
      </c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 spans="1:29" ht="25.5" customHeight="1">
      <c r="A43" s="15">
        <v>35</v>
      </c>
      <c r="B43" s="15" t="s">
        <v>96</v>
      </c>
      <c r="C43" s="16" t="s">
        <v>128</v>
      </c>
      <c r="D43" s="16" t="s">
        <v>60</v>
      </c>
      <c r="E43" s="16" t="s">
        <v>129</v>
      </c>
      <c r="F43" s="16"/>
      <c r="G43" s="17" t="str">
        <f ca="1">VLOOKUP(M43, Cards!A:B, 2, FALSE)</f>
        <v>علي ابراهيميان</v>
      </c>
      <c r="H43" s="18">
        <v>0</v>
      </c>
      <c r="I43" s="19">
        <v>9700000</v>
      </c>
      <c r="J43" s="20">
        <v>95097910</v>
      </c>
      <c r="K43" s="21" t="s">
        <v>34</v>
      </c>
      <c r="L43" s="16" t="s">
        <v>130</v>
      </c>
      <c r="M43" s="1" t="str">
        <f ca="1">IFERROR(__xludf.DUMMYFUNCTION("REGEXEXTRACT(E43, ""ک\s(\d{16})"")
"),"6219861085062957")</f>
        <v>6219861085062957</v>
      </c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 spans="1:29" ht="25.5" customHeight="1">
      <c r="A44" s="15">
        <v>36</v>
      </c>
      <c r="B44" s="15" t="s">
        <v>96</v>
      </c>
      <c r="C44" s="16" t="s">
        <v>131</v>
      </c>
      <c r="D44" s="16" t="s">
        <v>60</v>
      </c>
      <c r="E44" s="16" t="s">
        <v>132</v>
      </c>
      <c r="F44" s="16"/>
      <c r="G44" s="17" t="str">
        <f ca="1">VLOOKUP(M44, Cards!A:B, 2, FALSE)</f>
        <v>علي ابراهيميان</v>
      </c>
      <c r="H44" s="18">
        <v>0</v>
      </c>
      <c r="I44" s="19">
        <v>1160000</v>
      </c>
      <c r="J44" s="20">
        <v>104797910</v>
      </c>
      <c r="K44" s="21" t="s">
        <v>34</v>
      </c>
      <c r="L44" s="16" t="s">
        <v>133</v>
      </c>
      <c r="M44" s="1" t="str">
        <f ca="1">IFERROR(__xludf.DUMMYFUNCTION("REGEXEXTRACT(E44, ""ک\s(\d{16})"")
"),"6219861085062957")</f>
        <v>6219861085062957</v>
      </c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 spans="1:29" ht="25.5" customHeight="1">
      <c r="A45" s="15">
        <v>37</v>
      </c>
      <c r="B45" s="15" t="s">
        <v>96</v>
      </c>
      <c r="C45" s="16" t="s">
        <v>106</v>
      </c>
      <c r="D45" s="16" t="s">
        <v>32</v>
      </c>
      <c r="E45" s="16" t="s">
        <v>134</v>
      </c>
      <c r="F45" s="16"/>
      <c r="G45" s="17" t="str">
        <f ca="1">VLOOKUP(M45, Cards!A:B, 2, FALSE)</f>
        <v>علي ابراهيميان</v>
      </c>
      <c r="H45" s="18">
        <v>0</v>
      </c>
      <c r="I45" s="19">
        <v>10000</v>
      </c>
      <c r="J45" s="20">
        <v>84234910</v>
      </c>
      <c r="K45" s="21" t="s">
        <v>34</v>
      </c>
      <c r="L45" s="16" t="s">
        <v>108</v>
      </c>
      <c r="M45" s="1" t="str">
        <f ca="1">IFERROR(__xludf.DUMMYFUNCTION("REGEXEXTRACT(E45, ""ک\s(\d{16})"")
"),"6219861085062957")</f>
        <v>6219861085062957</v>
      </c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 spans="1:29" ht="25.5" customHeight="1">
      <c r="A46" s="15">
        <v>38</v>
      </c>
      <c r="B46" s="15" t="s">
        <v>96</v>
      </c>
      <c r="C46" s="16" t="s">
        <v>112</v>
      </c>
      <c r="D46" s="16" t="s">
        <v>32</v>
      </c>
      <c r="E46" s="16" t="s">
        <v>135</v>
      </c>
      <c r="F46" s="16"/>
      <c r="G46" s="17" t="str">
        <f ca="1">VLOOKUP(M46, Cards!A:B, 2, FALSE)</f>
        <v>علي ابراهيميان</v>
      </c>
      <c r="H46" s="18">
        <v>0</v>
      </c>
      <c r="I46" s="19">
        <v>10000</v>
      </c>
      <c r="J46" s="20">
        <v>66278410</v>
      </c>
      <c r="K46" s="21" t="s">
        <v>34</v>
      </c>
      <c r="L46" s="16" t="s">
        <v>114</v>
      </c>
      <c r="M46" s="1" t="str">
        <f ca="1">IFERROR(__xludf.DUMMYFUNCTION("REGEXEXTRACT(E46, ""ک\s(\d{16})"")
"),"6219861085062957")</f>
        <v>6219861085062957</v>
      </c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 spans="1:29" ht="25.5" customHeight="1">
      <c r="A47" s="15">
        <v>39</v>
      </c>
      <c r="B47" s="15" t="s">
        <v>96</v>
      </c>
      <c r="C47" s="16" t="s">
        <v>109</v>
      </c>
      <c r="D47" s="16" t="s">
        <v>32</v>
      </c>
      <c r="E47" s="16" t="s">
        <v>136</v>
      </c>
      <c r="F47" s="16"/>
      <c r="G47" s="17" t="str">
        <f ca="1">VLOOKUP(M47, Cards!A:B, 2, FALSE)</f>
        <v>علي ابراهيميان</v>
      </c>
      <c r="H47" s="18">
        <v>0</v>
      </c>
      <c r="I47" s="19">
        <v>21200</v>
      </c>
      <c r="J47" s="20">
        <v>12257210</v>
      </c>
      <c r="K47" s="21" t="s">
        <v>34</v>
      </c>
      <c r="L47" s="16" t="s">
        <v>111</v>
      </c>
      <c r="M47" s="1" t="str">
        <f ca="1">IFERROR(__xludf.DUMMYFUNCTION("REGEXEXTRACT(E47, ""ک\s(\d{16})"")
"),"6219861085062957")</f>
        <v>6219861085062957</v>
      </c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 spans="1:29" ht="25.5" customHeight="1">
      <c r="A48" s="15">
        <v>40</v>
      </c>
      <c r="B48" s="15" t="s">
        <v>96</v>
      </c>
      <c r="C48" s="16" t="s">
        <v>137</v>
      </c>
      <c r="D48" s="16" t="s">
        <v>71</v>
      </c>
      <c r="E48" s="16" t="s">
        <v>138</v>
      </c>
      <c r="F48" s="16"/>
      <c r="G48" s="17" t="str">
        <f ca="1">VLOOKUP(M48, Cards!A:B, 2, FALSE)</f>
        <v>علي ابراهيميان</v>
      </c>
      <c r="H48" s="18">
        <v>0</v>
      </c>
      <c r="I48" s="19">
        <v>1440</v>
      </c>
      <c r="J48" s="20">
        <v>12255770</v>
      </c>
      <c r="K48" s="21" t="s">
        <v>34</v>
      </c>
      <c r="L48" s="16" t="s">
        <v>139</v>
      </c>
      <c r="M48" s="1" t="str">
        <f ca="1">IFERROR(__xludf.DUMMYFUNCTION("REGEXEXTRACT(E48, ""ک\s(\d{16})"")
"),"6219861085062957")</f>
        <v>6219861085062957</v>
      </c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 spans="1:29" ht="25.5" customHeight="1">
      <c r="A49" s="15">
        <v>41</v>
      </c>
      <c r="B49" s="15" t="s">
        <v>140</v>
      </c>
      <c r="C49" s="16" t="s">
        <v>141</v>
      </c>
      <c r="D49" s="16" t="s">
        <v>32</v>
      </c>
      <c r="E49" s="16" t="s">
        <v>142</v>
      </c>
      <c r="F49" s="16"/>
      <c r="G49" s="17" t="str">
        <f ca="1">VLOOKUP(M49, Cards!A:B, 2, FALSE)</f>
        <v>نيره منتظري</v>
      </c>
      <c r="H49" s="18">
        <v>0</v>
      </c>
      <c r="I49" s="19">
        <v>12000000</v>
      </c>
      <c r="J49" s="20">
        <v>4443930</v>
      </c>
      <c r="K49" s="21" t="s">
        <v>34</v>
      </c>
      <c r="L49" s="16" t="s">
        <v>143</v>
      </c>
      <c r="M49" s="1" t="str">
        <f ca="1">IFERROR(__xludf.DUMMYFUNCTION("REGEXEXTRACT(E49, ""ک\s(\d{16})"")
"),"6219861073786146")</f>
        <v>6219861073786146</v>
      </c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 spans="1:29" ht="25.5" customHeight="1">
      <c r="A50" s="15">
        <v>42</v>
      </c>
      <c r="B50" s="15" t="s">
        <v>140</v>
      </c>
      <c r="C50" s="16" t="s">
        <v>144</v>
      </c>
      <c r="D50" s="16" t="s">
        <v>32</v>
      </c>
      <c r="E50" s="16" t="s">
        <v>145</v>
      </c>
      <c r="F50" s="16"/>
      <c r="G50" s="17" t="str">
        <f ca="1">VLOOKUP(M50, Cards!A:B, 2, FALSE)</f>
        <v>سيدمحمدعلي حامدحيدري</v>
      </c>
      <c r="H50" s="18">
        <v>0</v>
      </c>
      <c r="I50" s="19">
        <v>5000000</v>
      </c>
      <c r="J50" s="20">
        <v>16443930</v>
      </c>
      <c r="K50" s="21" t="s">
        <v>34</v>
      </c>
      <c r="L50" s="16" t="s">
        <v>146</v>
      </c>
      <c r="M50" s="1" t="str">
        <f ca="1">IFERROR(__xludf.DUMMYFUNCTION("REGEXEXTRACT(E50, ""ک\s(\d{16})"")
"),"6219861076095867")</f>
        <v>6219861076095867</v>
      </c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 spans="1:29" ht="25.5" customHeight="1">
      <c r="A51" s="15">
        <v>43</v>
      </c>
      <c r="B51" s="15" t="s">
        <v>140</v>
      </c>
      <c r="C51" s="16" t="s">
        <v>147</v>
      </c>
      <c r="D51" s="16" t="s">
        <v>32</v>
      </c>
      <c r="E51" s="16" t="s">
        <v>148</v>
      </c>
      <c r="F51" s="16"/>
      <c r="G51" s="17" t="str">
        <f ca="1">VLOOKUP(M51, Cards!A:B, 2, FALSE)</f>
        <v>جواد ابراهيميان</v>
      </c>
      <c r="H51" s="18">
        <v>0</v>
      </c>
      <c r="I51" s="19">
        <v>10000000</v>
      </c>
      <c r="J51" s="20">
        <v>110746770</v>
      </c>
      <c r="K51" s="21" t="s">
        <v>34</v>
      </c>
      <c r="L51" s="16" t="s">
        <v>149</v>
      </c>
      <c r="M51" s="1" t="str">
        <f ca="1">IFERROR(__xludf.DUMMYFUNCTION("REGEXEXTRACT(E51, ""ک\s(\d{16})"")
"),"5029081028402846")</f>
        <v>5029081028402846</v>
      </c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1:29" ht="25.5" customHeight="1">
      <c r="A52" s="15">
        <v>44</v>
      </c>
      <c r="B52" s="15" t="s">
        <v>140</v>
      </c>
      <c r="C52" s="16" t="s">
        <v>150</v>
      </c>
      <c r="D52" s="16" t="s">
        <v>32</v>
      </c>
      <c r="E52" s="16" t="s">
        <v>151</v>
      </c>
      <c r="F52" s="16"/>
      <c r="G52" s="17" t="str">
        <f ca="1">VLOOKUP(M52, Cards!A:B, 2, FALSE)</f>
        <v>محمد کريمي</v>
      </c>
      <c r="H52" s="18">
        <v>0</v>
      </c>
      <c r="I52" s="19">
        <v>27753000</v>
      </c>
      <c r="J52" s="20">
        <v>21458170</v>
      </c>
      <c r="K52" s="21" t="s">
        <v>34</v>
      </c>
      <c r="L52" s="16" t="s">
        <v>152</v>
      </c>
      <c r="M52" s="1" t="str">
        <f ca="1">IFERROR(__xludf.DUMMYFUNCTION("REGEXEXTRACT(E52, ""ک\s(\d{16})"")
"),"5892101643117522")</f>
        <v>5892101643117522</v>
      </c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 spans="1:29" ht="25.5" customHeight="1">
      <c r="A53" s="15">
        <v>45</v>
      </c>
      <c r="B53" s="15" t="s">
        <v>140</v>
      </c>
      <c r="C53" s="16" t="s">
        <v>153</v>
      </c>
      <c r="D53" s="16" t="s">
        <v>32</v>
      </c>
      <c r="E53" s="16" t="s">
        <v>154</v>
      </c>
      <c r="F53" s="16"/>
      <c r="G53" s="17" t="str">
        <f ca="1">VLOOKUP(M53, Cards!A:B, 2, FALSE)</f>
        <v>مهدي ابراهيميان</v>
      </c>
      <c r="H53" s="18">
        <v>0</v>
      </c>
      <c r="I53" s="19">
        <v>5000000</v>
      </c>
      <c r="J53" s="20">
        <v>105739570</v>
      </c>
      <c r="K53" s="21" t="s">
        <v>34</v>
      </c>
      <c r="L53" s="16" t="s">
        <v>155</v>
      </c>
      <c r="M53" s="1" t="str">
        <f ca="1">IFERROR(__xludf.DUMMYFUNCTION("REGEXEXTRACT(E53, ""ک\s(\d{16})"")
"),"6219861050987337")</f>
        <v>6219861050987337</v>
      </c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 spans="1:29" ht="25.5" customHeight="1">
      <c r="A54" s="15">
        <v>46</v>
      </c>
      <c r="B54" s="15" t="s">
        <v>140</v>
      </c>
      <c r="C54" s="16" t="s">
        <v>156</v>
      </c>
      <c r="D54" s="16" t="s">
        <v>32</v>
      </c>
      <c r="E54" s="16" t="s">
        <v>157</v>
      </c>
      <c r="F54" s="16"/>
      <c r="G54" s="17" t="str">
        <f ca="1">VLOOKUP(M54, Cards!A:B, 2, FALSE)</f>
        <v>سيدمحمدعلي حامدحيدري</v>
      </c>
      <c r="H54" s="18">
        <v>0</v>
      </c>
      <c r="I54" s="19">
        <v>56500000</v>
      </c>
      <c r="J54" s="20">
        <v>49232370</v>
      </c>
      <c r="K54" s="21" t="s">
        <v>34</v>
      </c>
      <c r="L54" s="16" t="s">
        <v>158</v>
      </c>
      <c r="M54" s="1" t="str">
        <f ca="1">IFERROR(__xludf.DUMMYFUNCTION("REGEXEXTRACT(E54, ""ک\s(\d{16})"")
"),"6219861076095867")</f>
        <v>6219861076095867</v>
      </c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 spans="1:29" ht="25.5" customHeight="1">
      <c r="A55" s="15">
        <v>47</v>
      </c>
      <c r="B55" s="15" t="s">
        <v>140</v>
      </c>
      <c r="C55" s="16" t="s">
        <v>159</v>
      </c>
      <c r="D55" s="16" t="s">
        <v>52</v>
      </c>
      <c r="E55" s="16" t="s">
        <v>160</v>
      </c>
      <c r="F55" s="16"/>
      <c r="G55" s="1" t="e">
        <f ca="1">VLOOKUP(M55, Cards!A:B, 2, FALSE)</f>
        <v>#N/A</v>
      </c>
      <c r="H55" s="18">
        <v>120000000</v>
      </c>
      <c r="I55" s="19">
        <v>0</v>
      </c>
      <c r="J55" s="20">
        <v>132116770</v>
      </c>
      <c r="K55" s="21" t="s">
        <v>54</v>
      </c>
      <c r="L55" s="16" t="s">
        <v>161</v>
      </c>
      <c r="M55" s="1" t="str">
        <f ca="1">IFERROR(__xludf.DUMMYFUNCTION("REGEXEXTRACT(E55, ""ک\s(\d{16})"")
"),"#N/A")</f>
        <v>#N/A</v>
      </c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 spans="1:29" ht="25.5" customHeight="1">
      <c r="A56" s="15">
        <v>48</v>
      </c>
      <c r="B56" s="15" t="s">
        <v>140</v>
      </c>
      <c r="C56" s="16" t="s">
        <v>162</v>
      </c>
      <c r="D56" s="16" t="s">
        <v>60</v>
      </c>
      <c r="E56" s="16" t="s">
        <v>163</v>
      </c>
      <c r="F56" s="16"/>
      <c r="G56" s="17" t="str">
        <f ca="1">VLOOKUP(M56, Cards!A:B, 2, FALSE)</f>
        <v>علي ابراهيميان</v>
      </c>
      <c r="H56" s="18">
        <v>0</v>
      </c>
      <c r="I56" s="19">
        <v>11370000</v>
      </c>
      <c r="J56" s="20">
        <v>120746770</v>
      </c>
      <c r="K56" s="21" t="s">
        <v>34</v>
      </c>
      <c r="L56" s="16" t="s">
        <v>164</v>
      </c>
      <c r="M56" s="1" t="str">
        <f ca="1">IFERROR(__xludf.DUMMYFUNCTION("REGEXEXTRACT(E56, ""ک\s(\d{16})"")
"),"6219861085062957")</f>
        <v>6219861085062957</v>
      </c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 spans="1:29" ht="25.5" customHeight="1">
      <c r="A57" s="15">
        <v>49</v>
      </c>
      <c r="B57" s="15" t="s">
        <v>140</v>
      </c>
      <c r="C57" s="16" t="s">
        <v>147</v>
      </c>
      <c r="D57" s="16" t="s">
        <v>32</v>
      </c>
      <c r="E57" s="16" t="s">
        <v>165</v>
      </c>
      <c r="F57" s="16"/>
      <c r="G57" s="17" t="str">
        <f ca="1">VLOOKUP(M57, Cards!A:B, 2, FALSE)</f>
        <v>علي ابراهيميان</v>
      </c>
      <c r="H57" s="18">
        <v>0</v>
      </c>
      <c r="I57" s="19">
        <v>7200</v>
      </c>
      <c r="J57" s="20">
        <v>110739570</v>
      </c>
      <c r="K57" s="21" t="s">
        <v>34</v>
      </c>
      <c r="L57" s="16" t="s">
        <v>149</v>
      </c>
      <c r="M57" s="1" t="str">
        <f ca="1">IFERROR(__xludf.DUMMYFUNCTION("REGEXEXTRACT(E57, ""ک\s(\d{16})"")
"),"6219861085062957")</f>
        <v>6219861085062957</v>
      </c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 spans="1:29" ht="25.5" customHeight="1">
      <c r="A58" s="15">
        <v>50</v>
      </c>
      <c r="B58" s="15" t="s">
        <v>140</v>
      </c>
      <c r="C58" s="16" t="s">
        <v>153</v>
      </c>
      <c r="D58" s="16" t="s">
        <v>32</v>
      </c>
      <c r="E58" s="16" t="s">
        <v>166</v>
      </c>
      <c r="F58" s="16"/>
      <c r="G58" s="17" t="str">
        <f ca="1">VLOOKUP(M58, Cards!A:B, 2, FALSE)</f>
        <v>علي ابراهيميان</v>
      </c>
      <c r="H58" s="18">
        <v>0</v>
      </c>
      <c r="I58" s="19">
        <v>7200</v>
      </c>
      <c r="J58" s="20">
        <v>105732370</v>
      </c>
      <c r="K58" s="21" t="s">
        <v>34</v>
      </c>
      <c r="L58" s="16" t="s">
        <v>155</v>
      </c>
      <c r="M58" s="1" t="str">
        <f ca="1">IFERROR(__xludf.DUMMYFUNCTION("REGEXEXTRACT(E58, ""ک\s(\d{16})"")
"),"6219861085062957")</f>
        <v>6219861085062957</v>
      </c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 spans="1:29" ht="25.5" customHeight="1">
      <c r="A59" s="15">
        <v>51</v>
      </c>
      <c r="B59" s="15" t="s">
        <v>140</v>
      </c>
      <c r="C59" s="16" t="s">
        <v>156</v>
      </c>
      <c r="D59" s="16" t="s">
        <v>32</v>
      </c>
      <c r="E59" s="16" t="s">
        <v>167</v>
      </c>
      <c r="F59" s="16"/>
      <c r="G59" s="17" t="str">
        <f ca="1">VLOOKUP(M59, Cards!A:B, 2, FALSE)</f>
        <v>علي ابراهيميان</v>
      </c>
      <c r="H59" s="18">
        <v>0</v>
      </c>
      <c r="I59" s="19">
        <v>21200</v>
      </c>
      <c r="J59" s="20">
        <v>49211170</v>
      </c>
      <c r="K59" s="21" t="s">
        <v>34</v>
      </c>
      <c r="L59" s="16" t="s">
        <v>158</v>
      </c>
      <c r="M59" s="1" t="str">
        <f ca="1">IFERROR(__xludf.DUMMYFUNCTION("REGEXEXTRACT(E59, ""ک\s(\d{16})"")
"),"6219861085062957")</f>
        <v>6219861085062957</v>
      </c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spans="1:29" ht="25.5" customHeight="1">
      <c r="A60" s="15">
        <v>52</v>
      </c>
      <c r="B60" s="15" t="s">
        <v>140</v>
      </c>
      <c r="C60" s="16" t="s">
        <v>150</v>
      </c>
      <c r="D60" s="16" t="s">
        <v>32</v>
      </c>
      <c r="E60" s="16" t="s">
        <v>168</v>
      </c>
      <c r="F60" s="16"/>
      <c r="G60" s="17" t="str">
        <f ca="1">VLOOKUP(M60, Cards!A:B, 2, FALSE)</f>
        <v>علي ابراهيميان</v>
      </c>
      <c r="H60" s="18">
        <v>0</v>
      </c>
      <c r="I60" s="19">
        <v>12800</v>
      </c>
      <c r="J60" s="20">
        <v>21445370</v>
      </c>
      <c r="K60" s="21" t="s">
        <v>34</v>
      </c>
      <c r="L60" s="16" t="s">
        <v>152</v>
      </c>
      <c r="M60" s="1" t="str">
        <f ca="1">IFERROR(__xludf.DUMMYFUNCTION("REGEXEXTRACT(E60, ""ک\s(\d{16})"")
"),"6219861085062957")</f>
        <v>6219861085062957</v>
      </c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spans="1:29" ht="25.5" customHeight="1">
      <c r="A61" s="15">
        <v>53</v>
      </c>
      <c r="B61" s="15" t="s">
        <v>140</v>
      </c>
      <c r="C61" s="16" t="s">
        <v>169</v>
      </c>
      <c r="D61" s="16" t="s">
        <v>71</v>
      </c>
      <c r="E61" s="16" t="s">
        <v>170</v>
      </c>
      <c r="F61" s="16"/>
      <c r="G61" s="17" t="str">
        <f ca="1">VLOOKUP(M61, Cards!A:B, 2, FALSE)</f>
        <v>علي ابراهيميان</v>
      </c>
      <c r="H61" s="18">
        <v>0</v>
      </c>
      <c r="I61" s="19">
        <v>1440</v>
      </c>
      <c r="J61" s="20">
        <v>21443930</v>
      </c>
      <c r="K61" s="21" t="s">
        <v>34</v>
      </c>
      <c r="L61" s="16" t="s">
        <v>171</v>
      </c>
      <c r="M61" s="1" t="str">
        <f ca="1">IFERROR(__xludf.DUMMYFUNCTION("REGEXEXTRACT(E61, ""ک\s(\d{16})"")
"),"6219861085062957")</f>
        <v>6219861085062957</v>
      </c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 spans="1:29" ht="25.5" customHeight="1">
      <c r="A62" s="15">
        <v>54</v>
      </c>
      <c r="B62" s="15" t="s">
        <v>172</v>
      </c>
      <c r="C62" s="16" t="s">
        <v>173</v>
      </c>
      <c r="D62" s="16" t="s">
        <v>52</v>
      </c>
      <c r="E62" s="16" t="s">
        <v>174</v>
      </c>
      <c r="F62" s="16"/>
      <c r="G62" s="1" t="e">
        <f ca="1">VLOOKUP(M62, Cards!A:B, 2, FALSE)</f>
        <v>#N/A</v>
      </c>
      <c r="H62" s="18">
        <v>62300000</v>
      </c>
      <c r="I62" s="19">
        <v>0</v>
      </c>
      <c r="J62" s="20">
        <v>66743930</v>
      </c>
      <c r="K62" s="21" t="s">
        <v>54</v>
      </c>
      <c r="L62" s="16" t="s">
        <v>175</v>
      </c>
      <c r="M62" s="1" t="str">
        <f ca="1">IFERROR(__xludf.DUMMYFUNCTION("REGEXEXTRACT(E62, ""ک\s(\d{16})"")
"),"#N/A")</f>
        <v>#N/A</v>
      </c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 spans="1:29" ht="25.5" customHeight="1">
      <c r="A63" s="15">
        <v>55</v>
      </c>
      <c r="B63" s="15" t="s">
        <v>176</v>
      </c>
      <c r="C63" s="16" t="s">
        <v>177</v>
      </c>
      <c r="D63" s="16" t="s">
        <v>32</v>
      </c>
      <c r="E63" s="16" t="s">
        <v>178</v>
      </c>
      <c r="F63" s="16"/>
      <c r="G63" s="17" t="str">
        <f ca="1">VLOOKUP(M63, Cards!A:B, 2, FALSE)</f>
        <v>مريم دامنجاني</v>
      </c>
      <c r="H63" s="18">
        <v>600000</v>
      </c>
      <c r="I63" s="19">
        <v>0</v>
      </c>
      <c r="J63" s="20">
        <v>7714090</v>
      </c>
      <c r="K63" s="21" t="s">
        <v>34</v>
      </c>
      <c r="L63" s="16" t="s">
        <v>179</v>
      </c>
      <c r="M63" s="1" t="str">
        <f ca="1">IFERROR(__xludf.DUMMYFUNCTION("REGEXEXTRACT(E63, ""ک\s(\d{16})"")
"),"6063731197381008")</f>
        <v>6063731197381008</v>
      </c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 spans="1:29" ht="25.5" customHeight="1">
      <c r="A64" s="15">
        <v>56</v>
      </c>
      <c r="B64" s="15" t="s">
        <v>176</v>
      </c>
      <c r="C64" s="16" t="s">
        <v>180</v>
      </c>
      <c r="D64" s="16" t="s">
        <v>32</v>
      </c>
      <c r="E64" s="16" t="s">
        <v>181</v>
      </c>
      <c r="F64" s="16"/>
      <c r="G64" s="17" t="str">
        <f ca="1">VLOOKUP(M64, Cards!A:B, 2, FALSE)</f>
        <v>حسين ميربلوک</v>
      </c>
      <c r="H64" s="18">
        <v>1100000</v>
      </c>
      <c r="I64" s="19">
        <v>0</v>
      </c>
      <c r="J64" s="20">
        <v>9364090</v>
      </c>
      <c r="K64" s="21" t="s">
        <v>34</v>
      </c>
      <c r="L64" s="16" t="s">
        <v>182</v>
      </c>
      <c r="M64" s="1" t="str">
        <f ca="1">IFERROR(__xludf.DUMMYFUNCTION("REGEXEXTRACT(E64, ""ک\s(\d{16})"")
"),"6037697681149024")</f>
        <v>6037697681149024</v>
      </c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 spans="1:29" ht="25.5" customHeight="1">
      <c r="A65" s="15">
        <v>57</v>
      </c>
      <c r="B65" s="15" t="s">
        <v>176</v>
      </c>
      <c r="C65" s="16" t="s">
        <v>183</v>
      </c>
      <c r="D65" s="16" t="s">
        <v>32</v>
      </c>
      <c r="E65" s="16" t="s">
        <v>184</v>
      </c>
      <c r="F65" s="16"/>
      <c r="G65" s="17" t="str">
        <f ca="1">VLOOKUP(M65, Cards!A:B, 2, FALSE)</f>
        <v>زهرا قندهاري</v>
      </c>
      <c r="H65" s="18">
        <v>300000</v>
      </c>
      <c r="I65" s="19">
        <v>0</v>
      </c>
      <c r="J65" s="20">
        <v>7505450</v>
      </c>
      <c r="K65" s="21" t="s">
        <v>34</v>
      </c>
      <c r="L65" s="16" t="s">
        <v>185</v>
      </c>
      <c r="M65" s="1" t="str">
        <f ca="1">IFERROR(__xludf.DUMMYFUNCTION("REGEXEXTRACT(E65, ""ک\s(\d{16})"")
"),"6037701513346939")</f>
        <v>6037701513346939</v>
      </c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 spans="1:29" ht="25.5" customHeight="1">
      <c r="A66" s="15">
        <v>58</v>
      </c>
      <c r="B66" s="15" t="s">
        <v>176</v>
      </c>
      <c r="C66" s="16" t="s">
        <v>186</v>
      </c>
      <c r="D66" s="16" t="s">
        <v>32</v>
      </c>
      <c r="E66" s="16" t="s">
        <v>187</v>
      </c>
      <c r="F66" s="16"/>
      <c r="G66" s="17" t="str">
        <f ca="1">VLOOKUP(M66, Cards!A:B, 2, FALSE)</f>
        <v>زهرا قندهاري</v>
      </c>
      <c r="H66" s="18">
        <v>1350000</v>
      </c>
      <c r="I66" s="19">
        <v>0</v>
      </c>
      <c r="J66" s="20">
        <v>7205450</v>
      </c>
      <c r="K66" s="21" t="s">
        <v>34</v>
      </c>
      <c r="L66" s="16" t="s">
        <v>188</v>
      </c>
      <c r="M66" s="1" t="str">
        <f ca="1">IFERROR(__xludf.DUMMYFUNCTION("REGEXEXTRACT(E66, ""ک\s(\d{16})"")
"),"6037701513346939")</f>
        <v>6037701513346939</v>
      </c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 spans="1:29" ht="25.5" customHeight="1">
      <c r="A67" s="15">
        <v>59</v>
      </c>
      <c r="B67" s="15" t="s">
        <v>176</v>
      </c>
      <c r="C67" s="16" t="s">
        <v>189</v>
      </c>
      <c r="D67" s="16" t="s">
        <v>32</v>
      </c>
      <c r="E67" s="16" t="s">
        <v>190</v>
      </c>
      <c r="F67" s="16"/>
      <c r="G67" s="17" t="str">
        <f ca="1">VLOOKUP(M67, Cards!A:B, 2, FALSE)</f>
        <v>امير آسيابي</v>
      </c>
      <c r="H67" s="18">
        <v>550000</v>
      </c>
      <c r="I67" s="19">
        <v>0</v>
      </c>
      <c r="J67" s="20">
        <v>8264090</v>
      </c>
      <c r="K67" s="21" t="s">
        <v>34</v>
      </c>
      <c r="L67" s="16" t="s">
        <v>191</v>
      </c>
      <c r="M67" s="1" t="str">
        <f ca="1">IFERROR(__xludf.DUMMYFUNCTION("REGEXEXTRACT(E67, ""ک\s(\d{16})"")
"),"6037998153675680")</f>
        <v>6037998153675680</v>
      </c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 spans="1:29" ht="25.5" customHeight="1">
      <c r="A68" s="15">
        <v>60</v>
      </c>
      <c r="B68" s="15" t="s">
        <v>176</v>
      </c>
      <c r="C68" s="16" t="s">
        <v>192</v>
      </c>
      <c r="D68" s="16" t="s">
        <v>32</v>
      </c>
      <c r="E68" s="16" t="s">
        <v>193</v>
      </c>
      <c r="F68" s="16"/>
      <c r="G68" s="17" t="str">
        <f ca="1">VLOOKUP(M68, Cards!A:B, 2, FALSE)</f>
        <v>محمد مومني</v>
      </c>
      <c r="H68" s="18">
        <v>0</v>
      </c>
      <c r="I68" s="19">
        <v>3500000</v>
      </c>
      <c r="J68" s="20">
        <v>5862650</v>
      </c>
      <c r="K68" s="21" t="s">
        <v>34</v>
      </c>
      <c r="L68" s="16" t="s">
        <v>194</v>
      </c>
      <c r="M68" s="1" t="str">
        <f ca="1">IFERROR(__xludf.DUMMYFUNCTION("REGEXEXTRACT(E68, ""ک\s(\d{16})"")
"),"6362141055049986")</f>
        <v>6362141055049986</v>
      </c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 spans="1:29" ht="25.5" customHeight="1">
      <c r="A69" s="15">
        <v>61</v>
      </c>
      <c r="B69" s="15" t="s">
        <v>176</v>
      </c>
      <c r="C69" s="16" t="s">
        <v>195</v>
      </c>
      <c r="D69" s="16" t="s">
        <v>32</v>
      </c>
      <c r="E69" s="16" t="s">
        <v>196</v>
      </c>
      <c r="F69" s="16"/>
      <c r="G69" s="17" t="str">
        <f ca="1">VLOOKUP(M69, Cards!A:B, 2, FALSE)</f>
        <v>قنبر بلوکي</v>
      </c>
      <c r="H69" s="18">
        <v>0</v>
      </c>
      <c r="I69" s="19">
        <v>35000000</v>
      </c>
      <c r="J69" s="20">
        <v>7129690</v>
      </c>
      <c r="K69" s="21" t="s">
        <v>34</v>
      </c>
      <c r="L69" s="16" t="s">
        <v>197</v>
      </c>
      <c r="M69" s="1" t="str">
        <f ca="1">IFERROR(__xludf.DUMMYFUNCTION("REGEXEXTRACT(E69, ""ک\s(\d{16})"")
"),"5892101008944130")</f>
        <v>5892101008944130</v>
      </c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 spans="1:29" ht="25.5" customHeight="1">
      <c r="A70" s="15">
        <v>62</v>
      </c>
      <c r="B70" s="15" t="s">
        <v>176</v>
      </c>
      <c r="C70" s="16" t="s">
        <v>198</v>
      </c>
      <c r="D70" s="16" t="s">
        <v>32</v>
      </c>
      <c r="E70" s="16" t="s">
        <v>199</v>
      </c>
      <c r="F70" s="16"/>
      <c r="G70" s="17" t="str">
        <f ca="1">VLOOKUP(M70, Cards!A:B, 2, FALSE)</f>
        <v>محمد خانگاه</v>
      </c>
      <c r="H70" s="18">
        <v>0</v>
      </c>
      <c r="I70" s="19">
        <v>24600000</v>
      </c>
      <c r="J70" s="20">
        <v>42142490</v>
      </c>
      <c r="K70" s="21" t="s">
        <v>34</v>
      </c>
      <c r="L70" s="16" t="s">
        <v>200</v>
      </c>
      <c r="M70" s="1" t="str">
        <f ca="1">IFERROR(__xludf.DUMMYFUNCTION("REGEXEXTRACT(E70, ""ک\s(\d{16})"")
"),"6104338971567579")</f>
        <v>6104338971567579</v>
      </c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 spans="1:29" ht="25.5" customHeight="1">
      <c r="A71" s="15">
        <v>63</v>
      </c>
      <c r="B71" s="15" t="s">
        <v>176</v>
      </c>
      <c r="C71" s="16" t="s">
        <v>192</v>
      </c>
      <c r="D71" s="16" t="s">
        <v>32</v>
      </c>
      <c r="E71" s="16" t="s">
        <v>201</v>
      </c>
      <c r="F71" s="16"/>
      <c r="G71" s="17" t="str">
        <f ca="1">VLOOKUP(M71, Cards!A:B, 2, FALSE)</f>
        <v>علي ابراهيميان</v>
      </c>
      <c r="H71" s="18">
        <v>0</v>
      </c>
      <c r="I71" s="19">
        <v>7200</v>
      </c>
      <c r="J71" s="20">
        <v>5855450</v>
      </c>
      <c r="K71" s="21" t="s">
        <v>34</v>
      </c>
      <c r="L71" s="16" t="s">
        <v>194</v>
      </c>
      <c r="M71" s="1" t="str">
        <f ca="1">IFERROR(__xludf.DUMMYFUNCTION("REGEXEXTRACT(E71, ""ک\s(\d{16})"")
"),"6219861085062957")</f>
        <v>6219861085062957</v>
      </c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 spans="1:29" ht="25.5" customHeight="1">
      <c r="A72" s="15">
        <v>64</v>
      </c>
      <c r="B72" s="15" t="s">
        <v>176</v>
      </c>
      <c r="C72" s="16" t="s">
        <v>198</v>
      </c>
      <c r="D72" s="16" t="s">
        <v>32</v>
      </c>
      <c r="E72" s="16" t="s">
        <v>202</v>
      </c>
      <c r="F72" s="16"/>
      <c r="G72" s="17" t="str">
        <f ca="1">VLOOKUP(M72, Cards!A:B, 2, FALSE)</f>
        <v>علي ابراهيميان</v>
      </c>
      <c r="H72" s="18">
        <v>0</v>
      </c>
      <c r="I72" s="19">
        <v>12800</v>
      </c>
      <c r="J72" s="20">
        <v>42129690</v>
      </c>
      <c r="K72" s="21" t="s">
        <v>34</v>
      </c>
      <c r="L72" s="16" t="s">
        <v>200</v>
      </c>
      <c r="M72" s="1" t="str">
        <f ca="1">IFERROR(__xludf.DUMMYFUNCTION("REGEXEXTRACT(E72, ""ک\s(\d{16})"")
"),"6219861085062957")</f>
        <v>6219861085062957</v>
      </c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 spans="1:29" ht="25.5" customHeight="1">
      <c r="A73" s="15">
        <v>65</v>
      </c>
      <c r="B73" s="15" t="s">
        <v>176</v>
      </c>
      <c r="C73" s="16" t="s">
        <v>195</v>
      </c>
      <c r="D73" s="16" t="s">
        <v>32</v>
      </c>
      <c r="E73" s="16" t="s">
        <v>203</v>
      </c>
      <c r="F73" s="16"/>
      <c r="G73" s="17" t="str">
        <f ca="1">VLOOKUP(M73, Cards!A:B, 2, FALSE)</f>
        <v>علي ابراهيميان</v>
      </c>
      <c r="H73" s="18">
        <v>0</v>
      </c>
      <c r="I73" s="19">
        <v>15600</v>
      </c>
      <c r="J73" s="20">
        <v>7114090</v>
      </c>
      <c r="K73" s="21" t="s">
        <v>34</v>
      </c>
      <c r="L73" s="16" t="s">
        <v>197</v>
      </c>
      <c r="M73" s="1" t="str">
        <f ca="1">IFERROR(__xludf.DUMMYFUNCTION("REGEXEXTRACT(E73, ""ک\s(\d{16})"")
"),"6219861085062957")</f>
        <v>6219861085062957</v>
      </c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 spans="1:29" ht="25.5" customHeight="1">
      <c r="A74" s="15">
        <v>66</v>
      </c>
      <c r="B74" s="15" t="s">
        <v>176</v>
      </c>
      <c r="C74" s="16" t="s">
        <v>204</v>
      </c>
      <c r="D74" s="16" t="s">
        <v>71</v>
      </c>
      <c r="E74" s="16" t="s">
        <v>205</v>
      </c>
      <c r="F74" s="16"/>
      <c r="G74" s="17" t="str">
        <f ca="1">VLOOKUP(M74, Cards!A:B, 2, FALSE)</f>
        <v>علي ابراهيميان</v>
      </c>
      <c r="H74" s="18">
        <v>0</v>
      </c>
      <c r="I74" s="19">
        <v>1440</v>
      </c>
      <c r="J74" s="20">
        <v>9362650</v>
      </c>
      <c r="K74" s="21" t="s">
        <v>34</v>
      </c>
      <c r="L74" s="16" t="s">
        <v>206</v>
      </c>
      <c r="M74" s="1" t="str">
        <f ca="1">IFERROR(__xludf.DUMMYFUNCTION("REGEXEXTRACT(E74, ""ک\s(\d{16})"")
"),"6219861085062957")</f>
        <v>6219861085062957</v>
      </c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 spans="1:29" ht="25.5" customHeight="1">
      <c r="A75" s="15">
        <v>67</v>
      </c>
      <c r="B75" s="15" t="s">
        <v>176</v>
      </c>
      <c r="C75" s="16" t="s">
        <v>207</v>
      </c>
      <c r="D75" s="16" t="s">
        <v>71</v>
      </c>
      <c r="E75" s="16" t="s">
        <v>208</v>
      </c>
      <c r="F75" s="16"/>
      <c r="G75" s="17" t="str">
        <f ca="1">VLOOKUP(M75, Cards!A:B, 2, FALSE)</f>
        <v>علي ابراهيميان</v>
      </c>
      <c r="H75" s="18">
        <v>0</v>
      </c>
      <c r="I75" s="19">
        <v>1440</v>
      </c>
      <c r="J75" s="20">
        <v>66742490</v>
      </c>
      <c r="K75" s="21" t="s">
        <v>34</v>
      </c>
      <c r="L75" s="16" t="s">
        <v>209</v>
      </c>
      <c r="M75" s="1" t="str">
        <f ca="1">IFERROR(__xludf.DUMMYFUNCTION("REGEXEXTRACT(E75, ""ک\s(\d{16})"")
"),"6219861085062957")</f>
        <v>6219861085062957</v>
      </c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 spans="1:29" ht="25.5" customHeight="1">
      <c r="A76" s="15">
        <v>68</v>
      </c>
      <c r="B76" s="15" t="s">
        <v>210</v>
      </c>
      <c r="C76" s="16" t="s">
        <v>211</v>
      </c>
      <c r="D76" s="16" t="s">
        <v>32</v>
      </c>
      <c r="E76" s="16" t="s">
        <v>212</v>
      </c>
      <c r="F76" s="16"/>
      <c r="G76" s="17" t="str">
        <f ca="1">VLOOKUP(M76, Cards!A:B, 2, FALSE)</f>
        <v>حسين ميربلوک</v>
      </c>
      <c r="H76" s="18">
        <v>550000</v>
      </c>
      <c r="I76" s="19">
        <v>0</v>
      </c>
      <c r="J76" s="20">
        <v>70275450</v>
      </c>
      <c r="K76" s="21" t="s">
        <v>34</v>
      </c>
      <c r="L76" s="16" t="s">
        <v>213</v>
      </c>
      <c r="M76" s="1" t="str">
        <f ca="1">IFERROR(__xludf.DUMMYFUNCTION("REGEXEXTRACT(E76, ""ک\s(\d{16})"")
"),"6037697681149024")</f>
        <v>6037697681149024</v>
      </c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 spans="1:29" ht="25.5" customHeight="1">
      <c r="A77" s="15">
        <v>69</v>
      </c>
      <c r="B77" s="15" t="s">
        <v>210</v>
      </c>
      <c r="C77" s="16" t="s">
        <v>214</v>
      </c>
      <c r="D77" s="16" t="s">
        <v>32</v>
      </c>
      <c r="E77" s="16" t="s">
        <v>215</v>
      </c>
      <c r="F77" s="16"/>
      <c r="G77" s="17" t="str">
        <f ca="1">VLOOKUP(M77, Cards!A:B, 2, FALSE)</f>
        <v>حسين دستجردي</v>
      </c>
      <c r="H77" s="18">
        <v>1100000</v>
      </c>
      <c r="I77" s="19">
        <v>0</v>
      </c>
      <c r="J77" s="20">
        <v>25204010</v>
      </c>
      <c r="K77" s="21" t="s">
        <v>34</v>
      </c>
      <c r="L77" s="16" t="s">
        <v>216</v>
      </c>
      <c r="M77" s="1" t="str">
        <f ca="1">IFERROR(__xludf.DUMMYFUNCTION("REGEXEXTRACT(E77, ""ک\s(\d{16})"")
"),"6037701613254967")</f>
        <v>6037701613254967</v>
      </c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 spans="1:29" ht="25.5" customHeight="1">
      <c r="A78" s="15">
        <v>70</v>
      </c>
      <c r="B78" s="15" t="s">
        <v>210</v>
      </c>
      <c r="C78" s="16" t="s">
        <v>217</v>
      </c>
      <c r="D78" s="16" t="s">
        <v>32</v>
      </c>
      <c r="E78" s="16" t="s">
        <v>218</v>
      </c>
      <c r="F78" s="16"/>
      <c r="G78" s="17" t="str">
        <f ca="1">VLOOKUP(M78, Cards!A:B, 2, FALSE)</f>
        <v>محمد کريمي</v>
      </c>
      <c r="H78" s="18">
        <v>0</v>
      </c>
      <c r="I78" s="19">
        <v>20420000</v>
      </c>
      <c r="J78" s="20">
        <v>98145450</v>
      </c>
      <c r="K78" s="21" t="s">
        <v>34</v>
      </c>
      <c r="L78" s="16" t="s">
        <v>219</v>
      </c>
      <c r="M78" s="1" t="str">
        <f ca="1">IFERROR(__xludf.DUMMYFUNCTION("REGEXEXTRACT(E78, ""ک\s(\d{16})"")
"),"5892101643117522")</f>
        <v>5892101643117522</v>
      </c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 spans="1:29" ht="25.5" customHeight="1">
      <c r="A79" s="15">
        <v>71</v>
      </c>
      <c r="B79" s="15" t="s">
        <v>210</v>
      </c>
      <c r="C79" s="16" t="s">
        <v>220</v>
      </c>
      <c r="D79" s="16" t="s">
        <v>32</v>
      </c>
      <c r="E79" s="16" t="s">
        <v>221</v>
      </c>
      <c r="F79" s="16"/>
      <c r="G79" s="17" t="str">
        <f ca="1">VLOOKUP(M79, Cards!A:B, 2, FALSE)</f>
        <v>محمد خانگاه</v>
      </c>
      <c r="H79" s="18">
        <v>0</v>
      </c>
      <c r="I79" s="19">
        <v>8400000</v>
      </c>
      <c r="J79" s="20">
        <v>89732650</v>
      </c>
      <c r="K79" s="21" t="s">
        <v>34</v>
      </c>
      <c r="L79" s="16" t="s">
        <v>222</v>
      </c>
      <c r="M79" s="1" t="str">
        <f ca="1">IFERROR(__xludf.DUMMYFUNCTION("REGEXEXTRACT(E79, ""ک\s(\d{16})"")
"),"6104338971567579")</f>
        <v>6104338971567579</v>
      </c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 spans="1:29" ht="25.5" customHeight="1">
      <c r="A80" s="15">
        <v>72</v>
      </c>
      <c r="B80" s="15" t="s">
        <v>210</v>
      </c>
      <c r="C80" s="16" t="s">
        <v>223</v>
      </c>
      <c r="D80" s="16" t="s">
        <v>32</v>
      </c>
      <c r="E80" s="16" t="s">
        <v>224</v>
      </c>
      <c r="F80" s="16"/>
      <c r="G80" s="17" t="str">
        <f ca="1">VLOOKUP(M80, Cards!A:B, 2, FALSE)</f>
        <v>محمد خانگاه</v>
      </c>
      <c r="H80" s="18">
        <v>0</v>
      </c>
      <c r="I80" s="19">
        <v>28790000</v>
      </c>
      <c r="J80" s="20">
        <v>41485450</v>
      </c>
      <c r="K80" s="21" t="s">
        <v>34</v>
      </c>
      <c r="L80" s="16" t="s">
        <v>225</v>
      </c>
      <c r="M80" s="1" t="str">
        <f ca="1">IFERROR(__xludf.DUMMYFUNCTION("REGEXEXTRACT(E80, ""ک\s(\d{16})"")
"),"6104338971567579")</f>
        <v>6104338971567579</v>
      </c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 spans="1:29" ht="25.5" customHeight="1">
      <c r="A81" s="15">
        <v>73</v>
      </c>
      <c r="B81" s="15" t="s">
        <v>210</v>
      </c>
      <c r="C81" s="16" t="s">
        <v>226</v>
      </c>
      <c r="D81" s="16" t="s">
        <v>32</v>
      </c>
      <c r="E81" s="16" t="s">
        <v>227</v>
      </c>
      <c r="F81" s="16"/>
      <c r="G81" s="17" t="str">
        <f ca="1">VLOOKUP(M81, Cards!A:B, 2, FALSE)</f>
        <v>محمد کوچکي</v>
      </c>
      <c r="H81" s="18">
        <v>0</v>
      </c>
      <c r="I81" s="19">
        <v>7760000</v>
      </c>
      <c r="J81" s="20">
        <v>33712650</v>
      </c>
      <c r="K81" s="21" t="s">
        <v>34</v>
      </c>
      <c r="L81" s="16" t="s">
        <v>228</v>
      </c>
      <c r="M81" s="1" t="str">
        <f ca="1">IFERROR(__xludf.DUMMYFUNCTION("REGEXEXTRACT(E81, ""ک\s(\d{16})"")
"),"6037697600840968")</f>
        <v>6037697600840968</v>
      </c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 spans="1:29" ht="25.5" customHeight="1">
      <c r="A82" s="15">
        <v>74</v>
      </c>
      <c r="B82" s="15" t="s">
        <v>210</v>
      </c>
      <c r="C82" s="16" t="s">
        <v>229</v>
      </c>
      <c r="D82" s="16" t="s">
        <v>52</v>
      </c>
      <c r="E82" s="16" t="s">
        <v>230</v>
      </c>
      <c r="F82" s="16"/>
      <c r="G82" s="1" t="e">
        <f ca="1">VLOOKUP(M82, Cards!A:B, 2, FALSE)</f>
        <v>#N/A</v>
      </c>
      <c r="H82" s="18">
        <v>119000000</v>
      </c>
      <c r="I82" s="19">
        <v>0</v>
      </c>
      <c r="J82" s="20">
        <v>126505450</v>
      </c>
      <c r="K82" s="21" t="s">
        <v>54</v>
      </c>
      <c r="L82" s="16" t="s">
        <v>231</v>
      </c>
      <c r="M82" s="1" t="str">
        <f ca="1">IFERROR(__xludf.DUMMYFUNCTION("REGEXEXTRACT(E82, ""ک\s(\d{16})"")
"),"#N/A")</f>
        <v>#N/A</v>
      </c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 spans="1:29" ht="25.5" customHeight="1">
      <c r="A83" s="15">
        <v>75</v>
      </c>
      <c r="B83" s="15" t="s">
        <v>210</v>
      </c>
      <c r="C83" s="16" t="s">
        <v>232</v>
      </c>
      <c r="D83" s="16" t="s">
        <v>60</v>
      </c>
      <c r="E83" s="16" t="s">
        <v>233</v>
      </c>
      <c r="F83" s="16"/>
      <c r="G83" s="17" t="str">
        <f ca="1">VLOOKUP(M83, Cards!A:B, 2, FALSE)</f>
        <v>علي ابراهيميان</v>
      </c>
      <c r="H83" s="18">
        <v>0</v>
      </c>
      <c r="I83" s="19">
        <v>4500000</v>
      </c>
      <c r="J83" s="20">
        <v>29205450</v>
      </c>
      <c r="K83" s="21" t="s">
        <v>34</v>
      </c>
      <c r="L83" s="16" t="s">
        <v>234</v>
      </c>
      <c r="M83" s="1" t="str">
        <f ca="1">IFERROR(__xludf.DUMMYFUNCTION("REGEXEXTRACT(E83, ""ک\s(\d{16})"")
"),"6219861085062957")</f>
        <v>6219861085062957</v>
      </c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 spans="1:29" ht="25.5" customHeight="1">
      <c r="A84" s="15">
        <v>76</v>
      </c>
      <c r="B84" s="15" t="s">
        <v>210</v>
      </c>
      <c r="C84" s="16" t="s">
        <v>235</v>
      </c>
      <c r="D84" s="16" t="s">
        <v>60</v>
      </c>
      <c r="E84" s="16" t="s">
        <v>236</v>
      </c>
      <c r="F84" s="16"/>
      <c r="G84" s="17" t="str">
        <f ca="1">VLOOKUP(M84, Cards!A:B, 2, FALSE)</f>
        <v>علي ابراهيميان</v>
      </c>
      <c r="H84" s="18">
        <v>0</v>
      </c>
      <c r="I84" s="19">
        <v>5100000</v>
      </c>
      <c r="J84" s="20">
        <v>24104010</v>
      </c>
      <c r="K84" s="21" t="s">
        <v>34</v>
      </c>
      <c r="L84" s="16" t="s">
        <v>237</v>
      </c>
      <c r="M84" s="1" t="str">
        <f ca="1">IFERROR(__xludf.DUMMYFUNCTION("REGEXEXTRACT(E84, ""ک\s(\d{16})"")
"),"6219861085062957")</f>
        <v>6219861085062957</v>
      </c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 spans="1:29" ht="25.5" customHeight="1">
      <c r="A85" s="15">
        <v>77</v>
      </c>
      <c r="B85" s="15" t="s">
        <v>210</v>
      </c>
      <c r="C85" s="16" t="s">
        <v>238</v>
      </c>
      <c r="D85" s="16" t="s">
        <v>60</v>
      </c>
      <c r="E85" s="16" t="s">
        <v>239</v>
      </c>
      <c r="F85" s="16"/>
      <c r="G85" s="17" t="str">
        <f ca="1">VLOOKUP(M85, Cards!A:B, 2, FALSE)</f>
        <v>علي ابراهيميان</v>
      </c>
      <c r="H85" s="18">
        <v>0</v>
      </c>
      <c r="I85" s="19">
        <v>7940000</v>
      </c>
      <c r="J85" s="20">
        <v>118565450</v>
      </c>
      <c r="K85" s="21" t="s">
        <v>34</v>
      </c>
      <c r="L85" s="16" t="s">
        <v>240</v>
      </c>
      <c r="M85" s="1" t="str">
        <f ca="1">IFERROR(__xludf.DUMMYFUNCTION("REGEXEXTRACT(E85, ""ک\s(\d{16})"")
"),"6219861085062957")</f>
        <v>6219861085062957</v>
      </c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 spans="1:29" ht="25.5" customHeight="1">
      <c r="A86" s="15">
        <v>78</v>
      </c>
      <c r="B86" s="15" t="s">
        <v>210</v>
      </c>
      <c r="C86" s="16" t="s">
        <v>241</v>
      </c>
      <c r="D86" s="16" t="s">
        <v>60</v>
      </c>
      <c r="E86" s="16" t="s">
        <v>242</v>
      </c>
      <c r="F86" s="16"/>
      <c r="G86" s="17" t="str">
        <f ca="1">VLOOKUP(M86, Cards!A:B, 2, FALSE)</f>
        <v>علي ابراهيميان</v>
      </c>
      <c r="H86" s="18">
        <v>0</v>
      </c>
      <c r="I86" s="19">
        <v>20000000</v>
      </c>
      <c r="J86" s="20">
        <v>69725450</v>
      </c>
      <c r="K86" s="21" t="s">
        <v>34</v>
      </c>
      <c r="L86" s="16" t="s">
        <v>243</v>
      </c>
      <c r="M86" s="1" t="str">
        <f ca="1">IFERROR(__xludf.DUMMYFUNCTION("REGEXEXTRACT(E86, ""ک\s(\d{16})"")
"),"6219861085062957")</f>
        <v>6219861085062957</v>
      </c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 spans="1:29" ht="25.5" customHeight="1">
      <c r="A87" s="15">
        <v>79</v>
      </c>
      <c r="B87" s="15" t="s">
        <v>210</v>
      </c>
      <c r="C87" s="16" t="s">
        <v>217</v>
      </c>
      <c r="D87" s="16" t="s">
        <v>32</v>
      </c>
      <c r="E87" s="16" t="s">
        <v>244</v>
      </c>
      <c r="F87" s="16"/>
      <c r="G87" s="17" t="str">
        <f ca="1">VLOOKUP(M87, Cards!A:B, 2, FALSE)</f>
        <v>علي ابراهيميان</v>
      </c>
      <c r="H87" s="18">
        <v>0</v>
      </c>
      <c r="I87" s="19">
        <v>12800</v>
      </c>
      <c r="J87" s="20">
        <v>98132650</v>
      </c>
      <c r="K87" s="21" t="s">
        <v>34</v>
      </c>
      <c r="L87" s="16" t="s">
        <v>219</v>
      </c>
      <c r="M87" s="1" t="str">
        <f ca="1">IFERROR(__xludf.DUMMYFUNCTION("REGEXEXTRACT(E87, ""ک\s(\d{16})"")
"),"6219861085062957")</f>
        <v>6219861085062957</v>
      </c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 spans="1:29" ht="25.5" customHeight="1">
      <c r="A88" s="15">
        <v>80</v>
      </c>
      <c r="B88" s="15" t="s">
        <v>210</v>
      </c>
      <c r="C88" s="16" t="s">
        <v>220</v>
      </c>
      <c r="D88" s="16" t="s">
        <v>32</v>
      </c>
      <c r="E88" s="16" t="s">
        <v>245</v>
      </c>
      <c r="F88" s="16"/>
      <c r="G88" s="17" t="str">
        <f ca="1">VLOOKUP(M88, Cards!A:B, 2, FALSE)</f>
        <v>علي ابراهيميان</v>
      </c>
      <c r="H88" s="18">
        <v>0</v>
      </c>
      <c r="I88" s="19">
        <v>7200</v>
      </c>
      <c r="J88" s="20">
        <v>89725450</v>
      </c>
      <c r="K88" s="21" t="s">
        <v>34</v>
      </c>
      <c r="L88" s="16" t="s">
        <v>222</v>
      </c>
      <c r="M88" s="1" t="str">
        <f ca="1">IFERROR(__xludf.DUMMYFUNCTION("REGEXEXTRACT(E88, ""ک\s(\d{16})"")
"),"6219861085062957")</f>
        <v>6219861085062957</v>
      </c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 spans="1:29" ht="25.5" customHeight="1">
      <c r="A89" s="15">
        <v>81</v>
      </c>
      <c r="B89" s="15" t="s">
        <v>210</v>
      </c>
      <c r="C89" s="16" t="s">
        <v>223</v>
      </c>
      <c r="D89" s="16" t="s">
        <v>32</v>
      </c>
      <c r="E89" s="16" t="s">
        <v>246</v>
      </c>
      <c r="F89" s="16"/>
      <c r="G89" s="17" t="str">
        <f ca="1">VLOOKUP(M89, Cards!A:B, 2, FALSE)</f>
        <v>علي ابراهيميان</v>
      </c>
      <c r="H89" s="18">
        <v>0</v>
      </c>
      <c r="I89" s="19">
        <v>12800</v>
      </c>
      <c r="J89" s="20">
        <v>41472650</v>
      </c>
      <c r="K89" s="21" t="s">
        <v>34</v>
      </c>
      <c r="L89" s="16" t="s">
        <v>225</v>
      </c>
      <c r="M89" s="1" t="str">
        <f ca="1">IFERROR(__xludf.DUMMYFUNCTION("REGEXEXTRACT(E89, ""ک\s(\d{16})"")
"),"6219861085062957")</f>
        <v>6219861085062957</v>
      </c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 spans="1:29" ht="25.5" customHeight="1">
      <c r="A90" s="15">
        <v>82</v>
      </c>
      <c r="B90" s="15" t="s">
        <v>210</v>
      </c>
      <c r="C90" s="16" t="s">
        <v>226</v>
      </c>
      <c r="D90" s="16" t="s">
        <v>32</v>
      </c>
      <c r="E90" s="16" t="s">
        <v>247</v>
      </c>
      <c r="F90" s="16"/>
      <c r="G90" s="17" t="str">
        <f ca="1">VLOOKUP(M90, Cards!A:B, 2, FALSE)</f>
        <v>علي ابراهيميان</v>
      </c>
      <c r="H90" s="18">
        <v>0</v>
      </c>
      <c r="I90" s="19">
        <v>7200</v>
      </c>
      <c r="J90" s="20">
        <v>33705450</v>
      </c>
      <c r="K90" s="21" t="s">
        <v>34</v>
      </c>
      <c r="L90" s="16" t="s">
        <v>228</v>
      </c>
      <c r="M90" s="1" t="str">
        <f ca="1">IFERROR(__xludf.DUMMYFUNCTION("REGEXEXTRACT(E90, ""ک\s(\d{16})"")
"),"6219861085062957")</f>
        <v>6219861085062957</v>
      </c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 spans="1:29" ht="25.5" customHeight="1">
      <c r="A91" s="15">
        <v>83</v>
      </c>
      <c r="B91" s="15" t="s">
        <v>210</v>
      </c>
      <c r="C91" s="16" t="s">
        <v>248</v>
      </c>
      <c r="D91" s="16" t="s">
        <v>71</v>
      </c>
      <c r="E91" s="16" t="s">
        <v>249</v>
      </c>
      <c r="F91" s="16"/>
      <c r="G91" s="17" t="str">
        <f ca="1">VLOOKUP(M91, Cards!A:B, 2, FALSE)</f>
        <v>علي ابراهيميان</v>
      </c>
      <c r="H91" s="18">
        <v>0</v>
      </c>
      <c r="I91" s="19">
        <v>1440</v>
      </c>
      <c r="J91" s="20">
        <v>29204010</v>
      </c>
      <c r="K91" s="21" t="s">
        <v>34</v>
      </c>
      <c r="L91" s="16" t="s">
        <v>250</v>
      </c>
      <c r="M91" s="1" t="str">
        <f ca="1">IFERROR(__xludf.DUMMYFUNCTION("REGEXEXTRACT(E91, ""ک\s(\d{16})"")
"),"6219861085062957")</f>
        <v>6219861085062957</v>
      </c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</row>
    <row r="92" spans="1:29" ht="25.5" customHeight="1">
      <c r="A92" s="15">
        <v>84</v>
      </c>
      <c r="B92" s="15" t="s">
        <v>210</v>
      </c>
      <c r="C92" s="16" t="s">
        <v>251</v>
      </c>
      <c r="D92" s="16" t="s">
        <v>71</v>
      </c>
      <c r="E92" s="16" t="s">
        <v>252</v>
      </c>
      <c r="F92" s="16"/>
      <c r="G92" s="17" t="str">
        <f ca="1">VLOOKUP(M92, Cards!A:B, 2, FALSE)</f>
        <v>علي ابراهيميان</v>
      </c>
      <c r="H92" s="18">
        <v>0</v>
      </c>
      <c r="I92" s="19">
        <v>1440</v>
      </c>
      <c r="J92" s="20">
        <v>25202570</v>
      </c>
      <c r="K92" s="21" t="s">
        <v>34</v>
      </c>
      <c r="L92" s="16" t="s">
        <v>253</v>
      </c>
      <c r="M92" s="1" t="str">
        <f ca="1">IFERROR(__xludf.DUMMYFUNCTION("REGEXEXTRACT(E92, ""ک\s(\d{16})"")
"),"6219861085062957")</f>
        <v>6219861085062957</v>
      </c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 spans="1:29" ht="25.5" customHeight="1">
      <c r="A93" s="15">
        <v>85</v>
      </c>
      <c r="B93" s="15" t="s">
        <v>254</v>
      </c>
      <c r="C93" s="16" t="s">
        <v>255</v>
      </c>
      <c r="D93" s="16" t="s">
        <v>32</v>
      </c>
      <c r="E93" s="16" t="s">
        <v>256</v>
      </c>
      <c r="F93" s="16"/>
      <c r="G93" s="17" t="str">
        <f ca="1">VLOOKUP(M93, Cards!A:B, 2, FALSE)</f>
        <v>ولي اله سلامي</v>
      </c>
      <c r="H93" s="18">
        <v>450000</v>
      </c>
      <c r="I93" s="19">
        <v>0</v>
      </c>
      <c r="J93" s="20">
        <v>148138070</v>
      </c>
      <c r="K93" s="21" t="s">
        <v>34</v>
      </c>
      <c r="L93" s="16" t="s">
        <v>257</v>
      </c>
      <c r="M93" s="1" t="str">
        <f ca="1">IFERROR(__xludf.DUMMYFUNCTION("REGEXEXTRACT(E93, ""ک\s(\d{16})"")
"),"6063731202378833")</f>
        <v>6063731202378833</v>
      </c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 spans="1:29" ht="25.5" customHeight="1">
      <c r="A94" s="15">
        <v>86</v>
      </c>
      <c r="B94" s="15" t="s">
        <v>254</v>
      </c>
      <c r="C94" s="16" t="s">
        <v>258</v>
      </c>
      <c r="D94" s="16" t="s">
        <v>32</v>
      </c>
      <c r="E94" s="16" t="s">
        <v>259</v>
      </c>
      <c r="F94" s="16"/>
      <c r="G94" s="17" t="str">
        <f ca="1">VLOOKUP(M94, Cards!A:B, 2, FALSE)</f>
        <v>محمد کريمي</v>
      </c>
      <c r="H94" s="18">
        <v>0</v>
      </c>
      <c r="I94" s="19">
        <v>17504500</v>
      </c>
      <c r="J94" s="20">
        <v>147698070</v>
      </c>
      <c r="K94" s="21" t="s">
        <v>34</v>
      </c>
      <c r="L94" s="16" t="s">
        <v>260</v>
      </c>
      <c r="M94" s="1" t="str">
        <f ca="1">IFERROR(__xludf.DUMMYFUNCTION("REGEXEXTRACT(E94, ""ک\s(\d{16})"")
"),"5892101643117522")</f>
        <v>5892101643117522</v>
      </c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 spans="1:29" ht="25.5" customHeight="1">
      <c r="A95" s="15">
        <v>87</v>
      </c>
      <c r="B95" s="15" t="s">
        <v>254</v>
      </c>
      <c r="C95" s="16" t="s">
        <v>261</v>
      </c>
      <c r="D95" s="16" t="s">
        <v>32</v>
      </c>
      <c r="E95" s="16" t="s">
        <v>262</v>
      </c>
      <c r="F95" s="16"/>
      <c r="G95" s="17" t="str">
        <f ca="1">VLOOKUP(M95, Cards!A:B, 2, FALSE)</f>
        <v>مجيد شجاع پور</v>
      </c>
      <c r="H95" s="18">
        <v>0</v>
      </c>
      <c r="I95" s="19">
        <v>14840000</v>
      </c>
      <c r="J95" s="20">
        <v>100358630</v>
      </c>
      <c r="K95" s="21" t="s">
        <v>34</v>
      </c>
      <c r="L95" s="16" t="s">
        <v>263</v>
      </c>
      <c r="M95" s="1" t="str">
        <f ca="1">IFERROR(__xludf.DUMMYFUNCTION("REGEXEXTRACT(E95, ""ک\s(\d{16})"")
"),"5892101626109181")</f>
        <v>5892101626109181</v>
      </c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 spans="1:29" ht="25.5" customHeight="1">
      <c r="A96" s="15">
        <v>88</v>
      </c>
      <c r="B96" s="15" t="s">
        <v>254</v>
      </c>
      <c r="C96" s="16" t="s">
        <v>264</v>
      </c>
      <c r="D96" s="16" t="s">
        <v>32</v>
      </c>
      <c r="E96" s="16" t="s">
        <v>265</v>
      </c>
      <c r="F96" s="16"/>
      <c r="G96" s="17" t="str">
        <f ca="1">VLOOKUP(M96, Cards!A:B, 2, FALSE)</f>
        <v>محمد کريمي</v>
      </c>
      <c r="H96" s="18">
        <v>0</v>
      </c>
      <c r="I96" s="19">
        <v>8697000</v>
      </c>
      <c r="J96" s="20">
        <v>92651630</v>
      </c>
      <c r="K96" s="21" t="s">
        <v>34</v>
      </c>
      <c r="L96" s="16" t="s">
        <v>266</v>
      </c>
      <c r="M96" s="1" t="str">
        <f ca="1">IFERROR(__xludf.DUMMYFUNCTION("REGEXEXTRACT(E96, ""ک\s(\d{16})"")
"),"5892101643117522")</f>
        <v>5892101643117522</v>
      </c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 spans="1:29" ht="25.5" customHeight="1">
      <c r="A97" s="15">
        <v>89</v>
      </c>
      <c r="B97" s="15" t="s">
        <v>254</v>
      </c>
      <c r="C97" s="16" t="s">
        <v>267</v>
      </c>
      <c r="D97" s="16" t="s">
        <v>32</v>
      </c>
      <c r="E97" s="16" t="s">
        <v>268</v>
      </c>
      <c r="F97" s="16"/>
      <c r="G97" s="17" t="str">
        <f ca="1">VLOOKUP(M97, Cards!A:B, 2, FALSE)</f>
        <v>محمد کوچکي</v>
      </c>
      <c r="H97" s="18">
        <v>0</v>
      </c>
      <c r="I97" s="19">
        <v>4850000</v>
      </c>
      <c r="J97" s="20">
        <v>117993830</v>
      </c>
      <c r="K97" s="21" t="s">
        <v>34</v>
      </c>
      <c r="L97" s="16" t="s">
        <v>269</v>
      </c>
      <c r="M97" s="1" t="str">
        <f ca="1">IFERROR(__xludf.DUMMYFUNCTION("REGEXEXTRACT(E97, ""ک\s(\d{16})"")
"),"6037697600840968")</f>
        <v>6037697600840968</v>
      </c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 spans="1:29" ht="25.5" customHeight="1">
      <c r="A98" s="15">
        <v>90</v>
      </c>
      <c r="B98" s="15" t="s">
        <v>254</v>
      </c>
      <c r="C98" s="16" t="s">
        <v>270</v>
      </c>
      <c r="D98" s="16" t="s">
        <v>32</v>
      </c>
      <c r="E98" s="16" t="s">
        <v>271</v>
      </c>
      <c r="F98" s="16"/>
      <c r="G98" s="17" t="str">
        <f ca="1">VLOOKUP(M98, Cards!A:B, 2, FALSE)</f>
        <v>محمد خانگاه</v>
      </c>
      <c r="H98" s="18">
        <v>0</v>
      </c>
      <c r="I98" s="19">
        <v>25280000</v>
      </c>
      <c r="J98" s="20">
        <v>122858070</v>
      </c>
      <c r="K98" s="21" t="s">
        <v>34</v>
      </c>
      <c r="L98" s="16" t="s">
        <v>272</v>
      </c>
      <c r="M98" s="1" t="str">
        <f ca="1">IFERROR(__xludf.DUMMYFUNCTION("REGEXEXTRACT(E98, ""ک\s(\d{16})"")
"),"6104338971567579")</f>
        <v>6104338971567579</v>
      </c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 spans="1:29" ht="25.5" customHeight="1">
      <c r="A99" s="15">
        <v>91</v>
      </c>
      <c r="B99" s="15" t="s">
        <v>254</v>
      </c>
      <c r="C99" s="16" t="s">
        <v>273</v>
      </c>
      <c r="D99" s="16" t="s">
        <v>274</v>
      </c>
      <c r="E99" s="16" t="s">
        <v>275</v>
      </c>
      <c r="F99" s="16"/>
      <c r="G99" s="1" t="e">
        <f ca="1">VLOOKUP(M99, Cards!A:B, 2, FALSE)</f>
        <v>#N/A</v>
      </c>
      <c r="H99" s="18">
        <v>1000000</v>
      </c>
      <c r="I99" s="19">
        <v>0</v>
      </c>
      <c r="J99" s="20">
        <v>101348630</v>
      </c>
      <c r="K99" s="21" t="s">
        <v>276</v>
      </c>
      <c r="L99" s="16" t="s">
        <v>277</v>
      </c>
      <c r="M99" s="1" t="str">
        <f ca="1">IFERROR(__xludf.DUMMYFUNCTION("REGEXEXTRACT(E99, ""ک\s(\d{16})"")
"),"#N/A")</f>
        <v>#N/A</v>
      </c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 spans="1:29" ht="25.5" customHeight="1">
      <c r="A100" s="15">
        <v>92</v>
      </c>
      <c r="B100" s="15" t="s">
        <v>254</v>
      </c>
      <c r="C100" s="16" t="s">
        <v>278</v>
      </c>
      <c r="D100" s="16" t="s">
        <v>52</v>
      </c>
      <c r="E100" s="16" t="s">
        <v>279</v>
      </c>
      <c r="F100" s="16"/>
      <c r="G100" s="1" t="e">
        <f ca="1">VLOOKUP(M100, Cards!A:B, 2, FALSE)</f>
        <v>#N/A</v>
      </c>
      <c r="H100" s="18">
        <v>140000000</v>
      </c>
      <c r="I100" s="19">
        <v>0</v>
      </c>
      <c r="J100" s="20">
        <v>165202570</v>
      </c>
      <c r="K100" s="21" t="s">
        <v>54</v>
      </c>
      <c r="L100" s="16" t="s">
        <v>280</v>
      </c>
      <c r="M100" s="1" t="str">
        <f ca="1">IFERROR(__xludf.DUMMYFUNCTION("REGEXEXTRACT(E100, ""ک\s(\d{16})"")
"),"#N/A")</f>
        <v>#N/A</v>
      </c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 spans="1:29" ht="25.5" customHeight="1">
      <c r="A101" s="15">
        <v>93</v>
      </c>
      <c r="B101" s="15" t="s">
        <v>254</v>
      </c>
      <c r="C101" s="16" t="s">
        <v>281</v>
      </c>
      <c r="D101" s="16" t="s">
        <v>122</v>
      </c>
      <c r="E101" s="16" t="s">
        <v>282</v>
      </c>
      <c r="F101" s="16"/>
      <c r="G101" s="17" t="str">
        <f ca="1">VLOOKUP(M101, Cards!A:B, 2, FALSE)</f>
        <v>علي ابراهيميان</v>
      </c>
      <c r="H101" s="18">
        <v>0</v>
      </c>
      <c r="I101" s="19">
        <v>2788000</v>
      </c>
      <c r="J101" s="20">
        <v>115198630</v>
      </c>
      <c r="K101" s="21" t="s">
        <v>34</v>
      </c>
      <c r="L101" s="16" t="s">
        <v>283</v>
      </c>
      <c r="M101" s="1" t="str">
        <f ca="1">IFERROR(__xludf.DUMMYFUNCTION("REGEXEXTRACT(E101, ""ک\s(\d{16})"")
"),"6219861085062957")</f>
        <v>6219861085062957</v>
      </c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 spans="1:29" ht="25.5" customHeight="1">
      <c r="A102" s="15">
        <v>94</v>
      </c>
      <c r="B102" s="15" t="s">
        <v>254</v>
      </c>
      <c r="C102" s="16" t="s">
        <v>258</v>
      </c>
      <c r="D102" s="16" t="s">
        <v>32</v>
      </c>
      <c r="E102" s="16" t="s">
        <v>284</v>
      </c>
      <c r="F102" s="16"/>
      <c r="G102" s="17" t="str">
        <f ca="1">VLOOKUP(M102, Cards!A:B, 2, FALSE)</f>
        <v>علي ابراهيميان</v>
      </c>
      <c r="H102" s="18">
        <v>0</v>
      </c>
      <c r="I102" s="19">
        <v>10000</v>
      </c>
      <c r="J102" s="20">
        <v>147688070</v>
      </c>
      <c r="K102" s="21" t="s">
        <v>34</v>
      </c>
      <c r="L102" s="16" t="s">
        <v>260</v>
      </c>
      <c r="M102" s="1" t="str">
        <f ca="1">IFERROR(__xludf.DUMMYFUNCTION("REGEXEXTRACT(E102, ""ک\s(\d{16})"")
"),"6219861085062957")</f>
        <v>6219861085062957</v>
      </c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 spans="1:29" ht="25.5" customHeight="1">
      <c r="A103" s="15">
        <v>95</v>
      </c>
      <c r="B103" s="15" t="s">
        <v>254</v>
      </c>
      <c r="C103" s="16" t="s">
        <v>270</v>
      </c>
      <c r="D103" s="16" t="s">
        <v>32</v>
      </c>
      <c r="E103" s="16" t="s">
        <v>285</v>
      </c>
      <c r="F103" s="16"/>
      <c r="G103" s="17" t="str">
        <f ca="1">VLOOKUP(M103, Cards!A:B, 2, FALSE)</f>
        <v>علي ابراهيميان</v>
      </c>
      <c r="H103" s="18">
        <v>0</v>
      </c>
      <c r="I103" s="19">
        <v>12800</v>
      </c>
      <c r="J103" s="20">
        <v>122845270</v>
      </c>
      <c r="K103" s="21" t="s">
        <v>34</v>
      </c>
      <c r="L103" s="16" t="s">
        <v>272</v>
      </c>
      <c r="M103" s="1" t="str">
        <f ca="1">IFERROR(__xludf.DUMMYFUNCTION("REGEXEXTRACT(E103, ""ک\s(\d{16})"")
"),"6219861085062957")</f>
        <v>6219861085062957</v>
      </c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 spans="1:29" ht="25.5" customHeight="1">
      <c r="A104" s="15">
        <v>96</v>
      </c>
      <c r="B104" s="15" t="s">
        <v>254</v>
      </c>
      <c r="C104" s="16" t="s">
        <v>267</v>
      </c>
      <c r="D104" s="16" t="s">
        <v>32</v>
      </c>
      <c r="E104" s="16" t="s">
        <v>286</v>
      </c>
      <c r="F104" s="16"/>
      <c r="G104" s="17" t="str">
        <f ca="1">VLOOKUP(M104, Cards!A:B, 2, FALSE)</f>
        <v>علي ابراهيميان</v>
      </c>
      <c r="H104" s="18">
        <v>0</v>
      </c>
      <c r="I104" s="19">
        <v>7200</v>
      </c>
      <c r="J104" s="20">
        <v>117986630</v>
      </c>
      <c r="K104" s="21" t="s">
        <v>34</v>
      </c>
      <c r="L104" s="16" t="s">
        <v>269</v>
      </c>
      <c r="M104" s="1" t="str">
        <f ca="1">IFERROR(__xludf.DUMMYFUNCTION("REGEXEXTRACT(E104, ""ک\s(\d{16})"")
"),"6219861085062957")</f>
        <v>6219861085062957</v>
      </c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 spans="1:29" ht="25.5" customHeight="1">
      <c r="A105" s="15">
        <v>97</v>
      </c>
      <c r="B105" s="15" t="s">
        <v>254</v>
      </c>
      <c r="C105" s="16" t="s">
        <v>261</v>
      </c>
      <c r="D105" s="16" t="s">
        <v>32</v>
      </c>
      <c r="E105" s="16" t="s">
        <v>287</v>
      </c>
      <c r="F105" s="16"/>
      <c r="G105" s="17" t="str">
        <f ca="1">VLOOKUP(M105, Cards!A:B, 2, FALSE)</f>
        <v>علي ابراهيميان</v>
      </c>
      <c r="H105" s="18">
        <v>0</v>
      </c>
      <c r="I105" s="19">
        <v>10000</v>
      </c>
      <c r="J105" s="20">
        <v>100348630</v>
      </c>
      <c r="K105" s="21" t="s">
        <v>34</v>
      </c>
      <c r="L105" s="16" t="s">
        <v>263</v>
      </c>
      <c r="M105" s="1" t="str">
        <f ca="1">IFERROR(__xludf.DUMMYFUNCTION("REGEXEXTRACT(E105, ""ک\s(\d{16})"")
"),"6219861085062957")</f>
        <v>6219861085062957</v>
      </c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 spans="1:29" ht="25.5" customHeight="1">
      <c r="A106" s="15">
        <v>98</v>
      </c>
      <c r="B106" s="15" t="s">
        <v>254</v>
      </c>
      <c r="C106" s="16" t="s">
        <v>264</v>
      </c>
      <c r="D106" s="16" t="s">
        <v>32</v>
      </c>
      <c r="E106" s="16" t="s">
        <v>288</v>
      </c>
      <c r="F106" s="16"/>
      <c r="G106" s="17" t="str">
        <f ca="1">VLOOKUP(M106, Cards!A:B, 2, FALSE)</f>
        <v>علي ابراهيميان</v>
      </c>
      <c r="H106" s="18">
        <v>0</v>
      </c>
      <c r="I106" s="19">
        <v>7200</v>
      </c>
      <c r="J106" s="20">
        <v>92644430</v>
      </c>
      <c r="K106" s="21" t="s">
        <v>34</v>
      </c>
      <c r="L106" s="16" t="s">
        <v>266</v>
      </c>
      <c r="M106" s="1" t="str">
        <f ca="1">IFERROR(__xludf.DUMMYFUNCTION("REGEXEXTRACT(E106, ""ک\s(\d{16})"")
"),"6219861085062957")</f>
        <v>6219861085062957</v>
      </c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 spans="1:29" ht="25.5" customHeight="1">
      <c r="A107" s="15">
        <v>99</v>
      </c>
      <c r="B107" s="15" t="s">
        <v>254</v>
      </c>
      <c r="C107" s="16" t="s">
        <v>289</v>
      </c>
      <c r="D107" s="16" t="s">
        <v>71</v>
      </c>
      <c r="E107" s="16" t="s">
        <v>290</v>
      </c>
      <c r="F107" s="16"/>
      <c r="G107" s="17" t="str">
        <f ca="1">VLOOKUP(M107, Cards!A:B, 2, FALSE)</f>
        <v>علي ابراهيميان</v>
      </c>
      <c r="H107" s="18">
        <v>0</v>
      </c>
      <c r="I107" s="19">
        <v>1440</v>
      </c>
      <c r="J107" s="20">
        <v>122843830</v>
      </c>
      <c r="K107" s="21" t="s">
        <v>34</v>
      </c>
      <c r="L107" s="16" t="s">
        <v>291</v>
      </c>
      <c r="M107" s="1" t="str">
        <f ca="1">IFERROR(__xludf.DUMMYFUNCTION("REGEXEXTRACT(E107, ""ک\s(\d{16})"")
"),"6219861085062957")</f>
        <v>6219861085062957</v>
      </c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 spans="1:29" ht="25.5" customHeight="1">
      <c r="A108" s="15">
        <v>100</v>
      </c>
      <c r="B108" s="15" t="s">
        <v>254</v>
      </c>
      <c r="C108" s="16" t="s">
        <v>292</v>
      </c>
      <c r="D108" s="16" t="s">
        <v>71</v>
      </c>
      <c r="E108" s="16" t="s">
        <v>293</v>
      </c>
      <c r="F108" s="16"/>
      <c r="G108" s="17" t="str">
        <f ca="1">VLOOKUP(M108, Cards!A:B, 2, FALSE)</f>
        <v>علي ابراهيميان</v>
      </c>
      <c r="H108" s="18">
        <v>0</v>
      </c>
      <c r="I108" s="19">
        <v>1440</v>
      </c>
      <c r="J108" s="20">
        <v>92642990</v>
      </c>
      <c r="K108" s="21" t="s">
        <v>34</v>
      </c>
      <c r="L108" s="16" t="s">
        <v>294</v>
      </c>
      <c r="M108" s="1" t="str">
        <f ca="1">IFERROR(__xludf.DUMMYFUNCTION("REGEXEXTRACT(E108, ""ک\s(\d{16})"")
"),"6219861085062957")</f>
        <v>6219861085062957</v>
      </c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 spans="1:29" ht="25.5" customHeight="1">
      <c r="A109" s="15">
        <v>101</v>
      </c>
      <c r="B109" s="15" t="s">
        <v>295</v>
      </c>
      <c r="C109" s="16" t="s">
        <v>296</v>
      </c>
      <c r="D109" s="16" t="s">
        <v>32</v>
      </c>
      <c r="E109" s="16" t="s">
        <v>297</v>
      </c>
      <c r="F109" s="16"/>
      <c r="G109" s="17" t="str">
        <f ca="1">VLOOKUP(M109, Cards!A:B, 2, FALSE)</f>
        <v>محمد کريمي</v>
      </c>
      <c r="H109" s="18">
        <v>0</v>
      </c>
      <c r="I109" s="19">
        <v>17280000</v>
      </c>
      <c r="J109" s="20">
        <v>22331550</v>
      </c>
      <c r="K109" s="21" t="s">
        <v>34</v>
      </c>
      <c r="L109" s="16" t="s">
        <v>298</v>
      </c>
      <c r="M109" s="1" t="str">
        <f ca="1">IFERROR(__xludf.DUMMYFUNCTION("REGEXEXTRACT(E109, ""ک\s(\d{16})"")
"),"5892101643117522")</f>
        <v>5892101643117522</v>
      </c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 spans="1:29" ht="25.5" customHeight="1">
      <c r="A110" s="15">
        <v>102</v>
      </c>
      <c r="B110" s="15" t="s">
        <v>295</v>
      </c>
      <c r="C110" s="16" t="s">
        <v>299</v>
      </c>
      <c r="D110" s="16" t="s">
        <v>32</v>
      </c>
      <c r="E110" s="16" t="s">
        <v>300</v>
      </c>
      <c r="F110" s="16"/>
      <c r="G110" s="17" t="str">
        <f ca="1">VLOOKUP(M110, Cards!A:B, 2, FALSE)</f>
        <v>محمد کوچکي</v>
      </c>
      <c r="H110" s="18">
        <v>0</v>
      </c>
      <c r="I110" s="19">
        <v>9700000</v>
      </c>
      <c r="J110" s="20">
        <v>79941550</v>
      </c>
      <c r="K110" s="21" t="s">
        <v>34</v>
      </c>
      <c r="L110" s="16" t="s">
        <v>301</v>
      </c>
      <c r="M110" s="1" t="str">
        <f ca="1">IFERROR(__xludf.DUMMYFUNCTION("REGEXEXTRACT(E110, ""ک\s(\d{16})"")
"),"6037697600840968")</f>
        <v>6037697600840968</v>
      </c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 spans="1:29" ht="25.5" customHeight="1">
      <c r="A111" s="15">
        <v>103</v>
      </c>
      <c r="B111" s="15" t="s">
        <v>295</v>
      </c>
      <c r="C111" s="16" t="s">
        <v>302</v>
      </c>
      <c r="D111" s="16" t="s">
        <v>32</v>
      </c>
      <c r="E111" s="16" t="s">
        <v>303</v>
      </c>
      <c r="F111" s="16"/>
      <c r="G111" s="17" t="str">
        <f ca="1">VLOOKUP(M111, Cards!A:B, 2, FALSE)</f>
        <v>محمد خانگاه</v>
      </c>
      <c r="H111" s="18">
        <v>0</v>
      </c>
      <c r="I111" s="19">
        <v>36800000</v>
      </c>
      <c r="J111" s="20">
        <v>43134350</v>
      </c>
      <c r="K111" s="21" t="s">
        <v>34</v>
      </c>
      <c r="L111" s="16" t="s">
        <v>304</v>
      </c>
      <c r="M111" s="1" t="str">
        <f ca="1">IFERROR(__xludf.DUMMYFUNCTION("REGEXEXTRACT(E111, ""ک\s(\d{16})"")
"),"6104338971567579")</f>
        <v>6104338971567579</v>
      </c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</row>
    <row r="112" spans="1:29" ht="25.5" customHeight="1">
      <c r="A112" s="15">
        <v>104</v>
      </c>
      <c r="B112" s="15" t="s">
        <v>295</v>
      </c>
      <c r="C112" s="16" t="s">
        <v>305</v>
      </c>
      <c r="D112" s="16" t="s">
        <v>32</v>
      </c>
      <c r="E112" s="16" t="s">
        <v>306</v>
      </c>
      <c r="F112" s="16"/>
      <c r="G112" s="17" t="str">
        <f ca="1">VLOOKUP(M112, Cards!A:B, 2, FALSE)</f>
        <v>محمد مومني</v>
      </c>
      <c r="H112" s="18">
        <v>0</v>
      </c>
      <c r="I112" s="19">
        <v>3500000</v>
      </c>
      <c r="J112" s="20">
        <v>39618750</v>
      </c>
      <c r="K112" s="21" t="s">
        <v>34</v>
      </c>
      <c r="L112" s="16" t="s">
        <v>307</v>
      </c>
      <c r="M112" s="1" t="str">
        <f ca="1">IFERROR(__xludf.DUMMYFUNCTION("REGEXEXTRACT(E112, ""ک\s(\d{16})"")
"),"6362141055049986")</f>
        <v>6362141055049986</v>
      </c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</row>
    <row r="113" spans="1:29" ht="25.5" customHeight="1">
      <c r="A113" s="15">
        <v>105</v>
      </c>
      <c r="B113" s="15" t="s">
        <v>295</v>
      </c>
      <c r="C113" s="16" t="s">
        <v>308</v>
      </c>
      <c r="D113" s="16" t="s">
        <v>32</v>
      </c>
      <c r="E113" s="16" t="s">
        <v>309</v>
      </c>
      <c r="F113" s="16"/>
      <c r="G113" s="17" t="str">
        <f ca="1">VLOOKUP(M113, Cards!A:B, 2, FALSE)</f>
        <v>الهام اسلامي</v>
      </c>
      <c r="H113" s="18">
        <v>0</v>
      </c>
      <c r="I113" s="19">
        <v>20000000</v>
      </c>
      <c r="J113" s="20">
        <v>3118670</v>
      </c>
      <c r="K113" s="21" t="s">
        <v>34</v>
      </c>
      <c r="L113" s="16" t="s">
        <v>310</v>
      </c>
      <c r="M113" s="1" t="str">
        <f ca="1">IFERROR(__xludf.DUMMYFUNCTION("REGEXEXTRACT(E113, ""ک\s(\d{16})"")
"),"6396071217181585")</f>
        <v>6396071217181585</v>
      </c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 spans="1:29" ht="25.5" customHeight="1">
      <c r="A114" s="15">
        <v>106</v>
      </c>
      <c r="B114" s="15" t="s">
        <v>295</v>
      </c>
      <c r="C114" s="16" t="s">
        <v>311</v>
      </c>
      <c r="D114" s="16" t="s">
        <v>312</v>
      </c>
      <c r="E114" s="16" t="s">
        <v>313</v>
      </c>
      <c r="F114" s="16"/>
      <c r="G114" s="1" t="e">
        <f ca="1">VLOOKUP(M114, Cards!A:B, 2, FALSE)</f>
        <v>#N/A</v>
      </c>
      <c r="H114" s="18">
        <v>800000</v>
      </c>
      <c r="I114" s="19">
        <v>0</v>
      </c>
      <c r="J114" s="20">
        <v>23120110</v>
      </c>
      <c r="K114" s="21" t="s">
        <v>314</v>
      </c>
      <c r="L114" s="16" t="s">
        <v>315</v>
      </c>
      <c r="M114" s="1" t="str">
        <f ca="1">IFERROR(__xludf.DUMMYFUNCTION("REGEXEXTRACT(E114, ""ک\s(\d{16})"")
"),"#N/A")</f>
        <v>#N/A</v>
      </c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 spans="1:29" ht="25.5" customHeight="1">
      <c r="A115" s="15">
        <v>107</v>
      </c>
      <c r="B115" s="15" t="s">
        <v>295</v>
      </c>
      <c r="C115" s="16" t="s">
        <v>316</v>
      </c>
      <c r="D115" s="16" t="s">
        <v>52</v>
      </c>
      <c r="E115" s="16" t="s">
        <v>317</v>
      </c>
      <c r="F115" s="16"/>
      <c r="G115" s="1" t="e">
        <f ca="1">VLOOKUP(M115, Cards!A:B, 2, FALSE)</f>
        <v>#N/A</v>
      </c>
      <c r="H115" s="18">
        <v>119000000</v>
      </c>
      <c r="I115" s="19">
        <v>0</v>
      </c>
      <c r="J115" s="20">
        <v>211642990</v>
      </c>
      <c r="K115" s="21" t="s">
        <v>54</v>
      </c>
      <c r="L115" s="16" t="s">
        <v>318</v>
      </c>
      <c r="M115" s="1" t="str">
        <f ca="1">IFERROR(__xludf.DUMMYFUNCTION("REGEXEXTRACT(E115, ""ک\s(\d{16})"")
"),"#N/A")</f>
        <v>#N/A</v>
      </c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</row>
    <row r="116" spans="1:29" ht="25.5" customHeight="1">
      <c r="A116" s="15">
        <v>108</v>
      </c>
      <c r="B116" s="15" t="s">
        <v>295</v>
      </c>
      <c r="C116" s="16" t="s">
        <v>319</v>
      </c>
      <c r="D116" s="16" t="s">
        <v>52</v>
      </c>
      <c r="E116" s="16" t="s">
        <v>320</v>
      </c>
      <c r="F116" s="16"/>
      <c r="G116" s="1" t="e">
        <f ca="1">VLOOKUP(M116, Cards!A:B, 2, FALSE)</f>
        <v>#N/A</v>
      </c>
      <c r="H116" s="18">
        <v>0</v>
      </c>
      <c r="I116" s="19">
        <v>110000000</v>
      </c>
      <c r="J116" s="20">
        <v>101642990</v>
      </c>
      <c r="K116" s="21" t="s">
        <v>54</v>
      </c>
      <c r="L116" s="16" t="s">
        <v>321</v>
      </c>
      <c r="M116" s="1" t="str">
        <f ca="1">IFERROR(__xludf.DUMMYFUNCTION("REGEXEXTRACT(E116, ""ک\s(\d{16})"")
"),"#N/A")</f>
        <v>#N/A</v>
      </c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</row>
    <row r="117" spans="1:29" ht="25.5" customHeight="1">
      <c r="A117" s="15">
        <v>109</v>
      </c>
      <c r="B117" s="15" t="s">
        <v>295</v>
      </c>
      <c r="C117" s="16" t="s">
        <v>322</v>
      </c>
      <c r="D117" s="16" t="s">
        <v>60</v>
      </c>
      <c r="E117" s="16" t="s">
        <v>323</v>
      </c>
      <c r="F117" s="16"/>
      <c r="G117" s="17" t="str">
        <f ca="1">VLOOKUP(M117, Cards!A:B, 2, FALSE)</f>
        <v>علي ابراهيميان</v>
      </c>
      <c r="H117" s="18">
        <v>0</v>
      </c>
      <c r="I117" s="19">
        <v>12000000</v>
      </c>
      <c r="J117" s="20">
        <v>89642990</v>
      </c>
      <c r="K117" s="21" t="s">
        <v>34</v>
      </c>
      <c r="L117" s="16" t="s">
        <v>324</v>
      </c>
      <c r="M117" s="1" t="str">
        <f ca="1">IFERROR(__xludf.DUMMYFUNCTION("REGEXEXTRACT(E117, ""ک\s(\d{16})"")
"),"6219861085062957")</f>
        <v>6219861085062957</v>
      </c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 spans="1:29" ht="25.5" customHeight="1">
      <c r="A118" s="15">
        <v>110</v>
      </c>
      <c r="B118" s="15" t="s">
        <v>295</v>
      </c>
      <c r="C118" s="16" t="s">
        <v>299</v>
      </c>
      <c r="D118" s="16" t="s">
        <v>32</v>
      </c>
      <c r="E118" s="16" t="s">
        <v>325</v>
      </c>
      <c r="F118" s="16"/>
      <c r="G118" s="17" t="str">
        <f ca="1">VLOOKUP(M118, Cards!A:B, 2, FALSE)</f>
        <v>علي ابراهيميان</v>
      </c>
      <c r="H118" s="18">
        <v>0</v>
      </c>
      <c r="I118" s="19">
        <v>7200</v>
      </c>
      <c r="J118" s="20">
        <v>79934350</v>
      </c>
      <c r="K118" s="21" t="s">
        <v>34</v>
      </c>
      <c r="L118" s="16" t="s">
        <v>301</v>
      </c>
      <c r="M118" s="1" t="str">
        <f ca="1">IFERROR(__xludf.DUMMYFUNCTION("REGEXEXTRACT(E118, ""ک\s(\d{16})"")
"),"6219861085062957")</f>
        <v>6219861085062957</v>
      </c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</row>
    <row r="119" spans="1:29" ht="25.5" customHeight="1">
      <c r="A119" s="15">
        <v>111</v>
      </c>
      <c r="B119" s="15" t="s">
        <v>295</v>
      </c>
      <c r="C119" s="16" t="s">
        <v>302</v>
      </c>
      <c r="D119" s="16" t="s">
        <v>32</v>
      </c>
      <c r="E119" s="16" t="s">
        <v>326</v>
      </c>
      <c r="F119" s="16"/>
      <c r="G119" s="17" t="str">
        <f ca="1">VLOOKUP(M119, Cards!A:B, 2, FALSE)</f>
        <v>علي ابراهيميان</v>
      </c>
      <c r="H119" s="18">
        <v>0</v>
      </c>
      <c r="I119" s="19">
        <v>15600</v>
      </c>
      <c r="J119" s="20">
        <v>43118750</v>
      </c>
      <c r="K119" s="21" t="s">
        <v>34</v>
      </c>
      <c r="L119" s="16" t="s">
        <v>304</v>
      </c>
      <c r="M119" s="1" t="str">
        <f ca="1">IFERROR(__xludf.DUMMYFUNCTION("REGEXEXTRACT(E119, ""ک\s(\d{16})"")
"),"6219861085062957")</f>
        <v>6219861085062957</v>
      </c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 spans="1:29" ht="25.5" customHeight="1">
      <c r="A120" s="15">
        <v>112</v>
      </c>
      <c r="B120" s="15" t="s">
        <v>295</v>
      </c>
      <c r="C120" s="16" t="s">
        <v>305</v>
      </c>
      <c r="D120" s="16" t="s">
        <v>32</v>
      </c>
      <c r="E120" s="16" t="s">
        <v>327</v>
      </c>
      <c r="F120" s="16"/>
      <c r="G120" s="17" t="str">
        <f ca="1">VLOOKUP(M120, Cards!A:B, 2, FALSE)</f>
        <v>علي ابراهيميان</v>
      </c>
      <c r="H120" s="18">
        <v>0</v>
      </c>
      <c r="I120" s="19">
        <v>7200</v>
      </c>
      <c r="J120" s="20">
        <v>39611550</v>
      </c>
      <c r="K120" s="21" t="s">
        <v>34</v>
      </c>
      <c r="L120" s="16" t="s">
        <v>307</v>
      </c>
      <c r="M120" s="1" t="str">
        <f ca="1">IFERROR(__xludf.DUMMYFUNCTION("REGEXEXTRACT(E120, ""ک\s(\d{16})"")
"),"6219861085062957")</f>
        <v>6219861085062957</v>
      </c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</row>
    <row r="121" spans="1:29" ht="25.5" customHeight="1">
      <c r="A121" s="15">
        <v>113</v>
      </c>
      <c r="B121" s="15" t="s">
        <v>295</v>
      </c>
      <c r="C121" s="16" t="s">
        <v>296</v>
      </c>
      <c r="D121" s="16" t="s">
        <v>32</v>
      </c>
      <c r="E121" s="16" t="s">
        <v>328</v>
      </c>
      <c r="F121" s="16"/>
      <c r="G121" s="17" t="str">
        <f ca="1">VLOOKUP(M121, Cards!A:B, 2, FALSE)</f>
        <v>علي ابراهيميان</v>
      </c>
      <c r="H121" s="18">
        <v>0</v>
      </c>
      <c r="I121" s="19">
        <v>10000</v>
      </c>
      <c r="J121" s="20">
        <v>22321550</v>
      </c>
      <c r="K121" s="21" t="s">
        <v>34</v>
      </c>
      <c r="L121" s="16" t="s">
        <v>298</v>
      </c>
      <c r="M121" s="1" t="str">
        <f ca="1">IFERROR(__xludf.DUMMYFUNCTION("REGEXEXTRACT(E121, ""ک\s(\d{16})"")
"),"6219861085062957")</f>
        <v>6219861085062957</v>
      </c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</row>
    <row r="122" spans="1:29" ht="25.5" customHeight="1">
      <c r="A122" s="15">
        <v>114</v>
      </c>
      <c r="B122" s="15" t="s">
        <v>295</v>
      </c>
      <c r="C122" s="16" t="s">
        <v>308</v>
      </c>
      <c r="D122" s="16" t="s">
        <v>32</v>
      </c>
      <c r="E122" s="16" t="s">
        <v>329</v>
      </c>
      <c r="F122" s="16"/>
      <c r="G122" s="17" t="str">
        <f ca="1">VLOOKUP(M122, Cards!A:B, 2, FALSE)</f>
        <v>علي ابراهيميان</v>
      </c>
      <c r="H122" s="18">
        <v>0</v>
      </c>
      <c r="I122" s="19">
        <v>10000</v>
      </c>
      <c r="J122" s="20">
        <v>3108670</v>
      </c>
      <c r="K122" s="21" t="s">
        <v>34</v>
      </c>
      <c r="L122" s="16" t="s">
        <v>310</v>
      </c>
      <c r="M122" s="1" t="str">
        <f ca="1">IFERROR(__xludf.DUMMYFUNCTION("REGEXEXTRACT(E122, ""ک\s(\d{16})"")
"),"6219861085062957")</f>
        <v>6219861085062957</v>
      </c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</row>
    <row r="123" spans="1:29" ht="25.5" customHeight="1">
      <c r="A123" s="15">
        <v>115</v>
      </c>
      <c r="B123" s="15" t="s">
        <v>295</v>
      </c>
      <c r="C123" s="16" t="s">
        <v>330</v>
      </c>
      <c r="D123" s="16" t="s">
        <v>71</v>
      </c>
      <c r="E123" s="16" t="s">
        <v>331</v>
      </c>
      <c r="F123" s="16"/>
      <c r="G123" s="17" t="str">
        <f ca="1">VLOOKUP(M123, Cards!A:B, 2, FALSE)</f>
        <v>علي ابراهيميان</v>
      </c>
      <c r="H123" s="18">
        <v>0</v>
      </c>
      <c r="I123" s="19">
        <v>1440</v>
      </c>
      <c r="J123" s="20">
        <v>89641550</v>
      </c>
      <c r="K123" s="21" t="s">
        <v>34</v>
      </c>
      <c r="L123" s="16" t="s">
        <v>332</v>
      </c>
      <c r="M123" s="1" t="str">
        <f ca="1">IFERROR(__xludf.DUMMYFUNCTION("REGEXEXTRACT(E123, ""ک\s(\d{16})"")
"),"6219861085062957")</f>
        <v>6219861085062957</v>
      </c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</row>
    <row r="124" spans="1:29" ht="25.5" customHeight="1">
      <c r="A124" s="15">
        <v>116</v>
      </c>
      <c r="B124" s="15" t="s">
        <v>295</v>
      </c>
      <c r="C124" s="16" t="s">
        <v>333</v>
      </c>
      <c r="D124" s="16" t="s">
        <v>71</v>
      </c>
      <c r="E124" s="16" t="s">
        <v>334</v>
      </c>
      <c r="F124" s="16"/>
      <c r="G124" s="17" t="str">
        <f ca="1">VLOOKUP(M124, Cards!A:B, 2, FALSE)</f>
        <v>علي ابراهيميان</v>
      </c>
      <c r="H124" s="18">
        <v>0</v>
      </c>
      <c r="I124" s="19">
        <v>1440</v>
      </c>
      <c r="J124" s="20">
        <v>22320110</v>
      </c>
      <c r="K124" s="21" t="s">
        <v>34</v>
      </c>
      <c r="L124" s="16" t="s">
        <v>335</v>
      </c>
      <c r="M124" s="1" t="str">
        <f ca="1">IFERROR(__xludf.DUMMYFUNCTION("REGEXEXTRACT(E124, ""ک\s(\d{16})"")
"),"6219861085062957")</f>
        <v>6219861085062957</v>
      </c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 spans="1:29" ht="25.5" customHeight="1">
      <c r="A125" s="15">
        <v>117</v>
      </c>
      <c r="B125" s="15" t="s">
        <v>295</v>
      </c>
      <c r="C125" s="16" t="s">
        <v>336</v>
      </c>
      <c r="D125" s="16" t="s">
        <v>71</v>
      </c>
      <c r="E125" s="16" t="s">
        <v>337</v>
      </c>
      <c r="F125" s="16"/>
      <c r="G125" s="17" t="str">
        <f ca="1">VLOOKUP(M125, Cards!A:B, 2, FALSE)</f>
        <v>علي ابراهيميان</v>
      </c>
      <c r="H125" s="18">
        <v>0</v>
      </c>
      <c r="I125" s="19">
        <v>1440</v>
      </c>
      <c r="J125" s="20">
        <v>23118670</v>
      </c>
      <c r="K125" s="21" t="s">
        <v>34</v>
      </c>
      <c r="L125" s="16" t="s">
        <v>338</v>
      </c>
      <c r="M125" s="1" t="str">
        <f ca="1">IFERROR(__xludf.DUMMYFUNCTION("REGEXEXTRACT(E125, ""ک\s(\d{16})"")
"),"6219861085062957")</f>
        <v>6219861085062957</v>
      </c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 spans="1:29" ht="25.5" customHeight="1">
      <c r="A126" s="15">
        <v>118</v>
      </c>
      <c r="B126" s="15" t="s">
        <v>339</v>
      </c>
      <c r="C126" s="16" t="s">
        <v>340</v>
      </c>
      <c r="D126" s="16" t="s">
        <v>32</v>
      </c>
      <c r="E126" s="16" t="s">
        <v>341</v>
      </c>
      <c r="F126" s="16"/>
      <c r="G126" s="17" t="str">
        <f ca="1">VLOOKUP(M126, Cards!A:B, 2, FALSE)</f>
        <v>امير حسين توزنده جاني</v>
      </c>
      <c r="H126" s="18">
        <v>650000</v>
      </c>
      <c r="I126" s="19">
        <v>0</v>
      </c>
      <c r="J126" s="20">
        <v>6124590</v>
      </c>
      <c r="K126" s="21" t="s">
        <v>34</v>
      </c>
      <c r="L126" s="16" t="s">
        <v>342</v>
      </c>
      <c r="M126" s="1" t="str">
        <f ca="1">IFERROR(__xludf.DUMMYFUNCTION("REGEXEXTRACT(E126, ""ک\s(\d{16})"")
"),"6104338974821924")</f>
        <v>6104338974821924</v>
      </c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 spans="1:29" ht="25.5" customHeight="1">
      <c r="A127" s="15">
        <v>119</v>
      </c>
      <c r="B127" s="15" t="s">
        <v>339</v>
      </c>
      <c r="C127" s="16" t="s">
        <v>343</v>
      </c>
      <c r="D127" s="16" t="s">
        <v>32</v>
      </c>
      <c r="E127" s="16" t="s">
        <v>344</v>
      </c>
      <c r="F127" s="16"/>
      <c r="G127" s="17" t="str">
        <f ca="1">VLOOKUP(M127, Cards!A:B, 2, FALSE)</f>
        <v>حسين ميربلوک</v>
      </c>
      <c r="H127" s="18">
        <v>550000</v>
      </c>
      <c r="I127" s="19">
        <v>0</v>
      </c>
      <c r="J127" s="20">
        <v>34837470</v>
      </c>
      <c r="K127" s="21" t="s">
        <v>34</v>
      </c>
      <c r="L127" s="16" t="s">
        <v>345</v>
      </c>
      <c r="M127" s="1" t="str">
        <f ca="1">IFERROR(__xludf.DUMMYFUNCTION("REGEXEXTRACT(E127, ""ک\s(\d{16})"")
"),"6037697681149024")</f>
        <v>6037697681149024</v>
      </c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 spans="1:29" ht="25.5" customHeight="1">
      <c r="A128" s="15">
        <v>120</v>
      </c>
      <c r="B128" s="15" t="s">
        <v>339</v>
      </c>
      <c r="C128" s="16" t="s">
        <v>346</v>
      </c>
      <c r="D128" s="16" t="s">
        <v>32</v>
      </c>
      <c r="E128" s="16" t="s">
        <v>347</v>
      </c>
      <c r="F128" s="16"/>
      <c r="G128" s="17" t="str">
        <f ca="1">VLOOKUP(M128, Cards!A:B, 2, FALSE)</f>
        <v>الهام آخوندان</v>
      </c>
      <c r="H128" s="18">
        <v>1750000</v>
      </c>
      <c r="I128" s="19">
        <v>0</v>
      </c>
      <c r="J128" s="20">
        <v>37137470</v>
      </c>
      <c r="K128" s="21" t="s">
        <v>34</v>
      </c>
      <c r="L128" s="16" t="s">
        <v>348</v>
      </c>
      <c r="M128" s="1" t="str">
        <f ca="1">IFERROR(__xludf.DUMMYFUNCTION("REGEXEXTRACT(E128, ""ک\s(\d{16})"")
"),"5892101233211875")</f>
        <v>5892101233211875</v>
      </c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</row>
    <row r="129" spans="1:29" ht="25.5" customHeight="1">
      <c r="A129" s="15">
        <v>121</v>
      </c>
      <c r="B129" s="15" t="s">
        <v>339</v>
      </c>
      <c r="C129" s="16" t="s">
        <v>349</v>
      </c>
      <c r="D129" s="16" t="s">
        <v>32</v>
      </c>
      <c r="E129" s="16" t="s">
        <v>350</v>
      </c>
      <c r="F129" s="16"/>
      <c r="G129" s="17" t="str">
        <f ca="1">VLOOKUP(M129, Cards!A:B, 2, FALSE)</f>
        <v>سعيد جلال آبادي</v>
      </c>
      <c r="H129" s="18">
        <v>550000</v>
      </c>
      <c r="I129" s="19">
        <v>0</v>
      </c>
      <c r="J129" s="20">
        <v>35387470</v>
      </c>
      <c r="K129" s="21" t="s">
        <v>34</v>
      </c>
      <c r="L129" s="16" t="s">
        <v>351</v>
      </c>
      <c r="M129" s="1" t="str">
        <f ca="1">IFERROR(__xludf.DUMMYFUNCTION("REGEXEXTRACT(E129, ""ک\s(\d{16})"")
"),"5859831183919207")</f>
        <v>5859831183919207</v>
      </c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</row>
    <row r="130" spans="1:29" ht="25.5" customHeight="1">
      <c r="A130" s="15">
        <v>122</v>
      </c>
      <c r="B130" s="15" t="s">
        <v>339</v>
      </c>
      <c r="C130" s="16" t="s">
        <v>352</v>
      </c>
      <c r="D130" s="16" t="s">
        <v>32</v>
      </c>
      <c r="E130" s="16" t="s">
        <v>353</v>
      </c>
      <c r="F130" s="16"/>
      <c r="G130" s="17" t="str">
        <f ca="1">VLOOKUP(M130, Cards!A:B, 2, FALSE)</f>
        <v>محمدمهدي روديان</v>
      </c>
      <c r="H130" s="18">
        <v>0</v>
      </c>
      <c r="I130" s="19">
        <v>60000000</v>
      </c>
      <c r="J130" s="20">
        <v>45108670</v>
      </c>
      <c r="K130" s="21" t="s">
        <v>34</v>
      </c>
      <c r="L130" s="16" t="s">
        <v>354</v>
      </c>
      <c r="M130" s="1" t="str">
        <f ca="1">IFERROR(__xludf.DUMMYFUNCTION("REGEXEXTRACT(E130, ""ک\s(\d{16})"")
"),"5892101634724955")</f>
        <v>5892101634724955</v>
      </c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 spans="1:29" ht="25.5" customHeight="1">
      <c r="A131" s="15">
        <v>123</v>
      </c>
      <c r="B131" s="15" t="s">
        <v>339</v>
      </c>
      <c r="C131" s="16" t="s">
        <v>355</v>
      </c>
      <c r="D131" s="16" t="s">
        <v>32</v>
      </c>
      <c r="E131" s="16" t="s">
        <v>356</v>
      </c>
      <c r="F131" s="16"/>
      <c r="G131" s="17" t="str">
        <f ca="1">VLOOKUP(M131, Cards!A:B, 2, FALSE)</f>
        <v>محمد کوچکي</v>
      </c>
      <c r="H131" s="18">
        <v>0</v>
      </c>
      <c r="I131" s="19">
        <v>11640000</v>
      </c>
      <c r="J131" s="20">
        <v>25497470</v>
      </c>
      <c r="K131" s="21" t="s">
        <v>34</v>
      </c>
      <c r="L131" s="16" t="s">
        <v>357</v>
      </c>
      <c r="M131" s="1" t="str">
        <f ca="1">IFERROR(__xludf.DUMMYFUNCTION("REGEXEXTRACT(E131, ""ک\s(\d{16})"")
"),"6037697600840968")</f>
        <v>6037697600840968</v>
      </c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</row>
    <row r="132" spans="1:29" ht="25.5" customHeight="1">
      <c r="A132" s="15">
        <v>124</v>
      </c>
      <c r="B132" s="15" t="s">
        <v>339</v>
      </c>
      <c r="C132" s="16" t="s">
        <v>358</v>
      </c>
      <c r="D132" s="16" t="s">
        <v>32</v>
      </c>
      <c r="E132" s="16" t="s">
        <v>359</v>
      </c>
      <c r="F132" s="16"/>
      <c r="G132" s="17" t="str">
        <f ca="1">VLOOKUP(M132, Cards!A:B, 2, FALSE)</f>
        <v>الهام اسلامي</v>
      </c>
      <c r="H132" s="18">
        <v>0</v>
      </c>
      <c r="I132" s="19">
        <v>20000000</v>
      </c>
      <c r="J132" s="20">
        <v>5486030</v>
      </c>
      <c r="K132" s="21" t="s">
        <v>34</v>
      </c>
      <c r="L132" s="16" t="s">
        <v>360</v>
      </c>
      <c r="M132" s="1" t="str">
        <f ca="1">IFERROR(__xludf.DUMMYFUNCTION("REGEXEXTRACT(E132, ""ک\s(\d{16})"")
"),"6396071217181585")</f>
        <v>6396071217181585</v>
      </c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 spans="1:29" ht="25.5" customHeight="1">
      <c r="A133" s="15">
        <v>125</v>
      </c>
      <c r="B133" s="15" t="s">
        <v>339</v>
      </c>
      <c r="C133" s="16" t="s">
        <v>361</v>
      </c>
      <c r="D133" s="16" t="s">
        <v>52</v>
      </c>
      <c r="E133" s="16" t="s">
        <v>362</v>
      </c>
      <c r="F133" s="16"/>
      <c r="G133" s="1" t="e">
        <f ca="1">VLOOKUP(M133, Cards!A:B, 2, FALSE)</f>
        <v>#N/A</v>
      </c>
      <c r="H133" s="18">
        <v>100000000</v>
      </c>
      <c r="I133" s="19">
        <v>0</v>
      </c>
      <c r="J133" s="20">
        <v>103108670</v>
      </c>
      <c r="K133" s="21" t="s">
        <v>54</v>
      </c>
      <c r="L133" s="16" t="s">
        <v>363</v>
      </c>
      <c r="M133" s="1" t="str">
        <f ca="1">IFERROR(__xludf.DUMMYFUNCTION("REGEXEXTRACT(E133, ""ک\s(\d{16})"")
"),"#N/A")</f>
        <v>#N/A</v>
      </c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</row>
    <row r="134" spans="1:29" ht="25.5" customHeight="1">
      <c r="A134" s="15">
        <v>126</v>
      </c>
      <c r="B134" s="15" t="s">
        <v>339</v>
      </c>
      <c r="C134" s="16" t="s">
        <v>364</v>
      </c>
      <c r="D134" s="16" t="s">
        <v>52</v>
      </c>
      <c r="E134" s="16" t="s">
        <v>365</v>
      </c>
      <c r="F134" s="16"/>
      <c r="G134" s="1" t="e">
        <f ca="1">VLOOKUP(M134, Cards!A:B, 2, FALSE)</f>
        <v>#N/A</v>
      </c>
      <c r="H134" s="18">
        <v>2000000</v>
      </c>
      <c r="I134" s="19">
        <v>0</v>
      </c>
      <c r="J134" s="20">
        <v>105108670</v>
      </c>
      <c r="K134" s="21" t="s">
        <v>54</v>
      </c>
      <c r="L134" s="16" t="s">
        <v>366</v>
      </c>
      <c r="M134" s="1" t="str">
        <f ca="1">IFERROR(__xludf.DUMMYFUNCTION("REGEXEXTRACT(E134, ""ک\s(\d{16})"")
"),"#N/A")</f>
        <v>#N/A</v>
      </c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</row>
    <row r="135" spans="1:29" ht="25.5" customHeight="1">
      <c r="A135" s="15">
        <v>127</v>
      </c>
      <c r="B135" s="15" t="s">
        <v>339</v>
      </c>
      <c r="C135" s="16" t="s">
        <v>367</v>
      </c>
      <c r="D135" s="16" t="s">
        <v>60</v>
      </c>
      <c r="E135" s="16" t="s">
        <v>368</v>
      </c>
      <c r="F135" s="16"/>
      <c r="G135" s="17" t="str">
        <f ca="1">VLOOKUP(M135, Cards!A:B, 2, FALSE)</f>
        <v>علي ابراهيميان</v>
      </c>
      <c r="H135" s="18">
        <v>0</v>
      </c>
      <c r="I135" s="19">
        <v>10800000</v>
      </c>
      <c r="J135" s="20">
        <v>34287470</v>
      </c>
      <c r="K135" s="21" t="s">
        <v>34</v>
      </c>
      <c r="L135" s="16" t="s">
        <v>369</v>
      </c>
      <c r="M135" s="1" t="str">
        <f ca="1">IFERROR(__xludf.DUMMYFUNCTION("REGEXEXTRACT(E135, ""ک\s(\d{16})"")
"),"6219861085062957")</f>
        <v>6219861085062957</v>
      </c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</row>
    <row r="136" spans="1:29" ht="25.5" customHeight="1">
      <c r="A136" s="15">
        <v>128</v>
      </c>
      <c r="B136" s="15" t="s">
        <v>339</v>
      </c>
      <c r="C136" s="16" t="s">
        <v>352</v>
      </c>
      <c r="D136" s="16" t="s">
        <v>32</v>
      </c>
      <c r="E136" s="16" t="s">
        <v>370</v>
      </c>
      <c r="F136" s="16"/>
      <c r="G136" s="17" t="str">
        <f ca="1">VLOOKUP(M136, Cards!A:B, 2, FALSE)</f>
        <v>علي ابراهيميان</v>
      </c>
      <c r="H136" s="18">
        <v>0</v>
      </c>
      <c r="I136" s="19">
        <v>21200</v>
      </c>
      <c r="J136" s="20">
        <v>45087470</v>
      </c>
      <c r="K136" s="21" t="s">
        <v>34</v>
      </c>
      <c r="L136" s="16" t="s">
        <v>354</v>
      </c>
      <c r="M136" s="1" t="str">
        <f ca="1">IFERROR(__xludf.DUMMYFUNCTION("REGEXEXTRACT(E136, ""ک\s(\d{16})"")
"),"6219861085062957")</f>
        <v>6219861085062957</v>
      </c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 spans="1:29" ht="25.5" customHeight="1">
      <c r="A137" s="15">
        <v>129</v>
      </c>
      <c r="B137" s="15" t="s">
        <v>339</v>
      </c>
      <c r="C137" s="16" t="s">
        <v>355</v>
      </c>
      <c r="D137" s="16" t="s">
        <v>32</v>
      </c>
      <c r="E137" s="16" t="s">
        <v>371</v>
      </c>
      <c r="F137" s="16"/>
      <c r="G137" s="17" t="str">
        <f ca="1">VLOOKUP(M137, Cards!A:B, 2, FALSE)</f>
        <v>علي ابراهيميان</v>
      </c>
      <c r="H137" s="18">
        <v>0</v>
      </c>
      <c r="I137" s="19">
        <v>10000</v>
      </c>
      <c r="J137" s="20">
        <v>25487470</v>
      </c>
      <c r="K137" s="21" t="s">
        <v>34</v>
      </c>
      <c r="L137" s="16" t="s">
        <v>357</v>
      </c>
      <c r="M137" s="1" t="str">
        <f ca="1">IFERROR(__xludf.DUMMYFUNCTION("REGEXEXTRACT(E137, ""ک\s(\d{16})"")
"),"6219861085062957")</f>
        <v>6219861085062957</v>
      </c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</row>
    <row r="138" spans="1:29" ht="25.5" customHeight="1">
      <c r="A138" s="15">
        <v>130</v>
      </c>
      <c r="B138" s="15" t="s">
        <v>339</v>
      </c>
      <c r="C138" s="16" t="s">
        <v>358</v>
      </c>
      <c r="D138" s="16" t="s">
        <v>32</v>
      </c>
      <c r="E138" s="16" t="s">
        <v>372</v>
      </c>
      <c r="F138" s="16"/>
      <c r="G138" s="17" t="str">
        <f ca="1">VLOOKUP(M138, Cards!A:B, 2, FALSE)</f>
        <v>علي ابراهيميان</v>
      </c>
      <c r="H138" s="18">
        <v>0</v>
      </c>
      <c r="I138" s="19">
        <v>10000</v>
      </c>
      <c r="J138" s="20">
        <v>5476030</v>
      </c>
      <c r="K138" s="21" t="s">
        <v>34</v>
      </c>
      <c r="L138" s="16" t="s">
        <v>360</v>
      </c>
      <c r="M138" s="1" t="str">
        <f ca="1">IFERROR(__xludf.DUMMYFUNCTION("REGEXEXTRACT(E138, ""ک\s(\d{16})"")
"),"6219861085062957")</f>
        <v>6219861085062957</v>
      </c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</row>
    <row r="139" spans="1:29" ht="25.5" customHeight="1">
      <c r="A139" s="15">
        <v>131</v>
      </c>
      <c r="B139" s="15" t="s">
        <v>339</v>
      </c>
      <c r="C139" s="16" t="s">
        <v>373</v>
      </c>
      <c r="D139" s="16" t="s">
        <v>71</v>
      </c>
      <c r="E139" s="16" t="s">
        <v>374</v>
      </c>
      <c r="F139" s="16"/>
      <c r="G139" s="17" t="str">
        <f ca="1">VLOOKUP(M139, Cards!A:B, 2, FALSE)</f>
        <v>علي ابراهيميان</v>
      </c>
      <c r="H139" s="18">
        <v>0</v>
      </c>
      <c r="I139" s="19">
        <v>1440</v>
      </c>
      <c r="J139" s="20">
        <v>5474590</v>
      </c>
      <c r="K139" s="21" t="s">
        <v>34</v>
      </c>
      <c r="L139" s="16" t="s">
        <v>375</v>
      </c>
      <c r="M139" s="1" t="str">
        <f ca="1">IFERROR(__xludf.DUMMYFUNCTION("REGEXEXTRACT(E139, ""ک\s(\d{16})"")
"),"6219861085062957")</f>
        <v>6219861085062957</v>
      </c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</row>
    <row r="140" spans="1:29" ht="25.5" customHeight="1">
      <c r="A140" s="15">
        <v>132</v>
      </c>
      <c r="B140" s="15" t="s">
        <v>339</v>
      </c>
      <c r="C140" s="16" t="s">
        <v>376</v>
      </c>
      <c r="D140" s="16" t="s">
        <v>71</v>
      </c>
      <c r="E140" s="16" t="s">
        <v>377</v>
      </c>
      <c r="F140" s="16"/>
      <c r="G140" s="17" t="str">
        <f ca="1">VLOOKUP(M140, Cards!A:B, 2, FALSE)</f>
        <v>علي ابراهيميان</v>
      </c>
      <c r="H140" s="18">
        <v>0</v>
      </c>
      <c r="I140" s="19">
        <v>1440</v>
      </c>
      <c r="J140" s="20">
        <v>25486030</v>
      </c>
      <c r="K140" s="21" t="s">
        <v>34</v>
      </c>
      <c r="L140" s="16" t="s">
        <v>378</v>
      </c>
      <c r="M140" s="1" t="str">
        <f ca="1">IFERROR(__xludf.DUMMYFUNCTION("REGEXEXTRACT(E140, ""ک\s(\d{16})"")
"),"6219861085062957")</f>
        <v>6219861085062957</v>
      </c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</row>
    <row r="141" spans="1:29" ht="25.5" customHeight="1">
      <c r="A141" s="15">
        <v>133</v>
      </c>
      <c r="B141" s="15" t="s">
        <v>379</v>
      </c>
      <c r="C141" s="16" t="s">
        <v>380</v>
      </c>
      <c r="D141" s="16" t="s">
        <v>32</v>
      </c>
      <c r="E141" s="16" t="s">
        <v>381</v>
      </c>
      <c r="F141" s="16"/>
      <c r="G141" s="17" t="str">
        <f ca="1">VLOOKUP(M141, Cards!A:B, 2, FALSE)</f>
        <v>مصطفي اسحقي</v>
      </c>
      <c r="H141" s="18">
        <v>550000</v>
      </c>
      <c r="I141" s="19">
        <v>0</v>
      </c>
      <c r="J141" s="20">
        <v>126674590</v>
      </c>
      <c r="K141" s="21" t="s">
        <v>34</v>
      </c>
      <c r="L141" s="16" t="s">
        <v>382</v>
      </c>
      <c r="M141" s="1" t="str">
        <f ca="1">IFERROR(__xludf.DUMMYFUNCTION("REGEXEXTRACT(E141, ""ک\s(\d{16})"")
"),"5892101063187187")</f>
        <v>5892101063187187</v>
      </c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</row>
    <row r="142" spans="1:29" ht="25.5" customHeight="1">
      <c r="A142" s="15">
        <v>134</v>
      </c>
      <c r="B142" s="15" t="s">
        <v>379</v>
      </c>
      <c r="C142" s="16" t="s">
        <v>383</v>
      </c>
      <c r="D142" s="16" t="s">
        <v>32</v>
      </c>
      <c r="E142" s="16" t="s">
        <v>384</v>
      </c>
      <c r="F142" s="16"/>
      <c r="G142" s="17" t="str">
        <f ca="1">VLOOKUP(M142, Cards!A:B, 2, FALSE)</f>
        <v>جواد ابراهيميان</v>
      </c>
      <c r="H142" s="18">
        <v>0</v>
      </c>
      <c r="I142" s="19">
        <v>5000000</v>
      </c>
      <c r="J142" s="20">
        <v>59626590</v>
      </c>
      <c r="K142" s="21" t="s">
        <v>34</v>
      </c>
      <c r="L142" s="16" t="s">
        <v>385</v>
      </c>
      <c r="M142" s="1" t="str">
        <f ca="1">IFERROR(__xludf.DUMMYFUNCTION("REGEXEXTRACT(E142, ""ک\s(\d{16})"")
"),"5029081028402846")</f>
        <v>5029081028402846</v>
      </c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</row>
    <row r="143" spans="1:29" ht="25.5" customHeight="1">
      <c r="A143" s="15">
        <v>135</v>
      </c>
      <c r="B143" s="15" t="s">
        <v>379</v>
      </c>
      <c r="C143" s="16" t="s">
        <v>386</v>
      </c>
      <c r="D143" s="16" t="s">
        <v>32</v>
      </c>
      <c r="E143" s="16" t="s">
        <v>387</v>
      </c>
      <c r="F143" s="16"/>
      <c r="G143" s="17" t="str">
        <f ca="1">VLOOKUP(M143, Cards!A:B, 2, FALSE)</f>
        <v>محمد کريمي</v>
      </c>
      <c r="H143" s="18">
        <v>0</v>
      </c>
      <c r="I143" s="19">
        <v>17248000</v>
      </c>
      <c r="J143" s="20">
        <v>69643790</v>
      </c>
      <c r="K143" s="21" t="s">
        <v>34</v>
      </c>
      <c r="L143" s="16" t="s">
        <v>388</v>
      </c>
      <c r="M143" s="1" t="str">
        <f ca="1">IFERROR(__xludf.DUMMYFUNCTION("REGEXEXTRACT(E143, ""ک\s(\d{16})"")
"),"5892101643117522")</f>
        <v>5892101643117522</v>
      </c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 spans="1:29" ht="25.5" customHeight="1">
      <c r="A144" s="15">
        <v>136</v>
      </c>
      <c r="B144" s="15" t="s">
        <v>379</v>
      </c>
      <c r="C144" s="16" t="s">
        <v>389</v>
      </c>
      <c r="D144" s="16" t="s">
        <v>32</v>
      </c>
      <c r="E144" s="16" t="s">
        <v>390</v>
      </c>
      <c r="F144" s="16"/>
      <c r="G144" s="17" t="str">
        <f ca="1">VLOOKUP(M144, Cards!A:B, 2, FALSE)</f>
        <v>محمد خانگاه</v>
      </c>
      <c r="H144" s="18">
        <v>0</v>
      </c>
      <c r="I144" s="19">
        <v>25270000</v>
      </c>
      <c r="J144" s="20">
        <v>86904590</v>
      </c>
      <c r="K144" s="21" t="s">
        <v>34</v>
      </c>
      <c r="L144" s="16" t="s">
        <v>391</v>
      </c>
      <c r="M144" s="1" t="str">
        <f ca="1">IFERROR(__xludf.DUMMYFUNCTION("REGEXEXTRACT(E144, ""ک\s(\d{16})"")
"),"6104338971567579")</f>
        <v>6104338971567579</v>
      </c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</row>
    <row r="145" spans="1:29" ht="25.5" customHeight="1">
      <c r="A145" s="15">
        <v>137</v>
      </c>
      <c r="B145" s="15" t="s">
        <v>379</v>
      </c>
      <c r="C145" s="16" t="s">
        <v>392</v>
      </c>
      <c r="D145" s="16" t="s">
        <v>32</v>
      </c>
      <c r="E145" s="16" t="s">
        <v>393</v>
      </c>
      <c r="F145" s="16"/>
      <c r="G145" s="17" t="str">
        <f ca="1">VLOOKUP(M145, Cards!A:B, 2, FALSE)</f>
        <v>مهدي ابراهيميان</v>
      </c>
      <c r="H145" s="18">
        <v>0</v>
      </c>
      <c r="I145" s="19">
        <v>5000000</v>
      </c>
      <c r="J145" s="20">
        <v>64633790</v>
      </c>
      <c r="K145" s="21" t="s">
        <v>34</v>
      </c>
      <c r="L145" s="16" t="s">
        <v>394</v>
      </c>
      <c r="M145" s="1" t="str">
        <f ca="1">IFERROR(__xludf.DUMMYFUNCTION("REGEXEXTRACT(E145, ""ک\s(\d{16})"")
"),"6219861050987337")</f>
        <v>6219861050987337</v>
      </c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</row>
    <row r="146" spans="1:29" ht="25.5" customHeight="1">
      <c r="A146" s="15">
        <v>138</v>
      </c>
      <c r="B146" s="15" t="s">
        <v>379</v>
      </c>
      <c r="C146" s="16" t="s">
        <v>395</v>
      </c>
      <c r="D146" s="16" t="s">
        <v>32</v>
      </c>
      <c r="E146" s="16" t="s">
        <v>396</v>
      </c>
      <c r="F146" s="16"/>
      <c r="G146" s="17" t="str">
        <f ca="1">VLOOKUP(M146, Cards!A:B, 2, FALSE)</f>
        <v>محمد کريمي</v>
      </c>
      <c r="H146" s="18">
        <v>0</v>
      </c>
      <c r="I146" s="19">
        <v>16985000</v>
      </c>
      <c r="J146" s="20">
        <v>42632950</v>
      </c>
      <c r="K146" s="21" t="s">
        <v>34</v>
      </c>
      <c r="L146" s="16" t="s">
        <v>397</v>
      </c>
      <c r="M146" s="1" t="str">
        <f ca="1">IFERROR(__xludf.DUMMYFUNCTION("REGEXEXTRACT(E146, ""ک\s(\d{16})"")
"),"5892101643117522")</f>
        <v>5892101643117522</v>
      </c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</row>
    <row r="147" spans="1:29" ht="25.5" customHeight="1">
      <c r="A147" s="15">
        <v>139</v>
      </c>
      <c r="B147" s="15" t="s">
        <v>379</v>
      </c>
      <c r="C147" s="16" t="s">
        <v>398</v>
      </c>
      <c r="D147" s="16" t="s">
        <v>52</v>
      </c>
      <c r="E147" s="16" t="s">
        <v>399</v>
      </c>
      <c r="F147" s="16"/>
      <c r="G147" s="1" t="e">
        <f ca="1">VLOOKUP(M147, Cards!A:B, 2, FALSE)</f>
        <v>#N/A</v>
      </c>
      <c r="H147" s="18">
        <v>120000000</v>
      </c>
      <c r="I147" s="19">
        <v>0</v>
      </c>
      <c r="J147" s="20">
        <v>126124590</v>
      </c>
      <c r="K147" s="21" t="s">
        <v>54</v>
      </c>
      <c r="L147" s="16" t="s">
        <v>400</v>
      </c>
      <c r="M147" s="1" t="str">
        <f ca="1">IFERROR(__xludf.DUMMYFUNCTION("REGEXEXTRACT(E147, ""ک\s(\d{16})"")
"),"#N/A")</f>
        <v>#N/A</v>
      </c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</row>
    <row r="148" spans="1:29" ht="25.5" customHeight="1">
      <c r="A148" s="15">
        <v>140</v>
      </c>
      <c r="B148" s="15" t="s">
        <v>379</v>
      </c>
      <c r="C148" s="16" t="s">
        <v>401</v>
      </c>
      <c r="D148" s="16" t="s">
        <v>60</v>
      </c>
      <c r="E148" s="16" t="s">
        <v>402</v>
      </c>
      <c r="F148" s="16"/>
      <c r="G148" s="17" t="str">
        <f ca="1">VLOOKUP(M148, Cards!A:B, 2, FALSE)</f>
        <v>علي ابراهيميان</v>
      </c>
      <c r="H148" s="18">
        <v>0</v>
      </c>
      <c r="I148" s="19">
        <v>10400000</v>
      </c>
      <c r="J148" s="20">
        <v>32222950</v>
      </c>
      <c r="K148" s="21" t="s">
        <v>34</v>
      </c>
      <c r="L148" s="16" t="s">
        <v>403</v>
      </c>
      <c r="M148" s="1" t="str">
        <f ca="1">IFERROR(__xludf.DUMMYFUNCTION("REGEXEXTRACT(E148, ""ک\s(\d{16})"")
"),"6219861085062957")</f>
        <v>6219861085062957</v>
      </c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</row>
    <row r="149" spans="1:29" ht="25.5" customHeight="1">
      <c r="A149" s="15">
        <v>141</v>
      </c>
      <c r="B149" s="15" t="s">
        <v>379</v>
      </c>
      <c r="C149" s="16" t="s">
        <v>404</v>
      </c>
      <c r="D149" s="16" t="s">
        <v>60</v>
      </c>
      <c r="E149" s="16" t="s">
        <v>405</v>
      </c>
      <c r="F149" s="16"/>
      <c r="G149" s="17" t="str">
        <f ca="1">VLOOKUP(M149, Cards!A:B, 2, FALSE)</f>
        <v>علي ابراهيميان</v>
      </c>
      <c r="H149" s="18">
        <v>0</v>
      </c>
      <c r="I149" s="19">
        <v>14500000</v>
      </c>
      <c r="J149" s="20">
        <v>112174590</v>
      </c>
      <c r="K149" s="21" t="s">
        <v>34</v>
      </c>
      <c r="L149" s="16" t="s">
        <v>406</v>
      </c>
      <c r="M149" s="1" t="str">
        <f ca="1">IFERROR(__xludf.DUMMYFUNCTION("REGEXEXTRACT(E149, ""ک\s(\d{16})"")
"),"6219861085062957")</f>
        <v>6219861085062957</v>
      </c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 spans="1:29" ht="25.5" customHeight="1">
      <c r="A150" s="15">
        <v>142</v>
      </c>
      <c r="B150" s="15" t="s">
        <v>379</v>
      </c>
      <c r="C150" s="16" t="s">
        <v>389</v>
      </c>
      <c r="D150" s="16" t="s">
        <v>32</v>
      </c>
      <c r="E150" s="16" t="s">
        <v>407</v>
      </c>
      <c r="F150" s="16"/>
      <c r="G150" s="17" t="str">
        <f ca="1">VLOOKUP(M150, Cards!A:B, 2, FALSE)</f>
        <v>علي ابراهيميان</v>
      </c>
      <c r="H150" s="18">
        <v>0</v>
      </c>
      <c r="I150" s="19">
        <v>12800</v>
      </c>
      <c r="J150" s="20">
        <v>86891790</v>
      </c>
      <c r="K150" s="21" t="s">
        <v>34</v>
      </c>
      <c r="L150" s="16" t="s">
        <v>391</v>
      </c>
      <c r="M150" s="1" t="str">
        <f ca="1">IFERROR(__xludf.DUMMYFUNCTION("REGEXEXTRACT(E150, ""ک\s(\d{16})"")
"),"6219861085062957")</f>
        <v>6219861085062957</v>
      </c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</row>
    <row r="151" spans="1:29" ht="25.5" customHeight="1">
      <c r="A151" s="15">
        <v>143</v>
      </c>
      <c r="B151" s="15" t="s">
        <v>379</v>
      </c>
      <c r="C151" s="16" t="s">
        <v>386</v>
      </c>
      <c r="D151" s="16" t="s">
        <v>32</v>
      </c>
      <c r="E151" s="16" t="s">
        <v>408</v>
      </c>
      <c r="F151" s="16"/>
      <c r="G151" s="17" t="str">
        <f ca="1">VLOOKUP(M151, Cards!A:B, 2, FALSE)</f>
        <v>علي ابراهيميان</v>
      </c>
      <c r="H151" s="18">
        <v>0</v>
      </c>
      <c r="I151" s="19">
        <v>10000</v>
      </c>
      <c r="J151" s="20">
        <v>69633790</v>
      </c>
      <c r="K151" s="21" t="s">
        <v>34</v>
      </c>
      <c r="L151" s="16" t="s">
        <v>388</v>
      </c>
      <c r="M151" s="1" t="str">
        <f ca="1">IFERROR(__xludf.DUMMYFUNCTION("REGEXEXTRACT(E151, ""ک\s(\d{16})"")
"),"6219861085062957")</f>
        <v>6219861085062957</v>
      </c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</row>
    <row r="152" spans="1:29" ht="25.5" customHeight="1">
      <c r="A152" s="15">
        <v>144</v>
      </c>
      <c r="B152" s="15" t="s">
        <v>379</v>
      </c>
      <c r="C152" s="16" t="s">
        <v>392</v>
      </c>
      <c r="D152" s="16" t="s">
        <v>32</v>
      </c>
      <c r="E152" s="16" t="s">
        <v>409</v>
      </c>
      <c r="F152" s="16"/>
      <c r="G152" s="17" t="str">
        <f ca="1">VLOOKUP(M152, Cards!A:B, 2, FALSE)</f>
        <v>علي ابراهيميان</v>
      </c>
      <c r="H152" s="18">
        <v>0</v>
      </c>
      <c r="I152" s="19">
        <v>7200</v>
      </c>
      <c r="J152" s="20">
        <v>64626590</v>
      </c>
      <c r="K152" s="21" t="s">
        <v>34</v>
      </c>
      <c r="L152" s="16" t="s">
        <v>394</v>
      </c>
      <c r="M152" s="1" t="str">
        <f ca="1">IFERROR(__xludf.DUMMYFUNCTION("REGEXEXTRACT(E152, ""ک\s(\d{16})"")
"),"6219861085062957")</f>
        <v>6219861085062957</v>
      </c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</row>
    <row r="153" spans="1:29" ht="25.5" customHeight="1">
      <c r="A153" s="15">
        <v>145</v>
      </c>
      <c r="B153" s="15" t="s">
        <v>379</v>
      </c>
      <c r="C153" s="16" t="s">
        <v>383</v>
      </c>
      <c r="D153" s="16" t="s">
        <v>32</v>
      </c>
      <c r="E153" s="16" t="s">
        <v>410</v>
      </c>
      <c r="F153" s="16"/>
      <c r="G153" s="17" t="str">
        <f ca="1">VLOOKUP(M153, Cards!A:B, 2, FALSE)</f>
        <v>علي ابراهيميان</v>
      </c>
      <c r="H153" s="18">
        <v>0</v>
      </c>
      <c r="I153" s="19">
        <v>7200</v>
      </c>
      <c r="J153" s="20">
        <v>59619390</v>
      </c>
      <c r="K153" s="21" t="s">
        <v>34</v>
      </c>
      <c r="L153" s="16" t="s">
        <v>385</v>
      </c>
      <c r="M153" s="1" t="str">
        <f ca="1">IFERROR(__xludf.DUMMYFUNCTION("REGEXEXTRACT(E153, ""ک\s(\d{16})"")
"),"6219861085062957")</f>
        <v>6219861085062957</v>
      </c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</row>
    <row r="154" spans="1:29" ht="25.5" customHeight="1">
      <c r="A154" s="15">
        <v>146</v>
      </c>
      <c r="B154" s="15" t="s">
        <v>379</v>
      </c>
      <c r="C154" s="16" t="s">
        <v>395</v>
      </c>
      <c r="D154" s="16" t="s">
        <v>32</v>
      </c>
      <c r="E154" s="16" t="s">
        <v>411</v>
      </c>
      <c r="F154" s="16"/>
      <c r="G154" s="17" t="str">
        <f ca="1">VLOOKUP(M154, Cards!A:B, 2, FALSE)</f>
        <v>علي ابراهيميان</v>
      </c>
      <c r="H154" s="18">
        <v>0</v>
      </c>
      <c r="I154" s="19">
        <v>10000</v>
      </c>
      <c r="J154" s="20">
        <v>42622950</v>
      </c>
      <c r="K154" s="21" t="s">
        <v>34</v>
      </c>
      <c r="L154" s="16" t="s">
        <v>397</v>
      </c>
      <c r="M154" s="1" t="str">
        <f ca="1">IFERROR(__xludf.DUMMYFUNCTION("REGEXEXTRACT(E154, ""ک\s(\d{16})"")
"),"6219861085062957")</f>
        <v>6219861085062957</v>
      </c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</row>
    <row r="155" spans="1:29" ht="25.5" customHeight="1">
      <c r="A155" s="15">
        <v>147</v>
      </c>
      <c r="B155" s="15" t="s">
        <v>379</v>
      </c>
      <c r="C155" s="16" t="s">
        <v>412</v>
      </c>
      <c r="D155" s="16" t="s">
        <v>71</v>
      </c>
      <c r="E155" s="16" t="s">
        <v>413</v>
      </c>
      <c r="F155" s="16"/>
      <c r="G155" s="17" t="str">
        <f ca="1">VLOOKUP(M155, Cards!A:B, 2, FALSE)</f>
        <v>علي ابراهيميان</v>
      </c>
      <c r="H155" s="18">
        <v>0</v>
      </c>
      <c r="I155" s="19">
        <v>1440</v>
      </c>
      <c r="J155" s="20">
        <v>59617950</v>
      </c>
      <c r="K155" s="21" t="s">
        <v>34</v>
      </c>
      <c r="L155" s="16" t="s">
        <v>414</v>
      </c>
      <c r="M155" s="1" t="str">
        <f ca="1">IFERROR(__xludf.DUMMYFUNCTION("REGEXEXTRACT(E155, ""ک\s(\d{16})"")
"),"6219861085062957")</f>
        <v>6219861085062957</v>
      </c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</row>
    <row r="156" spans="1:29" ht="25.5" customHeight="1">
      <c r="A156" s="15">
        <v>148</v>
      </c>
      <c r="B156" s="15" t="s">
        <v>379</v>
      </c>
      <c r="C156" s="16" t="s">
        <v>415</v>
      </c>
      <c r="D156" s="16" t="s">
        <v>71</v>
      </c>
      <c r="E156" s="16" t="s">
        <v>416</v>
      </c>
      <c r="F156" s="16"/>
      <c r="G156" s="17" t="str">
        <f ca="1">VLOOKUP(M156, Cards!A:B, 2, FALSE)</f>
        <v>علي ابراهيميان</v>
      </c>
      <c r="H156" s="18">
        <v>0</v>
      </c>
      <c r="I156" s="19">
        <v>1440</v>
      </c>
      <c r="J156" s="20">
        <v>32221510</v>
      </c>
      <c r="K156" s="21" t="s">
        <v>34</v>
      </c>
      <c r="L156" s="16" t="s">
        <v>417</v>
      </c>
      <c r="M156" s="1" t="str">
        <f ca="1">IFERROR(__xludf.DUMMYFUNCTION("REGEXEXTRACT(E156, ""ک\s(\d{16})"")
"),"6219861085062957")</f>
        <v>6219861085062957</v>
      </c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</row>
    <row r="157" spans="1:29" ht="25.5" customHeight="1">
      <c r="A157" s="15">
        <v>149</v>
      </c>
      <c r="B157" s="15" t="s">
        <v>418</v>
      </c>
      <c r="C157" s="16" t="s">
        <v>419</v>
      </c>
      <c r="D157" s="16" t="s">
        <v>52</v>
      </c>
      <c r="E157" s="16" t="s">
        <v>420</v>
      </c>
      <c r="F157" s="16"/>
      <c r="G157" s="1" t="e">
        <f ca="1">VLOOKUP(M157, Cards!A:B, 2, FALSE)</f>
        <v>#N/A</v>
      </c>
      <c r="H157" s="18">
        <v>105000000</v>
      </c>
      <c r="I157" s="19">
        <v>0</v>
      </c>
      <c r="J157" s="20">
        <v>137221510</v>
      </c>
      <c r="K157" s="21" t="s">
        <v>54</v>
      </c>
      <c r="L157" s="16" t="s">
        <v>421</v>
      </c>
      <c r="M157" s="1" t="str">
        <f ca="1">IFERROR(__xludf.DUMMYFUNCTION("REGEXEXTRACT(E157, ""ک\s(\d{16})"")
"),"#N/A")</f>
        <v>#N/A</v>
      </c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</row>
    <row r="158" spans="1:29" ht="25.5" customHeight="1">
      <c r="A158" s="15">
        <v>150</v>
      </c>
      <c r="B158" s="15" t="s">
        <v>422</v>
      </c>
      <c r="C158" s="16" t="s">
        <v>423</v>
      </c>
      <c r="D158" s="16" t="s">
        <v>32</v>
      </c>
      <c r="E158" s="16" t="s">
        <v>424</v>
      </c>
      <c r="F158" s="16"/>
      <c r="G158" s="17" t="str">
        <f ca="1">VLOOKUP(M158, Cards!A:B, 2, FALSE)</f>
        <v>الهه احمدابادي</v>
      </c>
      <c r="H158" s="18">
        <v>900000</v>
      </c>
      <c r="I158" s="19">
        <v>0</v>
      </c>
      <c r="J158" s="20">
        <v>53086070</v>
      </c>
      <c r="K158" s="21" t="s">
        <v>34</v>
      </c>
      <c r="L158" s="16" t="s">
        <v>425</v>
      </c>
      <c r="M158" s="1" t="str">
        <f ca="1">IFERROR(__xludf.DUMMYFUNCTION("REGEXEXTRACT(E158, ""ک\s(\d{16})"")
"),"6277601362952630")</f>
        <v>6277601362952630</v>
      </c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</row>
    <row r="159" spans="1:29" ht="25.5" customHeight="1">
      <c r="A159" s="15">
        <v>151</v>
      </c>
      <c r="B159" s="15" t="s">
        <v>422</v>
      </c>
      <c r="C159" s="16" t="s">
        <v>426</v>
      </c>
      <c r="D159" s="16" t="s">
        <v>32</v>
      </c>
      <c r="E159" s="16" t="s">
        <v>427</v>
      </c>
      <c r="F159" s="16"/>
      <c r="G159" s="17" t="str">
        <f ca="1">VLOOKUP(M159, Cards!A:B, 2, FALSE)</f>
        <v>حسين ميربلوک</v>
      </c>
      <c r="H159" s="18">
        <v>550000</v>
      </c>
      <c r="I159" s="19">
        <v>0</v>
      </c>
      <c r="J159" s="20">
        <v>53636070</v>
      </c>
      <c r="K159" s="21" t="s">
        <v>34</v>
      </c>
      <c r="L159" s="16" t="s">
        <v>428</v>
      </c>
      <c r="M159" s="1" t="str">
        <f ca="1">IFERROR(__xludf.DUMMYFUNCTION("REGEXEXTRACT(E159, ""ک\s(\d{16})"")
"),"6037697681149024")</f>
        <v>6037697681149024</v>
      </c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</row>
    <row r="160" spans="1:29" ht="25.5" customHeight="1">
      <c r="A160" s="15">
        <v>152</v>
      </c>
      <c r="B160" s="15" t="s">
        <v>422</v>
      </c>
      <c r="C160" s="16" t="s">
        <v>429</v>
      </c>
      <c r="D160" s="16" t="s">
        <v>32</v>
      </c>
      <c r="E160" s="16" t="s">
        <v>430</v>
      </c>
      <c r="F160" s="16"/>
      <c r="G160" s="17" t="str">
        <f ca="1">VLOOKUP(M160, Cards!A:B, 2, FALSE)</f>
        <v>صالحه عارفخاني</v>
      </c>
      <c r="H160" s="18">
        <v>0</v>
      </c>
      <c r="I160" s="19">
        <v>60000000</v>
      </c>
      <c r="J160" s="20">
        <v>52207270</v>
      </c>
      <c r="K160" s="21" t="s">
        <v>34</v>
      </c>
      <c r="L160" s="16" t="s">
        <v>431</v>
      </c>
      <c r="M160" s="1" t="str">
        <f ca="1">IFERROR(__xludf.DUMMYFUNCTION("REGEXEXTRACT(E160, ""ک\s(\d{16})"")
"),"5859831188404023")</f>
        <v>5859831188404023</v>
      </c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</row>
    <row r="161" spans="1:29" ht="25.5" customHeight="1">
      <c r="A161" s="15">
        <v>153</v>
      </c>
      <c r="B161" s="15" t="s">
        <v>422</v>
      </c>
      <c r="C161" s="16" t="s">
        <v>432</v>
      </c>
      <c r="D161" s="16" t="s">
        <v>32</v>
      </c>
      <c r="E161" s="16" t="s">
        <v>433</v>
      </c>
      <c r="F161" s="16"/>
      <c r="G161" s="17" t="str">
        <f ca="1">VLOOKUP(M161, Cards!A:B, 2, FALSE)</f>
        <v>سعيد نيرآبادي</v>
      </c>
      <c r="H161" s="18">
        <v>0</v>
      </c>
      <c r="I161" s="19">
        <v>25000000</v>
      </c>
      <c r="J161" s="20">
        <v>112220070</v>
      </c>
      <c r="K161" s="21" t="s">
        <v>34</v>
      </c>
      <c r="L161" s="16" t="s">
        <v>434</v>
      </c>
      <c r="M161" s="1" t="str">
        <f ca="1">IFERROR(__xludf.DUMMYFUNCTION("REGEXEXTRACT(E161, ""ک\s(\d{16})"")
"),"6037991713397994")</f>
        <v>6037991713397994</v>
      </c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</row>
    <row r="162" spans="1:29" ht="25.5" customHeight="1">
      <c r="A162" s="15">
        <v>154</v>
      </c>
      <c r="B162" s="15" t="s">
        <v>422</v>
      </c>
      <c r="C162" s="16" t="s">
        <v>435</v>
      </c>
      <c r="D162" s="16" t="s">
        <v>32</v>
      </c>
      <c r="E162" s="16" t="s">
        <v>436</v>
      </c>
      <c r="F162" s="16"/>
      <c r="G162" s="17" t="str">
        <f ca="1">VLOOKUP(M162, Cards!A:B, 2, FALSE)</f>
        <v>محمد مومني</v>
      </c>
      <c r="H162" s="18">
        <v>0</v>
      </c>
      <c r="I162" s="19">
        <v>3500000</v>
      </c>
      <c r="J162" s="20">
        <v>24694630</v>
      </c>
      <c r="K162" s="21" t="s">
        <v>34</v>
      </c>
      <c r="L162" s="16" t="s">
        <v>437</v>
      </c>
      <c r="M162" s="1" t="str">
        <f ca="1">IFERROR(__xludf.DUMMYFUNCTION("REGEXEXTRACT(E162, ""ک\s(\d{16})"")
"),"6362141055049986")</f>
        <v>6362141055049986</v>
      </c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 spans="1:29" ht="25.5" customHeight="1">
      <c r="A163" s="15">
        <v>155</v>
      </c>
      <c r="B163" s="15" t="s">
        <v>422</v>
      </c>
      <c r="C163" s="16" t="s">
        <v>438</v>
      </c>
      <c r="D163" s="16" t="s">
        <v>60</v>
      </c>
      <c r="E163" s="16" t="s">
        <v>439</v>
      </c>
      <c r="F163" s="16"/>
      <c r="G163" s="17" t="str">
        <f ca="1">VLOOKUP(M163, Cards!A:B, 2, FALSE)</f>
        <v>علي ابراهيميان</v>
      </c>
      <c r="H163" s="18">
        <v>0</v>
      </c>
      <c r="I163" s="19">
        <v>3000000</v>
      </c>
      <c r="J163" s="20">
        <v>38996070</v>
      </c>
      <c r="K163" s="21" t="s">
        <v>34</v>
      </c>
      <c r="L163" s="16" t="s">
        <v>440</v>
      </c>
      <c r="M163" s="1" t="str">
        <f ca="1">IFERROR(__xludf.DUMMYFUNCTION("REGEXEXTRACT(E163, ""ک\s(\d{16})"")
"),"6219861085062957")</f>
        <v>6219861085062957</v>
      </c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</row>
    <row r="164" spans="1:29" ht="25.5" customHeight="1">
      <c r="A164" s="15">
        <v>156</v>
      </c>
      <c r="B164" s="15" t="s">
        <v>422</v>
      </c>
      <c r="C164" s="16" t="s">
        <v>441</v>
      </c>
      <c r="D164" s="16" t="s">
        <v>60</v>
      </c>
      <c r="E164" s="16" t="s">
        <v>442</v>
      </c>
      <c r="F164" s="16"/>
      <c r="G164" s="17" t="str">
        <f ca="1">VLOOKUP(M164, Cards!A:B, 2, FALSE)</f>
        <v>علي ابراهيميان</v>
      </c>
      <c r="H164" s="18">
        <v>0</v>
      </c>
      <c r="I164" s="19">
        <v>11640000</v>
      </c>
      <c r="J164" s="20">
        <v>41996070</v>
      </c>
      <c r="K164" s="21" t="s">
        <v>34</v>
      </c>
      <c r="L164" s="16" t="s">
        <v>443</v>
      </c>
      <c r="M164" s="1" t="str">
        <f ca="1">IFERROR(__xludf.DUMMYFUNCTION("REGEXEXTRACT(E164, ""ک\s(\d{16})"")
"),"6219861085062957")</f>
        <v>6219861085062957</v>
      </c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</row>
    <row r="165" spans="1:29" ht="25.5" customHeight="1">
      <c r="A165" s="15">
        <v>157</v>
      </c>
      <c r="B165" s="15" t="s">
        <v>422</v>
      </c>
      <c r="C165" s="16" t="s">
        <v>444</v>
      </c>
      <c r="D165" s="16" t="s">
        <v>60</v>
      </c>
      <c r="E165" s="16" t="s">
        <v>445</v>
      </c>
      <c r="F165" s="16"/>
      <c r="G165" s="17" t="str">
        <f ca="1">VLOOKUP(M165, Cards!A:B, 2, FALSE)</f>
        <v>علي ابراهيميان</v>
      </c>
      <c r="H165" s="18">
        <v>0</v>
      </c>
      <c r="I165" s="19">
        <v>5800000</v>
      </c>
      <c r="J165" s="20">
        <v>28196070</v>
      </c>
      <c r="K165" s="21" t="s">
        <v>34</v>
      </c>
      <c r="L165" s="16" t="s">
        <v>446</v>
      </c>
      <c r="M165" s="1" t="str">
        <f ca="1">IFERROR(__xludf.DUMMYFUNCTION("REGEXEXTRACT(E165, ""ک\s(\d{16})"")
"),"6219861085062957")</f>
        <v>6219861085062957</v>
      </c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 spans="1:29" ht="25.5" customHeight="1">
      <c r="A166" s="15">
        <v>158</v>
      </c>
      <c r="B166" s="15" t="s">
        <v>422</v>
      </c>
      <c r="C166" s="16" t="s">
        <v>447</v>
      </c>
      <c r="D166" s="16" t="s">
        <v>60</v>
      </c>
      <c r="E166" s="16" t="s">
        <v>445</v>
      </c>
      <c r="F166" s="16"/>
      <c r="G166" s="17" t="str">
        <f ca="1">VLOOKUP(M166, Cards!A:B, 2, FALSE)</f>
        <v>علي ابراهيميان</v>
      </c>
      <c r="H166" s="18">
        <v>0</v>
      </c>
      <c r="I166" s="19">
        <v>5000000</v>
      </c>
      <c r="J166" s="20">
        <v>33996070</v>
      </c>
      <c r="K166" s="21" t="s">
        <v>34</v>
      </c>
      <c r="L166" s="16" t="s">
        <v>448</v>
      </c>
      <c r="M166" s="1" t="str">
        <f ca="1">IFERROR(__xludf.DUMMYFUNCTION("REGEXEXTRACT(E166, ""ک\s(\d{16})"")
"),"6219861085062957")</f>
        <v>6219861085062957</v>
      </c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</row>
    <row r="167" spans="1:29" ht="25.5" customHeight="1">
      <c r="A167" s="15">
        <v>159</v>
      </c>
      <c r="B167" s="15" t="s">
        <v>422</v>
      </c>
      <c r="C167" s="16" t="s">
        <v>432</v>
      </c>
      <c r="D167" s="16" t="s">
        <v>32</v>
      </c>
      <c r="E167" s="16" t="s">
        <v>449</v>
      </c>
      <c r="F167" s="16"/>
      <c r="G167" s="17" t="str">
        <f ca="1">VLOOKUP(M167, Cards!A:B, 2, FALSE)</f>
        <v>علي ابراهيميان</v>
      </c>
      <c r="H167" s="18">
        <v>0</v>
      </c>
      <c r="I167" s="19">
        <v>12800</v>
      </c>
      <c r="J167" s="20">
        <v>112207270</v>
      </c>
      <c r="K167" s="21" t="s">
        <v>34</v>
      </c>
      <c r="L167" s="16" t="s">
        <v>434</v>
      </c>
      <c r="M167" s="1" t="str">
        <f ca="1">IFERROR(__xludf.DUMMYFUNCTION("REGEXEXTRACT(E167, ""ک\s(\d{16})"")
"),"6219861085062957")</f>
        <v>6219861085062957</v>
      </c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</row>
    <row r="168" spans="1:29" ht="25.5" customHeight="1">
      <c r="A168" s="15">
        <v>160</v>
      </c>
      <c r="B168" s="15" t="s">
        <v>422</v>
      </c>
      <c r="C168" s="16" t="s">
        <v>429</v>
      </c>
      <c r="D168" s="16" t="s">
        <v>32</v>
      </c>
      <c r="E168" s="16" t="s">
        <v>450</v>
      </c>
      <c r="F168" s="16"/>
      <c r="G168" s="17" t="str">
        <f ca="1">VLOOKUP(M168, Cards!A:B, 2, FALSE)</f>
        <v>علي ابراهيميان</v>
      </c>
      <c r="H168" s="18">
        <v>0</v>
      </c>
      <c r="I168" s="19">
        <v>21200</v>
      </c>
      <c r="J168" s="20">
        <v>52186070</v>
      </c>
      <c r="K168" s="21" t="s">
        <v>34</v>
      </c>
      <c r="L168" s="16" t="s">
        <v>431</v>
      </c>
      <c r="M168" s="1" t="str">
        <f ca="1">IFERROR(__xludf.DUMMYFUNCTION("REGEXEXTRACT(E168, ""ک\s(\d{16})"")
"),"6219861085062957")</f>
        <v>6219861085062957</v>
      </c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</row>
    <row r="169" spans="1:29" ht="25.5" customHeight="1">
      <c r="A169" s="15">
        <v>161</v>
      </c>
      <c r="B169" s="15" t="s">
        <v>422</v>
      </c>
      <c r="C169" s="16" t="s">
        <v>435</v>
      </c>
      <c r="D169" s="16" t="s">
        <v>32</v>
      </c>
      <c r="E169" s="16" t="s">
        <v>451</v>
      </c>
      <c r="F169" s="16"/>
      <c r="G169" s="17" t="str">
        <f ca="1">VLOOKUP(M169, Cards!A:B, 2, FALSE)</f>
        <v>علي ابراهيميان</v>
      </c>
      <c r="H169" s="18">
        <v>0</v>
      </c>
      <c r="I169" s="19">
        <v>7200</v>
      </c>
      <c r="J169" s="20">
        <v>24687430</v>
      </c>
      <c r="K169" s="21" t="s">
        <v>34</v>
      </c>
      <c r="L169" s="16" t="s">
        <v>437</v>
      </c>
      <c r="M169" s="1" t="str">
        <f ca="1">IFERROR(__xludf.DUMMYFUNCTION("REGEXEXTRACT(E169, ""ک\s(\d{16})"")
"),"6219861085062957")</f>
        <v>6219861085062957</v>
      </c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</row>
    <row r="170" spans="1:29" ht="25.5" customHeight="1">
      <c r="A170" s="15">
        <v>162</v>
      </c>
      <c r="B170" s="15" t="s">
        <v>422</v>
      </c>
      <c r="C170" s="16" t="s">
        <v>452</v>
      </c>
      <c r="D170" s="16" t="s">
        <v>71</v>
      </c>
      <c r="E170" s="16" t="s">
        <v>453</v>
      </c>
      <c r="F170" s="16"/>
      <c r="G170" s="17" t="str">
        <f ca="1">VLOOKUP(M170, Cards!A:B, 2, FALSE)</f>
        <v>علي ابراهيميان</v>
      </c>
      <c r="H170" s="18">
        <v>0</v>
      </c>
      <c r="I170" s="19">
        <v>1440</v>
      </c>
      <c r="J170" s="20">
        <v>28194630</v>
      </c>
      <c r="K170" s="21" t="s">
        <v>34</v>
      </c>
      <c r="L170" s="16" t="s">
        <v>454</v>
      </c>
      <c r="M170" s="1" t="str">
        <f ca="1">IFERROR(__xludf.DUMMYFUNCTION("REGEXEXTRACT(E170, ""ک\s(\d{16})"")
"),"6219861085062957")</f>
        <v>6219861085062957</v>
      </c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</row>
    <row r="171" spans="1:29" ht="25.5" customHeight="1">
      <c r="A171" s="15">
        <v>163</v>
      </c>
      <c r="B171" s="15" t="s">
        <v>422</v>
      </c>
      <c r="C171" s="16" t="s">
        <v>455</v>
      </c>
      <c r="D171" s="16" t="s">
        <v>71</v>
      </c>
      <c r="E171" s="16" t="s">
        <v>456</v>
      </c>
      <c r="F171" s="16"/>
      <c r="G171" s="17" t="str">
        <f ca="1">VLOOKUP(M171, Cards!A:B, 2, FALSE)</f>
        <v>علي ابراهيميان</v>
      </c>
      <c r="H171" s="18">
        <v>0</v>
      </c>
      <c r="I171" s="19">
        <v>1440</v>
      </c>
      <c r="J171" s="20">
        <v>137220070</v>
      </c>
      <c r="K171" s="21" t="s">
        <v>34</v>
      </c>
      <c r="L171" s="16" t="s">
        <v>457</v>
      </c>
      <c r="M171" s="1" t="str">
        <f ca="1">IFERROR(__xludf.DUMMYFUNCTION("REGEXEXTRACT(E171, ""ک\s(\d{16})"")
"),"6219861085062957")</f>
        <v>6219861085062957</v>
      </c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</row>
    <row r="172" spans="1:29" ht="25.5" customHeight="1">
      <c r="A172" s="15">
        <v>164</v>
      </c>
      <c r="B172" s="15" t="s">
        <v>458</v>
      </c>
      <c r="C172" s="16" t="s">
        <v>459</v>
      </c>
      <c r="D172" s="16" t="s">
        <v>32</v>
      </c>
      <c r="E172" s="16" t="s">
        <v>460</v>
      </c>
      <c r="F172" s="16"/>
      <c r="G172" s="17" t="str">
        <f ca="1">VLOOKUP(M172, Cards!A:B, 2, FALSE)</f>
        <v>معصومه متقي پور</v>
      </c>
      <c r="H172" s="18">
        <v>1150000</v>
      </c>
      <c r="I172" s="19">
        <v>0</v>
      </c>
      <c r="J172" s="20">
        <v>24593430</v>
      </c>
      <c r="K172" s="21" t="s">
        <v>34</v>
      </c>
      <c r="L172" s="16" t="s">
        <v>461</v>
      </c>
      <c r="M172" s="1" t="str">
        <f ca="1">IFERROR(__xludf.DUMMYFUNCTION("REGEXEXTRACT(E172, ""ک\s(\d{16})"")
"),"6104337933702571")</f>
        <v>6104337933702571</v>
      </c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</row>
    <row r="173" spans="1:29" ht="25.5" customHeight="1">
      <c r="A173" s="15">
        <v>165</v>
      </c>
      <c r="B173" s="15" t="s">
        <v>458</v>
      </c>
      <c r="C173" s="16" t="s">
        <v>462</v>
      </c>
      <c r="D173" s="16" t="s">
        <v>32</v>
      </c>
      <c r="E173" s="16" t="s">
        <v>463</v>
      </c>
      <c r="F173" s="16"/>
      <c r="G173" s="17" t="str">
        <f ca="1">VLOOKUP(M173, Cards!A:B, 2, FALSE)</f>
        <v>حسين ميربلوک</v>
      </c>
      <c r="H173" s="18">
        <v>550000</v>
      </c>
      <c r="I173" s="19">
        <v>0</v>
      </c>
      <c r="J173" s="20">
        <v>25143430</v>
      </c>
      <c r="K173" s="21" t="s">
        <v>34</v>
      </c>
      <c r="L173" s="16" t="s">
        <v>464</v>
      </c>
      <c r="M173" s="1" t="str">
        <f ca="1">IFERROR(__xludf.DUMMYFUNCTION("REGEXEXTRACT(E173, ""ک\s(\d{16})"")
"),"6037697681149024")</f>
        <v>6037697681149024</v>
      </c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</row>
    <row r="174" spans="1:29" ht="25.5" customHeight="1">
      <c r="A174" s="15">
        <v>166</v>
      </c>
      <c r="B174" s="15" t="s">
        <v>458</v>
      </c>
      <c r="C174" s="16" t="s">
        <v>31</v>
      </c>
      <c r="D174" s="16" t="s">
        <v>32</v>
      </c>
      <c r="E174" s="16" t="s">
        <v>465</v>
      </c>
      <c r="F174" s="16"/>
      <c r="G174" s="17" t="str">
        <f ca="1">VLOOKUP(M174, Cards!A:B, 2, FALSE)</f>
        <v>سمانه همتي فرد</v>
      </c>
      <c r="H174" s="18">
        <v>500000</v>
      </c>
      <c r="I174" s="19">
        <v>0</v>
      </c>
      <c r="J174" s="20">
        <v>25641990</v>
      </c>
      <c r="K174" s="21" t="s">
        <v>34</v>
      </c>
      <c r="L174" s="16" t="s">
        <v>466</v>
      </c>
      <c r="M174" s="1" t="str">
        <f ca="1">IFERROR(__xludf.DUMMYFUNCTION("REGEXEXTRACT(E174, ""ک\s(\d{16})"")
"),"5892101155796150")</f>
        <v>5892101155796150</v>
      </c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</row>
    <row r="175" spans="1:29" ht="25.5" customHeight="1">
      <c r="A175" s="15">
        <v>167</v>
      </c>
      <c r="B175" s="15" t="s">
        <v>458</v>
      </c>
      <c r="C175" s="16" t="s">
        <v>467</v>
      </c>
      <c r="D175" s="16" t="s">
        <v>32</v>
      </c>
      <c r="E175" s="16" t="s">
        <v>468</v>
      </c>
      <c r="F175" s="16"/>
      <c r="G175" s="17" t="str">
        <f ca="1">VLOOKUP(M175, Cards!A:B, 2, FALSE)</f>
        <v>محمد کريمي</v>
      </c>
      <c r="H175" s="18">
        <v>0</v>
      </c>
      <c r="I175" s="19">
        <v>16880000</v>
      </c>
      <c r="J175" s="20">
        <v>103807430</v>
      </c>
      <c r="K175" s="21" t="s">
        <v>34</v>
      </c>
      <c r="L175" s="16" t="s">
        <v>469</v>
      </c>
      <c r="M175" s="1" t="str">
        <f ca="1">IFERROR(__xludf.DUMMYFUNCTION("REGEXEXTRACT(E175, ""ک\s(\d{16})"")
"),"5892101643117522")</f>
        <v>5892101643117522</v>
      </c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</row>
    <row r="176" spans="1:29" ht="25.5" customHeight="1">
      <c r="A176" s="15">
        <v>168</v>
      </c>
      <c r="B176" s="15" t="s">
        <v>458</v>
      </c>
      <c r="C176" s="16" t="s">
        <v>470</v>
      </c>
      <c r="D176" s="16" t="s">
        <v>32</v>
      </c>
      <c r="E176" s="16" t="s">
        <v>471</v>
      </c>
      <c r="F176" s="16"/>
      <c r="G176" s="17" t="str">
        <f ca="1">VLOOKUP(M176, Cards!A:B, 2, FALSE)</f>
        <v>علي غرويان</v>
      </c>
      <c r="H176" s="18">
        <v>0</v>
      </c>
      <c r="I176" s="19">
        <v>50000000</v>
      </c>
      <c r="J176" s="20">
        <v>23461830</v>
      </c>
      <c r="K176" s="21" t="s">
        <v>34</v>
      </c>
      <c r="L176" s="16" t="s">
        <v>472</v>
      </c>
      <c r="M176" s="1" t="str">
        <f ca="1">IFERROR(__xludf.DUMMYFUNCTION("REGEXEXTRACT(E176, ""ک\s(\d{16})"")
"),"6037991780004135")</f>
        <v>6037991780004135</v>
      </c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 spans="1:29" ht="25.5" customHeight="1">
      <c r="A177" s="15">
        <v>169</v>
      </c>
      <c r="B177" s="15" t="s">
        <v>458</v>
      </c>
      <c r="C177" s="16" t="s">
        <v>473</v>
      </c>
      <c r="D177" s="16" t="s">
        <v>32</v>
      </c>
      <c r="E177" s="16" t="s">
        <v>474</v>
      </c>
      <c r="F177" s="16"/>
      <c r="G177" s="17" t="str">
        <f ca="1">VLOOKUP(M177, Cards!A:B, 2, FALSE)</f>
        <v>محمد خانگاه</v>
      </c>
      <c r="H177" s="18">
        <v>0</v>
      </c>
      <c r="I177" s="19">
        <v>30320000</v>
      </c>
      <c r="J177" s="20">
        <v>73477430</v>
      </c>
      <c r="K177" s="21" t="s">
        <v>34</v>
      </c>
      <c r="L177" s="16" t="s">
        <v>475</v>
      </c>
      <c r="M177" s="1" t="str">
        <f ca="1">IFERROR(__xludf.DUMMYFUNCTION("REGEXEXTRACT(E177, ""ک\s(\d{16})"")
"),"6104338971567579")</f>
        <v>6104338971567579</v>
      </c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</row>
    <row r="178" spans="1:29" ht="25.5" customHeight="1">
      <c r="A178" s="15">
        <v>170</v>
      </c>
      <c r="B178" s="15" t="s">
        <v>458</v>
      </c>
      <c r="C178" s="16" t="s">
        <v>476</v>
      </c>
      <c r="D178" s="16" t="s">
        <v>52</v>
      </c>
      <c r="E178" s="16" t="s">
        <v>477</v>
      </c>
      <c r="F178" s="16"/>
      <c r="G178" s="1" t="e">
        <f ca="1">VLOOKUP(M178, Cards!A:B, 2, FALSE)</f>
        <v>#N/A</v>
      </c>
      <c r="H178" s="18">
        <v>108000000</v>
      </c>
      <c r="I178" s="19">
        <v>0</v>
      </c>
      <c r="J178" s="20">
        <v>132687430</v>
      </c>
      <c r="K178" s="21" t="s">
        <v>54</v>
      </c>
      <c r="L178" s="16" t="s">
        <v>478</v>
      </c>
      <c r="M178" s="1" t="str">
        <f ca="1">IFERROR(__xludf.DUMMYFUNCTION("REGEXEXTRACT(E178, ""ک\s(\d{16})"")
"),"#N/A")</f>
        <v>#N/A</v>
      </c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</row>
    <row r="179" spans="1:29" ht="25.5" customHeight="1">
      <c r="A179" s="15">
        <v>171</v>
      </c>
      <c r="B179" s="15" t="s">
        <v>458</v>
      </c>
      <c r="C179" s="16" t="s">
        <v>479</v>
      </c>
      <c r="D179" s="16" t="s">
        <v>60</v>
      </c>
      <c r="E179" s="16" t="s">
        <v>480</v>
      </c>
      <c r="F179" s="16"/>
      <c r="G179" s="17" t="str">
        <f ca="1">VLOOKUP(M179, Cards!A:B, 2, FALSE)</f>
        <v>علي ابراهيميان</v>
      </c>
      <c r="H179" s="18">
        <v>0</v>
      </c>
      <c r="I179" s="19">
        <v>12000000</v>
      </c>
      <c r="J179" s="20">
        <v>120687430</v>
      </c>
      <c r="K179" s="21" t="s">
        <v>34</v>
      </c>
      <c r="L179" s="16" t="s">
        <v>481</v>
      </c>
      <c r="M179" s="1" t="str">
        <f ca="1">IFERROR(__xludf.DUMMYFUNCTION("REGEXEXTRACT(E179, ""ک\s(\d{16})"")
"),"6219861085062957")</f>
        <v>6219861085062957</v>
      </c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 spans="1:29" ht="25.5" customHeight="1">
      <c r="A180" s="15">
        <v>172</v>
      </c>
      <c r="B180" s="15" t="s">
        <v>458</v>
      </c>
      <c r="C180" s="16" t="s">
        <v>467</v>
      </c>
      <c r="D180" s="16" t="s">
        <v>32</v>
      </c>
      <c r="E180" s="16" t="s">
        <v>482</v>
      </c>
      <c r="F180" s="16"/>
      <c r="G180" s="17" t="str">
        <f ca="1">VLOOKUP(M180, Cards!A:B, 2, FALSE)</f>
        <v>علي ابراهيميان</v>
      </c>
      <c r="H180" s="18">
        <v>0</v>
      </c>
      <c r="I180" s="19">
        <v>10000</v>
      </c>
      <c r="J180" s="20">
        <v>103797430</v>
      </c>
      <c r="K180" s="21" t="s">
        <v>34</v>
      </c>
      <c r="L180" s="16" t="s">
        <v>469</v>
      </c>
      <c r="M180" s="1" t="str">
        <f ca="1">IFERROR(__xludf.DUMMYFUNCTION("REGEXEXTRACT(E180, ""ک\s(\d{16})"")
"),"6219861085062957")</f>
        <v>6219861085062957</v>
      </c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</row>
    <row r="181" spans="1:29" ht="25.5" customHeight="1">
      <c r="A181" s="15">
        <v>173</v>
      </c>
      <c r="B181" s="15" t="s">
        <v>458</v>
      </c>
      <c r="C181" s="16" t="s">
        <v>473</v>
      </c>
      <c r="D181" s="16" t="s">
        <v>32</v>
      </c>
      <c r="E181" s="16" t="s">
        <v>483</v>
      </c>
      <c r="F181" s="16"/>
      <c r="G181" s="17" t="str">
        <f ca="1">VLOOKUP(M181, Cards!A:B, 2, FALSE)</f>
        <v>علي ابراهيميان</v>
      </c>
      <c r="H181" s="18">
        <v>0</v>
      </c>
      <c r="I181" s="19">
        <v>15600</v>
      </c>
      <c r="J181" s="20">
        <v>73461830</v>
      </c>
      <c r="K181" s="21" t="s">
        <v>34</v>
      </c>
      <c r="L181" s="16" t="s">
        <v>475</v>
      </c>
      <c r="M181" s="1" t="str">
        <f ca="1">IFERROR(__xludf.DUMMYFUNCTION("REGEXEXTRACT(E181, ""ک\s(\d{16})"")
"),"6219861085062957")</f>
        <v>6219861085062957</v>
      </c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</row>
    <row r="182" spans="1:29" ht="25.5" customHeight="1">
      <c r="A182" s="15">
        <v>174</v>
      </c>
      <c r="B182" s="15" t="s">
        <v>458</v>
      </c>
      <c r="C182" s="16" t="s">
        <v>470</v>
      </c>
      <c r="D182" s="16" t="s">
        <v>32</v>
      </c>
      <c r="E182" s="16" t="s">
        <v>484</v>
      </c>
      <c r="F182" s="16"/>
      <c r="G182" s="17" t="str">
        <f ca="1">VLOOKUP(M182, Cards!A:B, 2, FALSE)</f>
        <v>علي ابراهيميان</v>
      </c>
      <c r="H182" s="18">
        <v>0</v>
      </c>
      <c r="I182" s="19">
        <v>18400</v>
      </c>
      <c r="J182" s="20">
        <v>23443430</v>
      </c>
      <c r="K182" s="21" t="s">
        <v>34</v>
      </c>
      <c r="L182" s="16" t="s">
        <v>472</v>
      </c>
      <c r="M182" s="1" t="str">
        <f ca="1">IFERROR(__xludf.DUMMYFUNCTION("REGEXEXTRACT(E182, ""ک\s(\d{16})"")
"),"6219861085062957")</f>
        <v>6219861085062957</v>
      </c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 spans="1:29" ht="25.5" customHeight="1">
      <c r="A183" s="15">
        <v>175</v>
      </c>
      <c r="B183" s="15" t="s">
        <v>458</v>
      </c>
      <c r="C183" s="16" t="s">
        <v>485</v>
      </c>
      <c r="D183" s="16" t="s">
        <v>71</v>
      </c>
      <c r="E183" s="16" t="s">
        <v>486</v>
      </c>
      <c r="F183" s="16"/>
      <c r="G183" s="17" t="str">
        <f ca="1">VLOOKUP(M183, Cards!A:B, 2, FALSE)</f>
        <v>علي ابراهيميان</v>
      </c>
      <c r="H183" s="18">
        <v>0</v>
      </c>
      <c r="I183" s="19">
        <v>1440</v>
      </c>
      <c r="J183" s="20">
        <v>25141990</v>
      </c>
      <c r="K183" s="21" t="s">
        <v>34</v>
      </c>
      <c r="L183" s="16" t="s">
        <v>487</v>
      </c>
      <c r="M183" s="1" t="str">
        <f ca="1">IFERROR(__xludf.DUMMYFUNCTION("REGEXEXTRACT(E183, ""ک\s(\d{16})"")
"),"6219861085062957")</f>
        <v>6219861085062957</v>
      </c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</row>
    <row r="184" spans="1:29" ht="25.5" customHeight="1">
      <c r="A184" s="15">
        <v>176</v>
      </c>
      <c r="B184" s="15" t="s">
        <v>488</v>
      </c>
      <c r="C184" s="16" t="s">
        <v>489</v>
      </c>
      <c r="D184" s="16" t="s">
        <v>32</v>
      </c>
      <c r="E184" s="16" t="s">
        <v>490</v>
      </c>
      <c r="F184" s="16"/>
      <c r="G184" s="17" t="str">
        <f ca="1">VLOOKUP(M184, Cards!A:B, 2, FALSE)</f>
        <v>حسين ميربلوک</v>
      </c>
      <c r="H184" s="18">
        <v>1000000</v>
      </c>
      <c r="I184" s="19">
        <v>0</v>
      </c>
      <c r="J184" s="20">
        <v>32840200</v>
      </c>
      <c r="K184" s="21" t="s">
        <v>34</v>
      </c>
      <c r="L184" s="16" t="s">
        <v>491</v>
      </c>
      <c r="M184" s="1" t="str">
        <f ca="1">IFERROR(__xludf.DUMMYFUNCTION("REGEXEXTRACT(E184, ""ک\s(\d{16})"")
"),"6037697681149024")</f>
        <v>6037697681149024</v>
      </c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</row>
    <row r="185" spans="1:29" ht="25.5" customHeight="1">
      <c r="A185" s="15">
        <v>177</v>
      </c>
      <c r="B185" s="15" t="s">
        <v>488</v>
      </c>
      <c r="C185" s="16" t="s">
        <v>492</v>
      </c>
      <c r="D185" s="16" t="s">
        <v>32</v>
      </c>
      <c r="E185" s="16" t="s">
        <v>493</v>
      </c>
      <c r="F185" s="16"/>
      <c r="G185" s="17" t="str">
        <f ca="1">VLOOKUP(M185, Cards!A:B, 2, FALSE)</f>
        <v>علي بلوچي</v>
      </c>
      <c r="H185" s="18">
        <v>1150000</v>
      </c>
      <c r="I185" s="19">
        <v>0</v>
      </c>
      <c r="J185" s="20">
        <v>33990200</v>
      </c>
      <c r="K185" s="21" t="s">
        <v>34</v>
      </c>
      <c r="L185" s="16" t="s">
        <v>494</v>
      </c>
      <c r="M185" s="1" t="str">
        <f ca="1">IFERROR(__xludf.DUMMYFUNCTION("REGEXEXTRACT(E185, ""ک\s(\d{16})"")
"),"5892101632834145")</f>
        <v>5892101632834145</v>
      </c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</row>
    <row r="186" spans="1:29" ht="25.5" customHeight="1">
      <c r="A186" s="15">
        <v>178</v>
      </c>
      <c r="B186" s="15" t="s">
        <v>488</v>
      </c>
      <c r="C186" s="16" t="s">
        <v>495</v>
      </c>
      <c r="D186" s="16" t="s">
        <v>32</v>
      </c>
      <c r="E186" s="16" t="s">
        <v>496</v>
      </c>
      <c r="F186" s="16"/>
      <c r="G186" s="17" t="str">
        <f ca="1">VLOOKUP(M186, Cards!A:B, 2, FALSE)</f>
        <v>حسن برجي</v>
      </c>
      <c r="H186" s="18">
        <v>0</v>
      </c>
      <c r="I186" s="19">
        <v>6750000</v>
      </c>
      <c r="J186" s="20">
        <v>103541990</v>
      </c>
      <c r="K186" s="21" t="s">
        <v>34</v>
      </c>
      <c r="L186" s="16" t="s">
        <v>497</v>
      </c>
      <c r="M186" s="1" t="str">
        <f ca="1">IFERROR(__xludf.DUMMYFUNCTION("REGEXEXTRACT(E186, ""ک\s(\d{16})"")
"),"5892101642705822")</f>
        <v>5892101642705822</v>
      </c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</row>
    <row r="187" spans="1:29" ht="25.5" customHeight="1">
      <c r="A187" s="15">
        <v>179</v>
      </c>
      <c r="B187" s="15" t="s">
        <v>488</v>
      </c>
      <c r="C187" s="16" t="s">
        <v>498</v>
      </c>
      <c r="D187" s="16" t="s">
        <v>32</v>
      </c>
      <c r="E187" s="16" t="s">
        <v>499</v>
      </c>
      <c r="F187" s="16"/>
      <c r="G187" s="17" t="str">
        <f ca="1">VLOOKUP(M187, Cards!A:B, 2, FALSE)</f>
        <v>محمد کريمي</v>
      </c>
      <c r="H187" s="18">
        <v>0</v>
      </c>
      <c r="I187" s="19">
        <v>30204750</v>
      </c>
      <c r="J187" s="20">
        <v>46865800</v>
      </c>
      <c r="K187" s="21" t="s">
        <v>34</v>
      </c>
      <c r="L187" s="16" t="s">
        <v>500</v>
      </c>
      <c r="M187" s="1" t="str">
        <f ca="1">IFERROR(__xludf.DUMMYFUNCTION("REGEXEXTRACT(E187, ""ک\s(\d{16})"")
"),"5892101643117522")</f>
        <v>5892101643117522</v>
      </c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</row>
    <row r="188" spans="1:29" ht="25.5" customHeight="1">
      <c r="A188" s="15">
        <v>180</v>
      </c>
      <c r="B188" s="15" t="s">
        <v>488</v>
      </c>
      <c r="C188" s="16" t="s">
        <v>501</v>
      </c>
      <c r="D188" s="16" t="s">
        <v>32</v>
      </c>
      <c r="E188" s="16" t="s">
        <v>502</v>
      </c>
      <c r="F188" s="16"/>
      <c r="G188" s="17" t="str">
        <f ca="1">VLOOKUP(M188, Cards!A:B, 2, FALSE)</f>
        <v>محمد خانگاه</v>
      </c>
      <c r="H188" s="18">
        <v>0</v>
      </c>
      <c r="I188" s="19">
        <v>26450000</v>
      </c>
      <c r="J188" s="20">
        <v>77084790</v>
      </c>
      <c r="K188" s="21" t="s">
        <v>34</v>
      </c>
      <c r="L188" s="16" t="s">
        <v>503</v>
      </c>
      <c r="M188" s="1" t="str">
        <f ca="1">IFERROR(__xludf.DUMMYFUNCTION("REGEXEXTRACT(E188, ""ک\s(\d{16})"")
"),"6104338971567579")</f>
        <v>6104338971567579</v>
      </c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</row>
    <row r="189" spans="1:29" ht="25.5" customHeight="1">
      <c r="A189" s="15">
        <v>181</v>
      </c>
      <c r="B189" s="15" t="s">
        <v>488</v>
      </c>
      <c r="C189" s="16" t="s">
        <v>504</v>
      </c>
      <c r="D189" s="16" t="s">
        <v>32</v>
      </c>
      <c r="E189" s="16" t="s">
        <v>505</v>
      </c>
      <c r="F189" s="16"/>
      <c r="G189" s="17" t="str">
        <f ca="1">VLOOKUP(M189, Cards!A:B, 2, FALSE)</f>
        <v>نيره منتظري</v>
      </c>
      <c r="H189" s="18">
        <v>0</v>
      </c>
      <c r="I189" s="19">
        <v>15000000</v>
      </c>
      <c r="J189" s="20">
        <v>31850200</v>
      </c>
      <c r="K189" s="21" t="s">
        <v>34</v>
      </c>
      <c r="L189" s="16" t="s">
        <v>506</v>
      </c>
      <c r="M189" s="1" t="str">
        <f ca="1">IFERROR(__xludf.DUMMYFUNCTION("REGEXEXTRACT(E189, ""ک\s(\d{16})"")
"),"6219861073786146")</f>
        <v>6219861073786146</v>
      </c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</row>
    <row r="190" spans="1:29" ht="25.5" customHeight="1">
      <c r="A190" s="15">
        <v>182</v>
      </c>
      <c r="B190" s="15" t="s">
        <v>488</v>
      </c>
      <c r="C190" s="16" t="s">
        <v>507</v>
      </c>
      <c r="D190" s="16" t="s">
        <v>32</v>
      </c>
      <c r="E190" s="16" t="s">
        <v>508</v>
      </c>
      <c r="F190" s="16"/>
      <c r="G190" s="17" t="str">
        <f ca="1">VLOOKUP(M190, Cards!A:B, 2, FALSE)</f>
        <v>حميد گندمکار</v>
      </c>
      <c r="H190" s="18">
        <v>0</v>
      </c>
      <c r="I190" s="19">
        <v>20000000</v>
      </c>
      <c r="J190" s="20">
        <v>110301990</v>
      </c>
      <c r="K190" s="21" t="s">
        <v>34</v>
      </c>
      <c r="L190" s="16" t="s">
        <v>509</v>
      </c>
      <c r="M190" s="1" t="str">
        <f ca="1">IFERROR(__xludf.DUMMYFUNCTION("REGEXEXTRACT(E190, ""ک\s(\d{16})"")
"),"6362141813482370")</f>
        <v>6362141813482370</v>
      </c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</row>
    <row r="191" spans="1:29" ht="25.5" customHeight="1">
      <c r="A191" s="15">
        <v>183</v>
      </c>
      <c r="B191" s="15" t="s">
        <v>488</v>
      </c>
      <c r="C191" s="16" t="s">
        <v>510</v>
      </c>
      <c r="D191" s="16" t="s">
        <v>52</v>
      </c>
      <c r="E191" s="16" t="s">
        <v>511</v>
      </c>
      <c r="F191" s="16"/>
      <c r="G191" s="1" t="e">
        <f ca="1">VLOOKUP(M191, Cards!A:B, 2, FALSE)</f>
        <v>#N/A</v>
      </c>
      <c r="H191" s="18">
        <v>126000000</v>
      </c>
      <c r="I191" s="19">
        <v>0</v>
      </c>
      <c r="J191" s="20">
        <v>151641990</v>
      </c>
      <c r="K191" s="21" t="s">
        <v>54</v>
      </c>
      <c r="L191" s="16" t="s">
        <v>512</v>
      </c>
      <c r="M191" s="1" t="str">
        <f ca="1">IFERROR(__xludf.DUMMYFUNCTION("REGEXEXTRACT(E191, ""ک\s(\d{16})"")
"),"#N/A")</f>
        <v>#N/A</v>
      </c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</row>
    <row r="192" spans="1:29" ht="25.5" customHeight="1">
      <c r="A192" s="15">
        <v>184</v>
      </c>
      <c r="B192" s="15" t="s">
        <v>488</v>
      </c>
      <c r="C192" s="16" t="s">
        <v>513</v>
      </c>
      <c r="D192" s="16" t="s">
        <v>60</v>
      </c>
      <c r="E192" s="16" t="s">
        <v>514</v>
      </c>
      <c r="F192" s="16"/>
      <c r="G192" s="17" t="str">
        <f ca="1">VLOOKUP(M192, Cards!A:B, 2, FALSE)</f>
        <v>علي ابراهيميان</v>
      </c>
      <c r="H192" s="18">
        <v>0</v>
      </c>
      <c r="I192" s="19">
        <v>9700000</v>
      </c>
      <c r="J192" s="20">
        <v>130301990</v>
      </c>
      <c r="K192" s="21" t="s">
        <v>34</v>
      </c>
      <c r="L192" s="16" t="s">
        <v>515</v>
      </c>
      <c r="M192" s="1" t="str">
        <f ca="1">IFERROR(__xludf.DUMMYFUNCTION("REGEXEXTRACT(E192, ""ک\s(\d{16})"")
"),"6219861085062957")</f>
        <v>6219861085062957</v>
      </c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</row>
    <row r="193" spans="1:29" ht="25.5" customHeight="1">
      <c r="A193" s="15">
        <v>185</v>
      </c>
      <c r="B193" s="15" t="s">
        <v>488</v>
      </c>
      <c r="C193" s="16" t="s">
        <v>516</v>
      </c>
      <c r="D193" s="16" t="s">
        <v>60</v>
      </c>
      <c r="E193" s="16" t="s">
        <v>517</v>
      </c>
      <c r="F193" s="16"/>
      <c r="G193" s="17" t="str">
        <f ca="1">VLOOKUP(M193, Cards!A:B, 2, FALSE)</f>
        <v>علي ابراهيميان</v>
      </c>
      <c r="H193" s="18">
        <v>0</v>
      </c>
      <c r="I193" s="19">
        <v>11640000</v>
      </c>
      <c r="J193" s="20">
        <v>140001990</v>
      </c>
      <c r="K193" s="21" t="s">
        <v>34</v>
      </c>
      <c r="L193" s="16" t="s">
        <v>518</v>
      </c>
      <c r="M193" s="1" t="str">
        <f ca="1">IFERROR(__xludf.DUMMYFUNCTION("REGEXEXTRACT(E193, ""ک\s(\d{16})"")
"),"6219861085062957")</f>
        <v>6219861085062957</v>
      </c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 spans="1:29" ht="25.5" customHeight="1">
      <c r="A194" s="15">
        <v>186</v>
      </c>
      <c r="B194" s="15" t="s">
        <v>488</v>
      </c>
      <c r="C194" s="16" t="s">
        <v>495</v>
      </c>
      <c r="D194" s="16" t="s">
        <v>32</v>
      </c>
      <c r="E194" s="16" t="s">
        <v>519</v>
      </c>
      <c r="F194" s="16"/>
      <c r="G194" s="17" t="str">
        <f ca="1">VLOOKUP(M194, Cards!A:B, 2, FALSE)</f>
        <v>علي ابراهيميان</v>
      </c>
      <c r="H194" s="18">
        <v>0</v>
      </c>
      <c r="I194" s="19">
        <v>7200</v>
      </c>
      <c r="J194" s="20">
        <v>103534790</v>
      </c>
      <c r="K194" s="21" t="s">
        <v>34</v>
      </c>
      <c r="L194" s="16" t="s">
        <v>497</v>
      </c>
      <c r="M194" s="1" t="str">
        <f ca="1">IFERROR(__xludf.DUMMYFUNCTION("REGEXEXTRACT(E194, ""ک\s(\d{16})"")
"),"6219861085062957")</f>
        <v>6219861085062957</v>
      </c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</row>
    <row r="195" spans="1:29" ht="25.5" customHeight="1">
      <c r="A195" s="15">
        <v>187</v>
      </c>
      <c r="B195" s="15" t="s">
        <v>488</v>
      </c>
      <c r="C195" s="16" t="s">
        <v>507</v>
      </c>
      <c r="D195" s="16" t="s">
        <v>32</v>
      </c>
      <c r="E195" s="16" t="s">
        <v>520</v>
      </c>
      <c r="F195" s="16"/>
      <c r="G195" s="17" t="str">
        <f ca="1">VLOOKUP(M195, Cards!A:B, 2, FALSE)</f>
        <v>علي ابراهيميان</v>
      </c>
      <c r="H195" s="18">
        <v>0</v>
      </c>
      <c r="I195" s="19">
        <v>10000</v>
      </c>
      <c r="J195" s="20">
        <v>110291990</v>
      </c>
      <c r="K195" s="21" t="s">
        <v>34</v>
      </c>
      <c r="L195" s="16" t="s">
        <v>509</v>
      </c>
      <c r="M195" s="1" t="str">
        <f ca="1">IFERROR(__xludf.DUMMYFUNCTION("REGEXEXTRACT(E195, ""ک\s(\d{16})"")
"),"6219861085062957")</f>
        <v>6219861085062957</v>
      </c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</row>
    <row r="196" spans="1:29" ht="25.5" customHeight="1">
      <c r="A196" s="15">
        <v>188</v>
      </c>
      <c r="B196" s="15" t="s">
        <v>488</v>
      </c>
      <c r="C196" s="16" t="s">
        <v>501</v>
      </c>
      <c r="D196" s="16" t="s">
        <v>32</v>
      </c>
      <c r="E196" s="16" t="s">
        <v>521</v>
      </c>
      <c r="F196" s="16"/>
      <c r="G196" s="17" t="str">
        <f ca="1">VLOOKUP(M196, Cards!A:B, 2, FALSE)</f>
        <v>علي ابراهيميان</v>
      </c>
      <c r="H196" s="18">
        <v>0</v>
      </c>
      <c r="I196" s="19">
        <v>12800</v>
      </c>
      <c r="J196" s="20">
        <v>77071990</v>
      </c>
      <c r="K196" s="21" t="s">
        <v>34</v>
      </c>
      <c r="L196" s="16" t="s">
        <v>503</v>
      </c>
      <c r="M196" s="1" t="str">
        <f ca="1">IFERROR(__xludf.DUMMYFUNCTION("REGEXEXTRACT(E196, ""ک\s(\d{16})"")
"),"6219861085062957")</f>
        <v>6219861085062957</v>
      </c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</row>
    <row r="197" spans="1:29" ht="25.5" customHeight="1">
      <c r="A197" s="15">
        <v>189</v>
      </c>
      <c r="B197" s="15" t="s">
        <v>488</v>
      </c>
      <c r="C197" s="16" t="s">
        <v>498</v>
      </c>
      <c r="D197" s="16" t="s">
        <v>32</v>
      </c>
      <c r="E197" s="16" t="s">
        <v>522</v>
      </c>
      <c r="F197" s="16"/>
      <c r="G197" s="17" t="str">
        <f ca="1">VLOOKUP(M197, Cards!A:B, 2, FALSE)</f>
        <v>علي ابراهيميان</v>
      </c>
      <c r="H197" s="18">
        <v>0</v>
      </c>
      <c r="I197" s="19">
        <v>15600</v>
      </c>
      <c r="J197" s="20">
        <v>46850200</v>
      </c>
      <c r="K197" s="21" t="s">
        <v>34</v>
      </c>
      <c r="L197" s="16" t="s">
        <v>500</v>
      </c>
      <c r="M197" s="1" t="str">
        <f ca="1">IFERROR(__xludf.DUMMYFUNCTION("REGEXEXTRACT(E197, ""ک\s(\d{16})"")
"),"6219861085062957")</f>
        <v>6219861085062957</v>
      </c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</row>
    <row r="198" spans="1:29" ht="25.5" customHeight="1">
      <c r="A198" s="15">
        <v>190</v>
      </c>
      <c r="B198" s="15" t="s">
        <v>488</v>
      </c>
      <c r="C198" s="16" t="s">
        <v>504</v>
      </c>
      <c r="D198" s="16" t="s">
        <v>32</v>
      </c>
      <c r="E198" s="16" t="s">
        <v>523</v>
      </c>
      <c r="F198" s="16"/>
      <c r="G198" s="17" t="str">
        <f ca="1">VLOOKUP(M198, Cards!A:B, 2, FALSE)</f>
        <v>علي ابراهيميان</v>
      </c>
      <c r="H198" s="18">
        <v>0</v>
      </c>
      <c r="I198" s="19">
        <v>10000</v>
      </c>
      <c r="J198" s="20">
        <v>31840200</v>
      </c>
      <c r="K198" s="21" t="s">
        <v>34</v>
      </c>
      <c r="L198" s="16" t="s">
        <v>506</v>
      </c>
      <c r="M198" s="1" t="str">
        <f ca="1">IFERROR(__xludf.DUMMYFUNCTION("REGEXEXTRACT(E198, ""ک\s(\d{16})"")
"),"6219861085062957")</f>
        <v>6219861085062957</v>
      </c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</row>
    <row r="199" spans="1:29" ht="25.5" customHeight="1">
      <c r="A199" s="15">
        <v>191</v>
      </c>
      <c r="B199" s="15" t="s">
        <v>488</v>
      </c>
      <c r="C199" s="16" t="s">
        <v>524</v>
      </c>
      <c r="D199" s="16" t="s">
        <v>71</v>
      </c>
      <c r="E199" s="16" t="s">
        <v>525</v>
      </c>
      <c r="F199" s="16"/>
      <c r="G199" s="17" t="str">
        <f ca="1">VLOOKUP(M199, Cards!A:B, 2, FALSE)</f>
        <v>علي ابراهيميان</v>
      </c>
      <c r="H199" s="18">
        <v>0</v>
      </c>
      <c r="I199" s="19">
        <v>1440</v>
      </c>
      <c r="J199" s="20">
        <v>77070550</v>
      </c>
      <c r="K199" s="21" t="s">
        <v>34</v>
      </c>
      <c r="L199" s="16" t="s">
        <v>526</v>
      </c>
      <c r="M199" s="1" t="str">
        <f ca="1">IFERROR(__xludf.DUMMYFUNCTION("REGEXEXTRACT(E199, ""ک\s(\d{16})"")
"),"6219861085062957")</f>
        <v>6219861085062957</v>
      </c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</row>
    <row r="200" spans="1:29" ht="25.5" customHeight="1">
      <c r="A200" s="15">
        <v>192</v>
      </c>
      <c r="B200" s="15" t="s">
        <v>488</v>
      </c>
      <c r="C200" s="16" t="s">
        <v>527</v>
      </c>
      <c r="D200" s="16" t="s">
        <v>71</v>
      </c>
      <c r="E200" s="16" t="s">
        <v>528</v>
      </c>
      <c r="F200" s="16"/>
      <c r="G200" s="17" t="str">
        <f ca="1">VLOOKUP(M200, Cards!A:B, 2, FALSE)</f>
        <v>علي ابراهيميان</v>
      </c>
      <c r="H200" s="18">
        <v>0</v>
      </c>
      <c r="I200" s="19">
        <v>1440</v>
      </c>
      <c r="J200" s="20">
        <v>33988760</v>
      </c>
      <c r="K200" s="21" t="s">
        <v>34</v>
      </c>
      <c r="L200" s="16" t="s">
        <v>529</v>
      </c>
      <c r="M200" s="1" t="str">
        <f ca="1">IFERROR(__xludf.DUMMYFUNCTION("REGEXEXTRACT(E200, ""ک\s(\d{16})"")
"),"6219861085062957")</f>
        <v>6219861085062957</v>
      </c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</row>
    <row r="201" spans="1:29" ht="25.5" customHeight="1">
      <c r="A201" s="15">
        <v>193</v>
      </c>
      <c r="B201" s="15" t="s">
        <v>530</v>
      </c>
      <c r="C201" s="16" t="s">
        <v>531</v>
      </c>
      <c r="D201" s="16" t="s">
        <v>32</v>
      </c>
      <c r="E201" s="16" t="s">
        <v>532</v>
      </c>
      <c r="F201" s="16"/>
      <c r="G201" s="17" t="str">
        <f ca="1">VLOOKUP(M201, Cards!A:B, 2, FALSE)</f>
        <v>حسين کوه ميشي</v>
      </c>
      <c r="H201" s="18">
        <v>0</v>
      </c>
      <c r="I201" s="19">
        <v>34170000</v>
      </c>
      <c r="J201" s="20">
        <v>115518760</v>
      </c>
      <c r="K201" s="21" t="s">
        <v>34</v>
      </c>
      <c r="L201" s="16" t="s">
        <v>533</v>
      </c>
      <c r="M201" s="1" t="str">
        <f ca="1">IFERROR(__xludf.DUMMYFUNCTION("REGEXEXTRACT(E201, ""ک\s(\d{16})"")
"),"5892101060857923")</f>
        <v>5892101060857923</v>
      </c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</row>
    <row r="202" spans="1:29" ht="25.5" customHeight="1">
      <c r="A202" s="15">
        <v>194</v>
      </c>
      <c r="B202" s="15" t="s">
        <v>530</v>
      </c>
      <c r="C202" s="16" t="s">
        <v>534</v>
      </c>
      <c r="D202" s="16" t="s">
        <v>32</v>
      </c>
      <c r="E202" s="16" t="s">
        <v>535</v>
      </c>
      <c r="F202" s="16"/>
      <c r="G202" s="17" t="str">
        <f ca="1">VLOOKUP(M202, Cards!A:B, 2, FALSE)</f>
        <v>محمد کريمي</v>
      </c>
      <c r="H202" s="18">
        <v>0</v>
      </c>
      <c r="I202" s="19">
        <v>17803500</v>
      </c>
      <c r="J202" s="20">
        <v>54259660</v>
      </c>
      <c r="K202" s="21" t="s">
        <v>34</v>
      </c>
      <c r="L202" s="16" t="s">
        <v>536</v>
      </c>
      <c r="M202" s="1" t="str">
        <f ca="1">IFERROR(__xludf.DUMMYFUNCTION("REGEXEXTRACT(E202, ""ک\s(\d{16})"")
"),"5892101643117522")</f>
        <v>5892101643117522</v>
      </c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</row>
    <row r="203" spans="1:29" ht="25.5" customHeight="1">
      <c r="A203" s="15">
        <v>195</v>
      </c>
      <c r="B203" s="15" t="s">
        <v>530</v>
      </c>
      <c r="C203" s="16" t="s">
        <v>537</v>
      </c>
      <c r="D203" s="16" t="s">
        <v>32</v>
      </c>
      <c r="E203" s="16" t="s">
        <v>538</v>
      </c>
      <c r="F203" s="16"/>
      <c r="G203" s="17" t="str">
        <f ca="1">VLOOKUP(M203, Cards!A:B, 2, FALSE)</f>
        <v>مهدي نعمتزاده</v>
      </c>
      <c r="H203" s="18">
        <v>0</v>
      </c>
      <c r="I203" s="19">
        <v>6750000</v>
      </c>
      <c r="J203" s="20">
        <v>79850360</v>
      </c>
      <c r="K203" s="21" t="s">
        <v>34</v>
      </c>
      <c r="L203" s="16" t="s">
        <v>539</v>
      </c>
      <c r="M203" s="1" t="str">
        <f ca="1">IFERROR(__xludf.DUMMYFUNCTION("REGEXEXTRACT(E203, ""ک\s(\d{16})"")
"),"6037991933743951")</f>
        <v>6037991933743951</v>
      </c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</row>
    <row r="204" spans="1:29" ht="25.5" customHeight="1">
      <c r="A204" s="15">
        <v>196</v>
      </c>
      <c r="B204" s="15" t="s">
        <v>530</v>
      </c>
      <c r="C204" s="16" t="s">
        <v>540</v>
      </c>
      <c r="D204" s="16" t="s">
        <v>32</v>
      </c>
      <c r="E204" s="16" t="s">
        <v>541</v>
      </c>
      <c r="F204" s="16"/>
      <c r="G204" s="17" t="str">
        <f ca="1">VLOOKUP(M204, Cards!A:B, 2, FALSE)</f>
        <v>محمد خانگاه</v>
      </c>
      <c r="H204" s="18">
        <v>0</v>
      </c>
      <c r="I204" s="19">
        <v>28890000</v>
      </c>
      <c r="J204" s="20">
        <v>86613160</v>
      </c>
      <c r="K204" s="21" t="s">
        <v>34</v>
      </c>
      <c r="L204" s="16" t="s">
        <v>542</v>
      </c>
      <c r="M204" s="1" t="str">
        <f ca="1">IFERROR(__xludf.DUMMYFUNCTION("REGEXEXTRACT(E204, ""ک\s(\d{16})"")
"),"6104338971567579")</f>
        <v>6104338971567579</v>
      </c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</row>
    <row r="205" spans="1:29" ht="25.5" customHeight="1">
      <c r="A205" s="15">
        <v>197</v>
      </c>
      <c r="B205" s="15" t="s">
        <v>530</v>
      </c>
      <c r="C205" s="16" t="s">
        <v>543</v>
      </c>
      <c r="D205" s="16" t="s">
        <v>52</v>
      </c>
      <c r="E205" s="16" t="s">
        <v>544</v>
      </c>
      <c r="F205" s="16"/>
      <c r="G205" s="1" t="e">
        <f ca="1">VLOOKUP(M205, Cards!A:B, 2, FALSE)</f>
        <v>#N/A</v>
      </c>
      <c r="H205" s="18">
        <v>1900000</v>
      </c>
      <c r="I205" s="19">
        <v>0</v>
      </c>
      <c r="J205" s="20">
        <v>55348220</v>
      </c>
      <c r="K205" s="21" t="s">
        <v>54</v>
      </c>
      <c r="L205" s="16" t="s">
        <v>545</v>
      </c>
      <c r="M205" s="1" t="str">
        <f ca="1">IFERROR(__xludf.DUMMYFUNCTION("REGEXEXTRACT(E205, ""ک\s(\d{16})"")
"),"#N/A")</f>
        <v>#N/A</v>
      </c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</row>
    <row r="206" spans="1:29" ht="25.5" customHeight="1">
      <c r="A206" s="15">
        <v>198</v>
      </c>
      <c r="B206" s="15" t="s">
        <v>530</v>
      </c>
      <c r="C206" s="16" t="s">
        <v>546</v>
      </c>
      <c r="D206" s="16" t="s">
        <v>52</v>
      </c>
      <c r="E206" s="16" t="s">
        <v>547</v>
      </c>
      <c r="F206" s="16"/>
      <c r="G206" s="1" t="e">
        <f ca="1">VLOOKUP(M206, Cards!A:B, 2, FALSE)</f>
        <v>#N/A</v>
      </c>
      <c r="H206" s="18">
        <v>106000000</v>
      </c>
      <c r="I206" s="19">
        <v>0</v>
      </c>
      <c r="J206" s="20">
        <v>139988760</v>
      </c>
      <c r="K206" s="21" t="s">
        <v>54</v>
      </c>
      <c r="L206" s="16" t="s">
        <v>548</v>
      </c>
      <c r="M206" s="1" t="str">
        <f ca="1">IFERROR(__xludf.DUMMYFUNCTION("REGEXEXTRACT(E206, ""ک\s(\d{16})"")
"),"#N/A")</f>
        <v>#N/A</v>
      </c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</row>
    <row r="207" spans="1:29" ht="25.5" customHeight="1">
      <c r="A207" s="15">
        <v>199</v>
      </c>
      <c r="B207" s="15" t="s">
        <v>530</v>
      </c>
      <c r="C207" s="16" t="s">
        <v>549</v>
      </c>
      <c r="D207" s="16" t="s">
        <v>52</v>
      </c>
      <c r="E207" s="16" t="s">
        <v>550</v>
      </c>
      <c r="F207" s="16"/>
      <c r="G207" s="1" t="e">
        <f ca="1">VLOOKUP(M207, Cards!A:B, 2, FALSE)</f>
        <v>#N/A</v>
      </c>
      <c r="H207" s="18">
        <v>14000000</v>
      </c>
      <c r="I207" s="19">
        <v>0</v>
      </c>
      <c r="J207" s="20">
        <v>153988760</v>
      </c>
      <c r="K207" s="21" t="s">
        <v>54</v>
      </c>
      <c r="L207" s="16" t="s">
        <v>551</v>
      </c>
      <c r="M207" s="1" t="str">
        <f ca="1">IFERROR(__xludf.DUMMYFUNCTION("REGEXEXTRACT(E207, ""ک\s(\d{16})"")
"),"#N/A")</f>
        <v>#N/A</v>
      </c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</row>
    <row r="208" spans="1:29" ht="25.5" customHeight="1">
      <c r="A208" s="15">
        <v>200</v>
      </c>
      <c r="B208" s="15" t="s">
        <v>530</v>
      </c>
      <c r="C208" s="16" t="s">
        <v>552</v>
      </c>
      <c r="D208" s="16" t="s">
        <v>60</v>
      </c>
      <c r="E208" s="16" t="s">
        <v>553</v>
      </c>
      <c r="F208" s="16"/>
      <c r="G208" s="17" t="str">
        <f ca="1">VLOOKUP(M208, Cards!A:B, 2, FALSE)</f>
        <v>علي ابراهيميان</v>
      </c>
      <c r="H208" s="18">
        <v>0</v>
      </c>
      <c r="I208" s="19">
        <v>3450000</v>
      </c>
      <c r="J208" s="20">
        <v>76393160</v>
      </c>
      <c r="K208" s="21" t="s">
        <v>34</v>
      </c>
      <c r="L208" s="16" t="s">
        <v>554</v>
      </c>
      <c r="M208" s="1" t="str">
        <f ca="1">IFERROR(__xludf.DUMMYFUNCTION("REGEXEXTRACT(E208, ""ک\s(\d{16})"")
"),"6219861085062957")</f>
        <v>6219861085062957</v>
      </c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</row>
    <row r="209" spans="1:29" ht="25.5" customHeight="1">
      <c r="A209" s="15">
        <v>201</v>
      </c>
      <c r="B209" s="15" t="s">
        <v>530</v>
      </c>
      <c r="C209" s="16" t="s">
        <v>555</v>
      </c>
      <c r="D209" s="16" t="s">
        <v>60</v>
      </c>
      <c r="E209" s="16" t="s">
        <v>556</v>
      </c>
      <c r="F209" s="16"/>
      <c r="G209" s="17" t="str">
        <f ca="1">VLOOKUP(M209, Cards!A:B, 2, FALSE)</f>
        <v>علي ابراهيميان</v>
      </c>
      <c r="H209" s="18">
        <v>0</v>
      </c>
      <c r="I209" s="19">
        <v>4330000</v>
      </c>
      <c r="J209" s="20">
        <v>72063160</v>
      </c>
      <c r="K209" s="21" t="s">
        <v>34</v>
      </c>
      <c r="L209" s="16" t="s">
        <v>557</v>
      </c>
      <c r="M209" s="1" t="str">
        <f ca="1">IFERROR(__xludf.DUMMYFUNCTION("REGEXEXTRACT(E209, ""ک\s(\d{16})"")
"),"6219861085062957")</f>
        <v>6219861085062957</v>
      </c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</row>
    <row r="210" spans="1:29" ht="25.5" customHeight="1">
      <c r="A210" s="15">
        <v>202</v>
      </c>
      <c r="B210" s="15" t="s">
        <v>530</v>
      </c>
      <c r="C210" s="16" t="s">
        <v>558</v>
      </c>
      <c r="D210" s="16" t="s">
        <v>60</v>
      </c>
      <c r="E210" s="16" t="s">
        <v>559</v>
      </c>
      <c r="F210" s="16"/>
      <c r="G210" s="17" t="str">
        <f ca="1">VLOOKUP(M210, Cards!A:B, 2, FALSE)</f>
        <v>علي ابراهيميان</v>
      </c>
      <c r="H210" s="18">
        <v>0</v>
      </c>
      <c r="I210" s="19">
        <v>800000</v>
      </c>
      <c r="J210" s="20">
        <v>53448220</v>
      </c>
      <c r="K210" s="21" t="s">
        <v>34</v>
      </c>
      <c r="L210" s="16" t="s">
        <v>560</v>
      </c>
      <c r="M210" s="1" t="str">
        <f ca="1">IFERROR(__xludf.DUMMYFUNCTION("REGEXEXTRACT(E210, ""ک\s(\d{16})"")
"),"6219861085062957")</f>
        <v>6219861085062957</v>
      </c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</row>
    <row r="211" spans="1:29" ht="25.5" customHeight="1">
      <c r="A211" s="15">
        <v>203</v>
      </c>
      <c r="B211" s="15" t="s">
        <v>530</v>
      </c>
      <c r="C211" s="16" t="s">
        <v>561</v>
      </c>
      <c r="D211" s="16" t="s">
        <v>60</v>
      </c>
      <c r="E211" s="16" t="s">
        <v>562</v>
      </c>
      <c r="F211" s="16"/>
      <c r="G211" s="17" t="str">
        <f ca="1">VLOOKUP(M211, Cards!A:B, 2, FALSE)</f>
        <v>علي ابراهيميان</v>
      </c>
      <c r="H211" s="18">
        <v>0</v>
      </c>
      <c r="I211" s="19">
        <v>4300000</v>
      </c>
      <c r="J211" s="20">
        <v>149688760</v>
      </c>
      <c r="K211" s="21" t="s">
        <v>34</v>
      </c>
      <c r="L211" s="16" t="s">
        <v>563</v>
      </c>
      <c r="M211" s="1" t="str">
        <f ca="1">IFERROR(__xludf.DUMMYFUNCTION("REGEXEXTRACT(E211, ""ک\s(\d{16})"")
"),"6219861085062957")</f>
        <v>6219861085062957</v>
      </c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</row>
    <row r="212" spans="1:29" ht="25.5" customHeight="1">
      <c r="A212" s="15">
        <v>204</v>
      </c>
      <c r="B212" s="15" t="s">
        <v>530</v>
      </c>
      <c r="C212" s="16" t="s">
        <v>531</v>
      </c>
      <c r="D212" s="16" t="s">
        <v>32</v>
      </c>
      <c r="E212" s="16" t="s">
        <v>564</v>
      </c>
      <c r="F212" s="16"/>
      <c r="G212" s="17" t="str">
        <f ca="1">VLOOKUP(M212, Cards!A:B, 2, FALSE)</f>
        <v>علي ابراهيميان</v>
      </c>
      <c r="H212" s="18">
        <v>0</v>
      </c>
      <c r="I212" s="19">
        <v>15600</v>
      </c>
      <c r="J212" s="20">
        <v>115503160</v>
      </c>
      <c r="K212" s="21" t="s">
        <v>34</v>
      </c>
      <c r="L212" s="16" t="s">
        <v>533</v>
      </c>
      <c r="M212" s="1" t="str">
        <f ca="1">IFERROR(__xludf.DUMMYFUNCTION("REGEXEXTRACT(E212, ""ک\s(\d{16})"")
"),"6219861085062957")</f>
        <v>6219861085062957</v>
      </c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</row>
    <row r="213" spans="1:29" ht="25.5" customHeight="1">
      <c r="A213" s="15">
        <v>205</v>
      </c>
      <c r="B213" s="15" t="s">
        <v>530</v>
      </c>
      <c r="C213" s="16" t="s">
        <v>540</v>
      </c>
      <c r="D213" s="16" t="s">
        <v>32</v>
      </c>
      <c r="E213" s="16" t="s">
        <v>565</v>
      </c>
      <c r="F213" s="16"/>
      <c r="G213" s="17" t="str">
        <f ca="1">VLOOKUP(M213, Cards!A:B, 2, FALSE)</f>
        <v>علي ابراهيميان</v>
      </c>
      <c r="H213" s="18">
        <v>0</v>
      </c>
      <c r="I213" s="19">
        <v>12800</v>
      </c>
      <c r="J213" s="20">
        <v>86600360</v>
      </c>
      <c r="K213" s="21" t="s">
        <v>34</v>
      </c>
      <c r="L213" s="16" t="s">
        <v>542</v>
      </c>
      <c r="M213" s="1" t="str">
        <f ca="1">IFERROR(__xludf.DUMMYFUNCTION("REGEXEXTRACT(E213, ""ک\s(\d{16})"")
"),"6219861085062957")</f>
        <v>6219861085062957</v>
      </c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</row>
    <row r="214" spans="1:29" ht="25.5" customHeight="1">
      <c r="A214" s="15">
        <v>206</v>
      </c>
      <c r="B214" s="15" t="s">
        <v>530</v>
      </c>
      <c r="C214" s="16" t="s">
        <v>537</v>
      </c>
      <c r="D214" s="16" t="s">
        <v>32</v>
      </c>
      <c r="E214" s="16" t="s">
        <v>566</v>
      </c>
      <c r="F214" s="16"/>
      <c r="G214" s="17" t="str">
        <f ca="1">VLOOKUP(M214, Cards!A:B, 2, FALSE)</f>
        <v>علي ابراهيميان</v>
      </c>
      <c r="H214" s="18">
        <v>0</v>
      </c>
      <c r="I214" s="19">
        <v>7200</v>
      </c>
      <c r="J214" s="20">
        <v>79843160</v>
      </c>
      <c r="K214" s="21" t="s">
        <v>34</v>
      </c>
      <c r="L214" s="16" t="s">
        <v>539</v>
      </c>
      <c r="M214" s="1" t="str">
        <f ca="1">IFERROR(__xludf.DUMMYFUNCTION("REGEXEXTRACT(E214, ""ک\s(\d{16})"")
"),"6219861085062957")</f>
        <v>6219861085062957</v>
      </c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</row>
    <row r="215" spans="1:29" ht="25.5" customHeight="1">
      <c r="A215" s="15">
        <v>207</v>
      </c>
      <c r="B215" s="15" t="s">
        <v>530</v>
      </c>
      <c r="C215" s="16" t="s">
        <v>534</v>
      </c>
      <c r="D215" s="16" t="s">
        <v>32</v>
      </c>
      <c r="E215" s="16" t="s">
        <v>567</v>
      </c>
      <c r="F215" s="16"/>
      <c r="G215" s="17" t="str">
        <f ca="1">VLOOKUP(M215, Cards!A:B, 2, FALSE)</f>
        <v>علي ابراهيميان</v>
      </c>
      <c r="H215" s="18">
        <v>0</v>
      </c>
      <c r="I215" s="19">
        <v>10000</v>
      </c>
      <c r="J215" s="20">
        <v>54249660</v>
      </c>
      <c r="K215" s="21" t="s">
        <v>34</v>
      </c>
      <c r="L215" s="16" t="s">
        <v>536</v>
      </c>
      <c r="M215" s="1" t="str">
        <f ca="1">IFERROR(__xludf.DUMMYFUNCTION("REGEXEXTRACT(E215, ""ک\s(\d{16})"")
"),"6219861085062957")</f>
        <v>6219861085062957</v>
      </c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</row>
    <row r="216" spans="1:29" ht="25.5" customHeight="1">
      <c r="A216" s="15">
        <v>208</v>
      </c>
      <c r="B216" s="15" t="s">
        <v>530</v>
      </c>
      <c r="C216" s="16" t="s">
        <v>568</v>
      </c>
      <c r="D216" s="16" t="s">
        <v>71</v>
      </c>
      <c r="E216" s="16" t="s">
        <v>569</v>
      </c>
      <c r="F216" s="16"/>
      <c r="G216" s="17" t="str">
        <f ca="1">VLOOKUP(M216, Cards!A:B, 2, FALSE)</f>
        <v>علي ابراهيميان</v>
      </c>
      <c r="H216" s="18">
        <v>0</v>
      </c>
      <c r="I216" s="19">
        <v>1440</v>
      </c>
      <c r="J216" s="20">
        <v>54248220</v>
      </c>
      <c r="K216" s="21" t="s">
        <v>34</v>
      </c>
      <c r="L216" s="16" t="s">
        <v>570</v>
      </c>
      <c r="M216" s="1" t="str">
        <f ca="1">IFERROR(__xludf.DUMMYFUNCTION("REGEXEXTRACT(E216, ""ک\s(\d{16})"")
"),"6219861085062957")</f>
        <v>6219861085062957</v>
      </c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</row>
    <row r="217" spans="1:29" ht="25.5" customHeight="1">
      <c r="A217" s="15">
        <v>209</v>
      </c>
      <c r="B217" s="15" t="s">
        <v>571</v>
      </c>
      <c r="C217" s="16" t="s">
        <v>572</v>
      </c>
      <c r="D217" s="16" t="s">
        <v>32</v>
      </c>
      <c r="E217" s="16" t="s">
        <v>573</v>
      </c>
      <c r="F217" s="16"/>
      <c r="G217" s="17" t="str">
        <f ca="1">VLOOKUP(M217, Cards!A:B, 2, FALSE)</f>
        <v>حسين کوه ميشي</v>
      </c>
      <c r="H217" s="18">
        <v>0</v>
      </c>
      <c r="I217" s="19">
        <v>30000000</v>
      </c>
      <c r="J217" s="20">
        <v>77735420</v>
      </c>
      <c r="K217" s="21" t="s">
        <v>34</v>
      </c>
      <c r="L217" s="16" t="s">
        <v>574</v>
      </c>
      <c r="M217" s="1" t="str">
        <f ca="1">IFERROR(__xludf.DUMMYFUNCTION("REGEXEXTRACT(E217, ""ک\s(\d{16})"")
"),"5892101060857923")</f>
        <v>5892101060857923</v>
      </c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</row>
    <row r="218" spans="1:29" ht="25.5" customHeight="1">
      <c r="A218" s="15">
        <v>210</v>
      </c>
      <c r="B218" s="15" t="s">
        <v>571</v>
      </c>
      <c r="C218" s="16" t="s">
        <v>575</v>
      </c>
      <c r="D218" s="16" t="s">
        <v>32</v>
      </c>
      <c r="E218" s="16" t="s">
        <v>576</v>
      </c>
      <c r="F218" s="16"/>
      <c r="G218" s="17" t="str">
        <f ca="1">VLOOKUP(M218, Cards!A:B, 2, FALSE)</f>
        <v>محمد کريمي</v>
      </c>
      <c r="H218" s="18">
        <v>0</v>
      </c>
      <c r="I218" s="19">
        <v>17127500</v>
      </c>
      <c r="J218" s="20">
        <v>43579280</v>
      </c>
      <c r="K218" s="21" t="s">
        <v>34</v>
      </c>
      <c r="L218" s="16" t="s">
        <v>577</v>
      </c>
      <c r="M218" s="1" t="str">
        <f ca="1">IFERROR(__xludf.DUMMYFUNCTION("REGEXEXTRACT(E218, ""ک\s(\d{16})"")
"),"5892101643117522")</f>
        <v>5892101643117522</v>
      </c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</row>
    <row r="219" spans="1:29" ht="25.5" customHeight="1">
      <c r="A219" s="15">
        <v>211</v>
      </c>
      <c r="B219" s="15" t="s">
        <v>571</v>
      </c>
      <c r="C219" s="16" t="s">
        <v>578</v>
      </c>
      <c r="D219" s="16" t="s">
        <v>32</v>
      </c>
      <c r="E219" s="16" t="s">
        <v>579</v>
      </c>
      <c r="F219" s="16"/>
      <c r="G219" s="17" t="str">
        <f ca="1">VLOOKUP(M219, Cards!A:B, 2, FALSE)</f>
        <v>محمد خانگاه</v>
      </c>
      <c r="H219" s="18">
        <v>0</v>
      </c>
      <c r="I219" s="19">
        <v>28600000</v>
      </c>
      <c r="J219" s="20">
        <v>121258220</v>
      </c>
      <c r="K219" s="21" t="s">
        <v>34</v>
      </c>
      <c r="L219" s="16" t="s">
        <v>580</v>
      </c>
      <c r="M219" s="1" t="str">
        <f ca="1">IFERROR(__xludf.DUMMYFUNCTION("REGEXEXTRACT(E219, ""ک\s(\d{16})"")
"),"6104338971567579")</f>
        <v>6104338971567579</v>
      </c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</row>
    <row r="220" spans="1:29" ht="25.5" customHeight="1">
      <c r="A220" s="15">
        <v>212</v>
      </c>
      <c r="B220" s="15" t="s">
        <v>571</v>
      </c>
      <c r="C220" s="16" t="s">
        <v>581</v>
      </c>
      <c r="D220" s="16" t="s">
        <v>32</v>
      </c>
      <c r="E220" s="16" t="s">
        <v>582</v>
      </c>
      <c r="F220" s="16"/>
      <c r="G220" s="17" t="str">
        <f ca="1">VLOOKUP(M220, Cards!A:B, 2, FALSE)</f>
        <v>سيدمحمدعلي حامدحيدري</v>
      </c>
      <c r="H220" s="18">
        <v>0</v>
      </c>
      <c r="I220" s="19">
        <v>4000000</v>
      </c>
      <c r="J220" s="20">
        <v>70213980</v>
      </c>
      <c r="K220" s="21" t="s">
        <v>34</v>
      </c>
      <c r="L220" s="16" t="s">
        <v>583</v>
      </c>
      <c r="M220" s="1" t="str">
        <f ca="1">IFERROR(__xludf.DUMMYFUNCTION("REGEXEXTRACT(E220, ""ک\s(\d{16})"")
"),"6219861076095867")</f>
        <v>6219861076095867</v>
      </c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</row>
    <row r="221" spans="1:29" ht="25.5" customHeight="1">
      <c r="A221" s="15">
        <v>213</v>
      </c>
      <c r="B221" s="15" t="s">
        <v>571</v>
      </c>
      <c r="C221" s="16" t="s">
        <v>584</v>
      </c>
      <c r="D221" s="16" t="s">
        <v>32</v>
      </c>
      <c r="E221" s="16" t="s">
        <v>585</v>
      </c>
      <c r="F221" s="16"/>
      <c r="G221" s="17" t="str">
        <f ca="1">VLOOKUP(M221, Cards!A:B, 2, FALSE)</f>
        <v>محمد مومني</v>
      </c>
      <c r="H221" s="18">
        <v>0</v>
      </c>
      <c r="I221" s="19">
        <v>3500000</v>
      </c>
      <c r="J221" s="20">
        <v>74221180</v>
      </c>
      <c r="K221" s="21" t="s">
        <v>34</v>
      </c>
      <c r="L221" s="16" t="s">
        <v>586</v>
      </c>
      <c r="M221" s="1" t="str">
        <f ca="1">IFERROR(__xludf.DUMMYFUNCTION("REGEXEXTRACT(E221, ""ک\s(\d{16})"")
"),"6362141055049986")</f>
        <v>6362141055049986</v>
      </c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</row>
    <row r="222" spans="1:29" ht="25.5" customHeight="1">
      <c r="A222" s="15">
        <v>214</v>
      </c>
      <c r="B222" s="15" t="s">
        <v>571</v>
      </c>
      <c r="C222" s="16" t="s">
        <v>587</v>
      </c>
      <c r="D222" s="16" t="s">
        <v>32</v>
      </c>
      <c r="E222" s="16" t="s">
        <v>588</v>
      </c>
      <c r="F222" s="16"/>
      <c r="G222" s="17" t="str">
        <f ca="1">VLOOKUP(M222, Cards!A:B, 2, FALSE)</f>
        <v>الهام اسلامي</v>
      </c>
      <c r="H222" s="18">
        <v>0</v>
      </c>
      <c r="I222" s="19">
        <v>13500000</v>
      </c>
      <c r="J222" s="20">
        <v>107745420</v>
      </c>
      <c r="K222" s="21" t="s">
        <v>34</v>
      </c>
      <c r="L222" s="16" t="s">
        <v>589</v>
      </c>
      <c r="M222" s="1" t="str">
        <f ca="1">IFERROR(__xludf.DUMMYFUNCTION("REGEXEXTRACT(E222, ""ک\s(\d{16})"")
"),"6396071217181585")</f>
        <v>6396071217181585</v>
      </c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</row>
    <row r="223" spans="1:29" ht="25.5" customHeight="1">
      <c r="A223" s="15">
        <v>215</v>
      </c>
      <c r="B223" s="15" t="s">
        <v>571</v>
      </c>
      <c r="C223" s="16" t="s">
        <v>590</v>
      </c>
      <c r="D223" s="16" t="s">
        <v>52</v>
      </c>
      <c r="E223" s="16" t="s">
        <v>591</v>
      </c>
      <c r="F223" s="16"/>
      <c r="G223" s="1" t="e">
        <f ca="1">VLOOKUP(M223, Cards!A:B, 2, FALSE)</f>
        <v>#N/A</v>
      </c>
      <c r="H223" s="18">
        <v>110000000</v>
      </c>
      <c r="I223" s="19">
        <v>0</v>
      </c>
      <c r="J223" s="20">
        <v>165348220</v>
      </c>
      <c r="K223" s="21" t="s">
        <v>54</v>
      </c>
      <c r="L223" s="16" t="s">
        <v>592</v>
      </c>
      <c r="M223" s="1" t="str">
        <f ca="1">IFERROR(__xludf.DUMMYFUNCTION("REGEXEXTRACT(E223, ""ک\s(\d{16})"")
"),"#N/A")</f>
        <v>#N/A</v>
      </c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</row>
    <row r="224" spans="1:29" ht="25.5" customHeight="1">
      <c r="A224" s="15">
        <v>216</v>
      </c>
      <c r="B224" s="15" t="s">
        <v>571</v>
      </c>
      <c r="C224" s="16" t="s">
        <v>593</v>
      </c>
      <c r="D224" s="16" t="s">
        <v>60</v>
      </c>
      <c r="E224" s="16" t="s">
        <v>594</v>
      </c>
      <c r="F224" s="16"/>
      <c r="G224" s="17" t="str">
        <f ca="1">VLOOKUP(M224, Cards!A:B, 2, FALSE)</f>
        <v>علي ابراهيميان</v>
      </c>
      <c r="H224" s="18">
        <v>0</v>
      </c>
      <c r="I224" s="19">
        <v>9500000</v>
      </c>
      <c r="J224" s="20">
        <v>60706780</v>
      </c>
      <c r="K224" s="21" t="s">
        <v>34</v>
      </c>
      <c r="L224" s="16" t="s">
        <v>595</v>
      </c>
      <c r="M224" s="1" t="str">
        <f ca="1">IFERROR(__xludf.DUMMYFUNCTION("REGEXEXTRACT(E224, ""ک\s(\d{16})"")
"),"6219861085062957")</f>
        <v>6219861085062957</v>
      </c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</row>
    <row r="225" spans="1:29" ht="25.5" customHeight="1">
      <c r="A225" s="15">
        <v>217</v>
      </c>
      <c r="B225" s="15" t="s">
        <v>571</v>
      </c>
      <c r="C225" s="16" t="s">
        <v>596</v>
      </c>
      <c r="D225" s="16" t="s">
        <v>60</v>
      </c>
      <c r="E225" s="16" t="s">
        <v>597</v>
      </c>
      <c r="F225" s="16"/>
      <c r="G225" s="17" t="str">
        <f ca="1">VLOOKUP(M225, Cards!A:B, 2, FALSE)</f>
        <v>علي ابراهيميان</v>
      </c>
      <c r="H225" s="18">
        <v>0</v>
      </c>
      <c r="I225" s="19">
        <v>3850000</v>
      </c>
      <c r="J225" s="20">
        <v>149858220</v>
      </c>
      <c r="K225" s="21" t="s">
        <v>34</v>
      </c>
      <c r="L225" s="16" t="s">
        <v>598</v>
      </c>
      <c r="M225" s="1" t="str">
        <f ca="1">IFERROR(__xludf.DUMMYFUNCTION("REGEXEXTRACT(E225, ""ک\s(\d{16})"")
"),"6219861085062957")</f>
        <v>6219861085062957</v>
      </c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</row>
    <row r="226" spans="1:29" ht="25.5" customHeight="1">
      <c r="A226" s="15">
        <v>218</v>
      </c>
      <c r="B226" s="15" t="s">
        <v>571</v>
      </c>
      <c r="C226" s="16" t="s">
        <v>599</v>
      </c>
      <c r="D226" s="16" t="s">
        <v>60</v>
      </c>
      <c r="E226" s="16" t="s">
        <v>600</v>
      </c>
      <c r="F226" s="16"/>
      <c r="G226" s="17" t="str">
        <f ca="1">VLOOKUP(M226, Cards!A:B, 2, FALSE)</f>
        <v>علي ابراهيميان</v>
      </c>
      <c r="H226" s="18">
        <v>0</v>
      </c>
      <c r="I226" s="19">
        <v>3500000</v>
      </c>
      <c r="J226" s="20">
        <v>40067840</v>
      </c>
      <c r="K226" s="21" t="s">
        <v>34</v>
      </c>
      <c r="L226" s="16" t="s">
        <v>601</v>
      </c>
      <c r="M226" s="1" t="str">
        <f ca="1">IFERROR(__xludf.DUMMYFUNCTION("REGEXEXTRACT(E226, ""ک\s(\d{16})"")
"),"6219861085062957")</f>
        <v>6219861085062957</v>
      </c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</row>
    <row r="227" spans="1:29" ht="25.5" customHeight="1">
      <c r="A227" s="15">
        <v>219</v>
      </c>
      <c r="B227" s="15" t="s">
        <v>571</v>
      </c>
      <c r="C227" s="16" t="s">
        <v>602</v>
      </c>
      <c r="D227" s="16" t="s">
        <v>60</v>
      </c>
      <c r="E227" s="16" t="s">
        <v>603</v>
      </c>
      <c r="F227" s="16"/>
      <c r="G227" s="17" t="str">
        <f ca="1">VLOOKUP(M227, Cards!A:B, 2, FALSE)</f>
        <v>علي ابراهيميان</v>
      </c>
      <c r="H227" s="18">
        <v>0</v>
      </c>
      <c r="I227" s="19">
        <v>11640000</v>
      </c>
      <c r="J227" s="20">
        <v>153708220</v>
      </c>
      <c r="K227" s="21" t="s">
        <v>34</v>
      </c>
      <c r="L227" s="16" t="s">
        <v>604</v>
      </c>
      <c r="M227" s="1" t="str">
        <f ca="1">IFERROR(__xludf.DUMMYFUNCTION("REGEXEXTRACT(E227, ""ک\s(\d{16})"")
"),"6219861085062957")</f>
        <v>6219861085062957</v>
      </c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</row>
    <row r="228" spans="1:29" ht="25.5" customHeight="1">
      <c r="A228" s="15">
        <v>220</v>
      </c>
      <c r="B228" s="15" t="s">
        <v>571</v>
      </c>
      <c r="C228" s="16" t="s">
        <v>578</v>
      </c>
      <c r="D228" s="16" t="s">
        <v>32</v>
      </c>
      <c r="E228" s="16" t="s">
        <v>605</v>
      </c>
      <c r="F228" s="16"/>
      <c r="G228" s="17" t="str">
        <f ca="1">VLOOKUP(M228, Cards!A:B, 2, FALSE)</f>
        <v>علي ابراهيميان</v>
      </c>
      <c r="H228" s="18">
        <v>0</v>
      </c>
      <c r="I228" s="19">
        <v>12800</v>
      </c>
      <c r="J228" s="20">
        <v>121245420</v>
      </c>
      <c r="K228" s="21" t="s">
        <v>34</v>
      </c>
      <c r="L228" s="16" t="s">
        <v>580</v>
      </c>
      <c r="M228" s="1" t="str">
        <f ca="1">IFERROR(__xludf.DUMMYFUNCTION("REGEXEXTRACT(E228, ""ک\s(\d{16})"")
"),"6219861085062957")</f>
        <v>6219861085062957</v>
      </c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</row>
    <row r="229" spans="1:29" ht="25.5" customHeight="1">
      <c r="A229" s="15">
        <v>221</v>
      </c>
      <c r="B229" s="15" t="s">
        <v>571</v>
      </c>
      <c r="C229" s="16" t="s">
        <v>587</v>
      </c>
      <c r="D229" s="16" t="s">
        <v>32</v>
      </c>
      <c r="E229" s="16" t="s">
        <v>606</v>
      </c>
      <c r="F229" s="16"/>
      <c r="G229" s="17" t="str">
        <f ca="1">VLOOKUP(M229, Cards!A:B, 2, FALSE)</f>
        <v>علي ابراهيميان</v>
      </c>
      <c r="H229" s="18">
        <v>0</v>
      </c>
      <c r="I229" s="19">
        <v>10000</v>
      </c>
      <c r="J229" s="20">
        <v>107735420</v>
      </c>
      <c r="K229" s="21" t="s">
        <v>34</v>
      </c>
      <c r="L229" s="16" t="s">
        <v>589</v>
      </c>
      <c r="M229" s="1" t="str">
        <f ca="1">IFERROR(__xludf.DUMMYFUNCTION("REGEXEXTRACT(E229, ""ک\s(\d{16})"")
"),"6219861085062957")</f>
        <v>6219861085062957</v>
      </c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</row>
    <row r="230" spans="1:29" ht="25.5" customHeight="1">
      <c r="A230" s="15">
        <v>222</v>
      </c>
      <c r="B230" s="15" t="s">
        <v>571</v>
      </c>
      <c r="C230" s="16" t="s">
        <v>572</v>
      </c>
      <c r="D230" s="16" t="s">
        <v>32</v>
      </c>
      <c r="E230" s="16" t="s">
        <v>607</v>
      </c>
      <c r="F230" s="16"/>
      <c r="G230" s="17" t="str">
        <f ca="1">VLOOKUP(M230, Cards!A:B, 2, FALSE)</f>
        <v>علي ابراهيميان</v>
      </c>
      <c r="H230" s="18">
        <v>0</v>
      </c>
      <c r="I230" s="19">
        <v>12800</v>
      </c>
      <c r="J230" s="20">
        <v>77722620</v>
      </c>
      <c r="K230" s="21" t="s">
        <v>34</v>
      </c>
      <c r="L230" s="16" t="s">
        <v>574</v>
      </c>
      <c r="M230" s="1" t="str">
        <f ca="1">IFERROR(__xludf.DUMMYFUNCTION("REGEXEXTRACT(E230, ""ک\s(\d{16})"")
"),"6219861085062957")</f>
        <v>6219861085062957</v>
      </c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</row>
    <row r="231" spans="1:29" ht="25.5" customHeight="1">
      <c r="A231" s="15">
        <v>223</v>
      </c>
      <c r="B231" s="15" t="s">
        <v>571</v>
      </c>
      <c r="C231" s="16" t="s">
        <v>584</v>
      </c>
      <c r="D231" s="16" t="s">
        <v>32</v>
      </c>
      <c r="E231" s="16" t="s">
        <v>608</v>
      </c>
      <c r="F231" s="16"/>
      <c r="G231" s="17" t="str">
        <f ca="1">VLOOKUP(M231, Cards!A:B, 2, FALSE)</f>
        <v>علي ابراهيميان</v>
      </c>
      <c r="H231" s="18">
        <v>0</v>
      </c>
      <c r="I231" s="19">
        <v>7200</v>
      </c>
      <c r="J231" s="20">
        <v>74213980</v>
      </c>
      <c r="K231" s="21" t="s">
        <v>34</v>
      </c>
      <c r="L231" s="16" t="s">
        <v>586</v>
      </c>
      <c r="M231" s="1" t="str">
        <f ca="1">IFERROR(__xludf.DUMMYFUNCTION("REGEXEXTRACT(E231, ""ک\s(\d{16})"")
"),"6219861085062957")</f>
        <v>6219861085062957</v>
      </c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</row>
    <row r="232" spans="1:29" ht="25.5" customHeight="1">
      <c r="A232" s="15">
        <v>224</v>
      </c>
      <c r="B232" s="15" t="s">
        <v>571</v>
      </c>
      <c r="C232" s="16" t="s">
        <v>581</v>
      </c>
      <c r="D232" s="16" t="s">
        <v>32</v>
      </c>
      <c r="E232" s="16" t="s">
        <v>609</v>
      </c>
      <c r="F232" s="16"/>
      <c r="G232" s="17" t="str">
        <f ca="1">VLOOKUP(M232, Cards!A:B, 2, FALSE)</f>
        <v>علي ابراهيميان</v>
      </c>
      <c r="H232" s="18">
        <v>0</v>
      </c>
      <c r="I232" s="19">
        <v>7200</v>
      </c>
      <c r="J232" s="20">
        <v>70206780</v>
      </c>
      <c r="K232" s="21" t="s">
        <v>34</v>
      </c>
      <c r="L232" s="16" t="s">
        <v>583</v>
      </c>
      <c r="M232" s="1" t="str">
        <f ca="1">IFERROR(__xludf.DUMMYFUNCTION("REGEXEXTRACT(E232, ""ک\s(\d{16})"")
"),"6219861085062957")</f>
        <v>6219861085062957</v>
      </c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</row>
    <row r="233" spans="1:29" ht="25.5" customHeight="1">
      <c r="A233" s="15">
        <v>225</v>
      </c>
      <c r="B233" s="15" t="s">
        <v>571</v>
      </c>
      <c r="C233" s="16" t="s">
        <v>575</v>
      </c>
      <c r="D233" s="16" t="s">
        <v>32</v>
      </c>
      <c r="E233" s="16" t="s">
        <v>610</v>
      </c>
      <c r="F233" s="16"/>
      <c r="G233" s="17" t="str">
        <f ca="1">VLOOKUP(M233, Cards!A:B, 2, FALSE)</f>
        <v>علي ابراهيميان</v>
      </c>
      <c r="H233" s="18">
        <v>0</v>
      </c>
      <c r="I233" s="19">
        <v>10000</v>
      </c>
      <c r="J233" s="20">
        <v>43569280</v>
      </c>
      <c r="K233" s="21" t="s">
        <v>34</v>
      </c>
      <c r="L233" s="16" t="s">
        <v>577</v>
      </c>
      <c r="M233" s="1" t="str">
        <f ca="1">IFERROR(__xludf.DUMMYFUNCTION("REGEXEXTRACT(E233, ""ک\s(\d{16})"")
"),"6219861085062957")</f>
        <v>6219861085062957</v>
      </c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</row>
    <row r="234" spans="1:29" ht="25.5" customHeight="1">
      <c r="A234" s="15">
        <v>226</v>
      </c>
      <c r="B234" s="15" t="s">
        <v>571</v>
      </c>
      <c r="C234" s="16" t="s">
        <v>611</v>
      </c>
      <c r="D234" s="16" t="s">
        <v>71</v>
      </c>
      <c r="E234" s="16" t="s">
        <v>612</v>
      </c>
      <c r="F234" s="16"/>
      <c r="G234" s="17" t="str">
        <f ca="1">VLOOKUP(M234, Cards!A:B, 2, FALSE)</f>
        <v>علي ابراهيميان</v>
      </c>
      <c r="H234" s="18">
        <v>0</v>
      </c>
      <c r="I234" s="19">
        <v>1440</v>
      </c>
      <c r="J234" s="20">
        <v>77721180</v>
      </c>
      <c r="K234" s="21" t="s">
        <v>34</v>
      </c>
      <c r="L234" s="16" t="s">
        <v>613</v>
      </c>
      <c r="M234" s="1" t="str">
        <f ca="1">IFERROR(__xludf.DUMMYFUNCTION("REGEXEXTRACT(E234, ""ک\s(\d{16})"")
"),"6219861085062957")</f>
        <v>6219861085062957</v>
      </c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</row>
    <row r="235" spans="1:29" ht="25.5" customHeight="1">
      <c r="A235" s="15">
        <v>227</v>
      </c>
      <c r="B235" s="15" t="s">
        <v>571</v>
      </c>
      <c r="C235" s="16" t="s">
        <v>614</v>
      </c>
      <c r="D235" s="16" t="s">
        <v>71</v>
      </c>
      <c r="E235" s="16" t="s">
        <v>615</v>
      </c>
      <c r="F235" s="16"/>
      <c r="G235" s="17" t="str">
        <f ca="1">VLOOKUP(M235, Cards!A:B, 2, FALSE)</f>
        <v>علي ابراهيميان</v>
      </c>
      <c r="H235" s="18">
        <v>0</v>
      </c>
      <c r="I235" s="19">
        <v>1440</v>
      </c>
      <c r="J235" s="20">
        <v>43567840</v>
      </c>
      <c r="K235" s="21" t="s">
        <v>34</v>
      </c>
      <c r="L235" s="16" t="s">
        <v>616</v>
      </c>
      <c r="M235" s="1" t="str">
        <f ca="1">IFERROR(__xludf.DUMMYFUNCTION("REGEXEXTRACT(E235, ""ک\s(\d{16})"")
"),"6219861085062957")</f>
        <v>6219861085062957</v>
      </c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</row>
    <row r="236" spans="1:29" ht="25.5" customHeight="1">
      <c r="A236" s="15">
        <v>228</v>
      </c>
      <c r="B236" s="15" t="s">
        <v>617</v>
      </c>
      <c r="C236" s="16" t="s">
        <v>618</v>
      </c>
      <c r="D236" s="16" t="s">
        <v>32</v>
      </c>
      <c r="E236" s="16" t="s">
        <v>619</v>
      </c>
      <c r="F236" s="16"/>
      <c r="G236" s="17" t="str">
        <f ca="1">VLOOKUP(M236, Cards!A:B, 2, FALSE)</f>
        <v>مهدي ابراهيميان</v>
      </c>
      <c r="H236" s="18">
        <v>0</v>
      </c>
      <c r="I236" s="19">
        <v>5000000</v>
      </c>
      <c r="J236" s="20">
        <v>44545500</v>
      </c>
      <c r="K236" s="21" t="s">
        <v>34</v>
      </c>
      <c r="L236" s="16" t="s">
        <v>620</v>
      </c>
      <c r="M236" s="1" t="str">
        <f ca="1">IFERROR(__xludf.DUMMYFUNCTION("REGEXEXTRACT(E236, ""ک\s(\d{16})"")
"),"6219861050987337")</f>
        <v>6219861050987337</v>
      </c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</row>
    <row r="237" spans="1:29" ht="25.5" customHeight="1">
      <c r="A237" s="15">
        <v>229</v>
      </c>
      <c r="B237" s="15" t="s">
        <v>617</v>
      </c>
      <c r="C237" s="16" t="s">
        <v>621</v>
      </c>
      <c r="D237" s="16" t="s">
        <v>32</v>
      </c>
      <c r="E237" s="16" t="s">
        <v>622</v>
      </c>
      <c r="F237" s="16"/>
      <c r="G237" s="17" t="str">
        <f ca="1">VLOOKUP(M237, Cards!A:B, 2, FALSE)</f>
        <v>سيدمحمدعلي حامدحيدري</v>
      </c>
      <c r="H237" s="18">
        <v>0</v>
      </c>
      <c r="I237" s="19">
        <v>20000000</v>
      </c>
      <c r="J237" s="20">
        <v>24545500</v>
      </c>
      <c r="K237" s="21" t="s">
        <v>34</v>
      </c>
      <c r="L237" s="16" t="s">
        <v>623</v>
      </c>
      <c r="M237" s="1" t="str">
        <f ca="1">IFERROR(__xludf.DUMMYFUNCTION("REGEXEXTRACT(E237, ""ک\s(\d{16})"")
"),"6219861076095867")</f>
        <v>6219861076095867</v>
      </c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</row>
    <row r="238" spans="1:29" ht="25.5" customHeight="1">
      <c r="A238" s="15">
        <v>230</v>
      </c>
      <c r="B238" s="15" t="s">
        <v>617</v>
      </c>
      <c r="C238" s="16" t="s">
        <v>624</v>
      </c>
      <c r="D238" s="16" t="s">
        <v>32</v>
      </c>
      <c r="E238" s="16" t="s">
        <v>625</v>
      </c>
      <c r="F238" s="16"/>
      <c r="G238" s="17" t="str">
        <f ca="1">VLOOKUP(M238, Cards!A:B, 2, FALSE)</f>
        <v>حسين کوه ميشي</v>
      </c>
      <c r="H238" s="18">
        <v>0</v>
      </c>
      <c r="I238" s="19">
        <v>30000000</v>
      </c>
      <c r="J238" s="20">
        <v>49558300</v>
      </c>
      <c r="K238" s="21" t="s">
        <v>34</v>
      </c>
      <c r="L238" s="16" t="s">
        <v>626</v>
      </c>
      <c r="M238" s="1" t="str">
        <f ca="1">IFERROR(__xludf.DUMMYFUNCTION("REGEXEXTRACT(E238, ""ک\s(\d{16})"")
"),"5892101060857923")</f>
        <v>5892101060857923</v>
      </c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</row>
    <row r="239" spans="1:29" ht="25.5" customHeight="1">
      <c r="A239" s="15">
        <v>231</v>
      </c>
      <c r="B239" s="15" t="s">
        <v>617</v>
      </c>
      <c r="C239" s="16" t="s">
        <v>627</v>
      </c>
      <c r="D239" s="16" t="s">
        <v>32</v>
      </c>
      <c r="E239" s="16" t="s">
        <v>628</v>
      </c>
      <c r="F239" s="16"/>
      <c r="G239" s="17" t="str">
        <f ca="1">VLOOKUP(M239, Cards!A:B, 2, FALSE)</f>
        <v>محمد کريمي</v>
      </c>
      <c r="H239" s="18">
        <v>0</v>
      </c>
      <c r="I239" s="19">
        <v>20482500</v>
      </c>
      <c r="J239" s="20">
        <v>79572540</v>
      </c>
      <c r="K239" s="21" t="s">
        <v>34</v>
      </c>
      <c r="L239" s="16" t="s">
        <v>629</v>
      </c>
      <c r="M239" s="1" t="str">
        <f ca="1">IFERROR(__xludf.DUMMYFUNCTION("REGEXEXTRACT(E239, ""ک\s(\d{16})"")
"),"5892101643117522")</f>
        <v>5892101643117522</v>
      </c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</row>
    <row r="240" spans="1:29" ht="25.5" customHeight="1">
      <c r="A240" s="15">
        <v>232</v>
      </c>
      <c r="B240" s="15" t="s">
        <v>617</v>
      </c>
      <c r="C240" s="16" t="s">
        <v>630</v>
      </c>
      <c r="D240" s="16" t="s">
        <v>32</v>
      </c>
      <c r="E240" s="16" t="s">
        <v>631</v>
      </c>
      <c r="F240" s="16"/>
      <c r="G240" s="17" t="str">
        <f ca="1">VLOOKUP(M240, Cards!A:B, 2, FALSE)</f>
        <v>محمد نجفيزاده</v>
      </c>
      <c r="H240" s="18">
        <v>0</v>
      </c>
      <c r="I240" s="19">
        <v>30000000</v>
      </c>
      <c r="J240" s="20">
        <v>100067840</v>
      </c>
      <c r="K240" s="21" t="s">
        <v>34</v>
      </c>
      <c r="L240" s="16" t="s">
        <v>632</v>
      </c>
      <c r="M240" s="1" t="str">
        <f ca="1">IFERROR(__xludf.DUMMYFUNCTION("REGEXEXTRACT(E240, ""ک\s(\d{16})"")
"),"6037998137441456")</f>
        <v>6037998137441456</v>
      </c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</row>
    <row r="241" spans="1:29" ht="25.5" customHeight="1">
      <c r="A241" s="15">
        <v>233</v>
      </c>
      <c r="B241" s="15" t="s">
        <v>617</v>
      </c>
      <c r="C241" s="16" t="s">
        <v>633</v>
      </c>
      <c r="D241" s="16" t="s">
        <v>52</v>
      </c>
      <c r="E241" s="16" t="s">
        <v>634</v>
      </c>
      <c r="F241" s="16"/>
      <c r="G241" s="1" t="e">
        <f ca="1">VLOOKUP(M241, Cards!A:B, 2, FALSE)</f>
        <v>#N/A</v>
      </c>
      <c r="H241" s="18">
        <v>90000000</v>
      </c>
      <c r="I241" s="19">
        <v>0</v>
      </c>
      <c r="J241" s="20">
        <v>130067840</v>
      </c>
      <c r="K241" s="21" t="s">
        <v>54</v>
      </c>
      <c r="L241" s="16" t="s">
        <v>635</v>
      </c>
      <c r="M241" s="1" t="str">
        <f ca="1">IFERROR(__xludf.DUMMYFUNCTION("REGEXEXTRACT(E241, ""ک\s(\d{16})"")
"),"#N/A")</f>
        <v>#N/A</v>
      </c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</row>
    <row r="242" spans="1:29" ht="25.5" customHeight="1">
      <c r="A242" s="15">
        <v>234</v>
      </c>
      <c r="B242" s="15" t="s">
        <v>617</v>
      </c>
      <c r="C242" s="16" t="s">
        <v>630</v>
      </c>
      <c r="D242" s="16" t="s">
        <v>32</v>
      </c>
      <c r="E242" s="16" t="s">
        <v>636</v>
      </c>
      <c r="F242" s="16"/>
      <c r="G242" s="17" t="str">
        <f ca="1">VLOOKUP(M242, Cards!A:B, 2, FALSE)</f>
        <v>علي ابراهيميان</v>
      </c>
      <c r="H242" s="18">
        <v>0</v>
      </c>
      <c r="I242" s="19">
        <v>12800</v>
      </c>
      <c r="J242" s="20">
        <v>100055040</v>
      </c>
      <c r="K242" s="21" t="s">
        <v>34</v>
      </c>
      <c r="L242" s="16" t="s">
        <v>632</v>
      </c>
      <c r="M242" s="1" t="str">
        <f ca="1">IFERROR(__xludf.DUMMYFUNCTION("REGEXEXTRACT(E242, ""ک\s(\d{16})"")
"),"6219861085062957")</f>
        <v>6219861085062957</v>
      </c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</row>
    <row r="243" spans="1:29" ht="25.5" customHeight="1">
      <c r="A243" s="15">
        <v>235</v>
      </c>
      <c r="B243" s="15" t="s">
        <v>617</v>
      </c>
      <c r="C243" s="16" t="s">
        <v>627</v>
      </c>
      <c r="D243" s="16" t="s">
        <v>32</v>
      </c>
      <c r="E243" s="16" t="s">
        <v>637</v>
      </c>
      <c r="F243" s="16"/>
      <c r="G243" s="17" t="str">
        <f ca="1">VLOOKUP(M243, Cards!A:B, 2, FALSE)</f>
        <v>علي ابراهيميان</v>
      </c>
      <c r="H243" s="18">
        <v>0</v>
      </c>
      <c r="I243" s="19">
        <v>12800</v>
      </c>
      <c r="J243" s="20">
        <v>79559740</v>
      </c>
      <c r="K243" s="21" t="s">
        <v>34</v>
      </c>
      <c r="L243" s="16" t="s">
        <v>629</v>
      </c>
      <c r="M243" s="1" t="str">
        <f ca="1">IFERROR(__xludf.DUMMYFUNCTION("REGEXEXTRACT(E243, ""ک\s(\d{16})"")
"),"6219861085062957")</f>
        <v>6219861085062957</v>
      </c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</row>
    <row r="244" spans="1:29" ht="25.5" customHeight="1">
      <c r="A244" s="15">
        <v>236</v>
      </c>
      <c r="B244" s="15" t="s">
        <v>617</v>
      </c>
      <c r="C244" s="16" t="s">
        <v>624</v>
      </c>
      <c r="D244" s="16" t="s">
        <v>32</v>
      </c>
      <c r="E244" s="16" t="s">
        <v>638</v>
      </c>
      <c r="F244" s="16"/>
      <c r="G244" s="17" t="str">
        <f ca="1">VLOOKUP(M244, Cards!A:B, 2, FALSE)</f>
        <v>علي ابراهيميان</v>
      </c>
      <c r="H244" s="18">
        <v>0</v>
      </c>
      <c r="I244" s="19">
        <v>12800</v>
      </c>
      <c r="J244" s="20">
        <v>49545500</v>
      </c>
      <c r="K244" s="21" t="s">
        <v>34</v>
      </c>
      <c r="L244" s="16" t="s">
        <v>626</v>
      </c>
      <c r="M244" s="1" t="str">
        <f ca="1">IFERROR(__xludf.DUMMYFUNCTION("REGEXEXTRACT(E244, ""ک\s(\d{16})"")
"),"6219861085062957")</f>
        <v>6219861085062957</v>
      </c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</row>
    <row r="245" spans="1:29" ht="25.5" customHeight="1">
      <c r="A245" s="15">
        <v>237</v>
      </c>
      <c r="B245" s="15" t="s">
        <v>617</v>
      </c>
      <c r="C245" s="16" t="s">
        <v>639</v>
      </c>
      <c r="D245" s="16" t="s">
        <v>71</v>
      </c>
      <c r="E245" s="16" t="s">
        <v>640</v>
      </c>
      <c r="F245" s="16"/>
      <c r="G245" s="17" t="str">
        <f ca="1">VLOOKUP(M245, Cards!A:B, 2, FALSE)</f>
        <v>علي ابراهيميان</v>
      </c>
      <c r="H245" s="18">
        <v>0</v>
      </c>
      <c r="I245" s="19">
        <v>1440</v>
      </c>
      <c r="J245" s="20">
        <v>79558300</v>
      </c>
      <c r="K245" s="21" t="s">
        <v>34</v>
      </c>
      <c r="L245" s="16" t="s">
        <v>641</v>
      </c>
      <c r="M245" s="1" t="str">
        <f ca="1">IFERROR(__xludf.DUMMYFUNCTION("REGEXEXTRACT(E245, ""ک\s(\d{16})"")
"),"6219861085062957")</f>
        <v>6219861085062957</v>
      </c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</row>
    <row r="246" spans="1:29" ht="25.5" customHeight="1">
      <c r="A246" s="15">
        <v>238</v>
      </c>
      <c r="B246" s="15" t="s">
        <v>642</v>
      </c>
      <c r="C246" s="16" t="s">
        <v>643</v>
      </c>
      <c r="D246" s="16" t="s">
        <v>52</v>
      </c>
      <c r="E246" s="16" t="s">
        <v>644</v>
      </c>
      <c r="F246" s="16"/>
      <c r="G246" s="1" t="e">
        <f ca="1">VLOOKUP(M246, Cards!A:B, 2, FALSE)</f>
        <v>#N/A</v>
      </c>
      <c r="H246" s="18">
        <v>80000000</v>
      </c>
      <c r="I246" s="19">
        <v>0</v>
      </c>
      <c r="J246" s="20">
        <v>104545500</v>
      </c>
      <c r="K246" s="21" t="s">
        <v>54</v>
      </c>
      <c r="L246" s="16" t="s">
        <v>645</v>
      </c>
      <c r="M246" s="1" t="str">
        <f ca="1">IFERROR(__xludf.DUMMYFUNCTION("REGEXEXTRACT(E246, ""ک\s(\d{16})"")
"),"#N/A")</f>
        <v>#N/A</v>
      </c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</row>
    <row r="247" spans="1:29" ht="25.5" customHeight="1">
      <c r="A247" s="15">
        <v>239</v>
      </c>
      <c r="B247" s="15" t="s">
        <v>646</v>
      </c>
      <c r="C247" s="16" t="s">
        <v>647</v>
      </c>
      <c r="D247" s="16" t="s">
        <v>32</v>
      </c>
      <c r="E247" s="16" t="s">
        <v>648</v>
      </c>
      <c r="F247" s="16"/>
      <c r="G247" s="17" t="str">
        <f ca="1">VLOOKUP(M247, Cards!A:B, 2, FALSE)</f>
        <v>مصطفي پيراني</v>
      </c>
      <c r="H247" s="18">
        <v>550000</v>
      </c>
      <c r="I247" s="19">
        <v>0</v>
      </c>
      <c r="J247" s="20">
        <v>51791260</v>
      </c>
      <c r="K247" s="21" t="s">
        <v>34</v>
      </c>
      <c r="L247" s="16" t="s">
        <v>649</v>
      </c>
      <c r="M247" s="1" t="str">
        <f ca="1">IFERROR(__xludf.DUMMYFUNCTION("REGEXEXTRACT(E247, ""ک\s(\d{16})"")
"),"5047061133420162")</f>
        <v>5047061133420162</v>
      </c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</row>
    <row r="248" spans="1:29" ht="25.5" customHeight="1">
      <c r="A248" s="15">
        <v>240</v>
      </c>
      <c r="B248" s="15" t="s">
        <v>646</v>
      </c>
      <c r="C248" s="16" t="s">
        <v>650</v>
      </c>
      <c r="D248" s="16" t="s">
        <v>32</v>
      </c>
      <c r="E248" s="16" t="s">
        <v>651</v>
      </c>
      <c r="F248" s="16"/>
      <c r="G248" s="17" t="str">
        <f ca="1">VLOOKUP(M248, Cards!A:B, 2, FALSE)</f>
        <v>مبينا جلال آبادي</v>
      </c>
      <c r="H248" s="18">
        <v>800000</v>
      </c>
      <c r="I248" s="19">
        <v>0</v>
      </c>
      <c r="J248" s="20">
        <v>26016210</v>
      </c>
      <c r="K248" s="21" t="s">
        <v>34</v>
      </c>
      <c r="L248" s="16" t="s">
        <v>652</v>
      </c>
      <c r="M248" s="1" t="str">
        <f ca="1">IFERROR(__xludf.DUMMYFUNCTION("REGEXEXTRACT(E248, ""ک\s(\d{16})"")
"),"5859831222155581")</f>
        <v>5859831222155581</v>
      </c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</row>
    <row r="249" spans="1:29" ht="25.5" customHeight="1">
      <c r="A249" s="15">
        <v>241</v>
      </c>
      <c r="B249" s="15" t="s">
        <v>646</v>
      </c>
      <c r="C249" s="16" t="s">
        <v>653</v>
      </c>
      <c r="D249" s="16" t="s">
        <v>32</v>
      </c>
      <c r="E249" s="16" t="s">
        <v>654</v>
      </c>
      <c r="F249" s="16"/>
      <c r="G249" s="17" t="str">
        <f ca="1">VLOOKUP(M249, Cards!A:B, 2, FALSE)</f>
        <v>محمد کريمي</v>
      </c>
      <c r="H249" s="18">
        <v>0</v>
      </c>
      <c r="I249" s="19">
        <v>26562250</v>
      </c>
      <c r="J249" s="20">
        <v>25229010</v>
      </c>
      <c r="K249" s="21" t="s">
        <v>34</v>
      </c>
      <c r="L249" s="16" t="s">
        <v>655</v>
      </c>
      <c r="M249" s="1" t="str">
        <f ca="1">IFERROR(__xludf.DUMMYFUNCTION("REGEXEXTRACT(E249, ""ک\s(\d{16})"")
"),"5892101643117522")</f>
        <v>5892101643117522</v>
      </c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</row>
    <row r="250" spans="1:29" ht="25.5" customHeight="1">
      <c r="A250" s="15">
        <v>242</v>
      </c>
      <c r="B250" s="15" t="s">
        <v>646</v>
      </c>
      <c r="C250" s="16" t="s">
        <v>656</v>
      </c>
      <c r="D250" s="16" t="s">
        <v>32</v>
      </c>
      <c r="E250" s="16" t="s">
        <v>657</v>
      </c>
      <c r="F250" s="16"/>
      <c r="G250" s="17" t="str">
        <f ca="1">VLOOKUP(M250, Cards!A:B, 2, FALSE)</f>
        <v>محمد خانگاه</v>
      </c>
      <c r="H250" s="18">
        <v>0</v>
      </c>
      <c r="I250" s="19">
        <v>29650000</v>
      </c>
      <c r="J250" s="20">
        <v>51255500</v>
      </c>
      <c r="K250" s="21" t="s">
        <v>34</v>
      </c>
      <c r="L250" s="16" t="s">
        <v>658</v>
      </c>
      <c r="M250" s="1" t="str">
        <f ca="1">IFERROR(__xludf.DUMMYFUNCTION("REGEXEXTRACT(E250, ""ک\s(\d{16})"")
"),"6104338971567579")</f>
        <v>6104338971567579</v>
      </c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</row>
    <row r="251" spans="1:29" ht="25.5" customHeight="1">
      <c r="A251" s="15">
        <v>243</v>
      </c>
      <c r="B251" s="15" t="s">
        <v>646</v>
      </c>
      <c r="C251" s="16" t="s">
        <v>659</v>
      </c>
      <c r="D251" s="16" t="s">
        <v>60</v>
      </c>
      <c r="E251" s="16" t="s">
        <v>660</v>
      </c>
      <c r="F251" s="16"/>
      <c r="G251" s="17" t="str">
        <f ca="1">VLOOKUP(M251, Cards!A:B, 2, FALSE)</f>
        <v>علي ابراهيميان</v>
      </c>
      <c r="H251" s="18">
        <v>0</v>
      </c>
      <c r="I251" s="19">
        <v>11640000</v>
      </c>
      <c r="J251" s="20">
        <v>92905500</v>
      </c>
      <c r="K251" s="21" t="s">
        <v>34</v>
      </c>
      <c r="L251" s="16" t="s">
        <v>661</v>
      </c>
      <c r="M251" s="1" t="str">
        <f ca="1">IFERROR(__xludf.DUMMYFUNCTION("REGEXEXTRACT(E251, ""ک\s(\d{16})"")
"),"6219861085062957")</f>
        <v>6219861085062957</v>
      </c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</row>
    <row r="252" spans="1:29" ht="25.5" customHeight="1">
      <c r="A252" s="15">
        <v>244</v>
      </c>
      <c r="B252" s="15" t="s">
        <v>646</v>
      </c>
      <c r="C252" s="16" t="s">
        <v>662</v>
      </c>
      <c r="D252" s="16" t="s">
        <v>60</v>
      </c>
      <c r="E252" s="16" t="s">
        <v>663</v>
      </c>
      <c r="F252" s="16"/>
      <c r="G252" s="17" t="str">
        <f ca="1">VLOOKUP(M252, Cards!A:B, 2, FALSE)</f>
        <v>علي ابراهيميان</v>
      </c>
      <c r="H252" s="18">
        <v>0</v>
      </c>
      <c r="I252" s="19">
        <v>12000000</v>
      </c>
      <c r="J252" s="20">
        <v>80905500</v>
      </c>
      <c r="K252" s="21" t="s">
        <v>34</v>
      </c>
      <c r="L252" s="16" t="s">
        <v>664</v>
      </c>
      <c r="M252" s="1" t="str">
        <f ca="1">IFERROR(__xludf.DUMMYFUNCTION("REGEXEXTRACT(E252, ""ک\s(\d{16})"")
"),"6219861085062957")</f>
        <v>6219861085062957</v>
      </c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</row>
    <row r="253" spans="1:29" ht="25.5" customHeight="1">
      <c r="A253" s="15">
        <v>245</v>
      </c>
      <c r="B253" s="15" t="s">
        <v>646</v>
      </c>
      <c r="C253" s="16" t="s">
        <v>656</v>
      </c>
      <c r="D253" s="16" t="s">
        <v>32</v>
      </c>
      <c r="E253" s="16" t="s">
        <v>665</v>
      </c>
      <c r="F253" s="16"/>
      <c r="G253" s="17" t="str">
        <f ca="1">VLOOKUP(M253, Cards!A:B, 2, FALSE)</f>
        <v>علي ابراهيميان</v>
      </c>
      <c r="H253" s="18">
        <v>0</v>
      </c>
      <c r="I253" s="19">
        <v>12800</v>
      </c>
      <c r="J253" s="20">
        <v>51242700</v>
      </c>
      <c r="K253" s="21" t="s">
        <v>34</v>
      </c>
      <c r="L253" s="16" t="s">
        <v>658</v>
      </c>
      <c r="M253" s="1" t="str">
        <f ca="1">IFERROR(__xludf.DUMMYFUNCTION("REGEXEXTRACT(E253, ""ک\s(\d{16})"")
"),"6219861085062957")</f>
        <v>6219861085062957</v>
      </c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</row>
    <row r="254" spans="1:29" ht="25.5" customHeight="1">
      <c r="A254" s="15">
        <v>246</v>
      </c>
      <c r="B254" s="15" t="s">
        <v>646</v>
      </c>
      <c r="C254" s="16" t="s">
        <v>653</v>
      </c>
      <c r="D254" s="16" t="s">
        <v>32</v>
      </c>
      <c r="E254" s="16" t="s">
        <v>666</v>
      </c>
      <c r="F254" s="16"/>
      <c r="G254" s="17" t="str">
        <f ca="1">VLOOKUP(M254, Cards!A:B, 2, FALSE)</f>
        <v>علي ابراهيميان</v>
      </c>
      <c r="H254" s="18">
        <v>0</v>
      </c>
      <c r="I254" s="19">
        <v>12800</v>
      </c>
      <c r="J254" s="20">
        <v>25216210</v>
      </c>
      <c r="K254" s="21" t="s">
        <v>34</v>
      </c>
      <c r="L254" s="16" t="s">
        <v>655</v>
      </c>
      <c r="M254" s="1" t="str">
        <f ca="1">IFERROR(__xludf.DUMMYFUNCTION("REGEXEXTRACT(E254, ""ک\s(\d{16})"")
"),"6219861085062957")</f>
        <v>6219861085062957</v>
      </c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</row>
    <row r="255" spans="1:29" ht="25.5" customHeight="1">
      <c r="A255" s="15">
        <v>247</v>
      </c>
      <c r="B255" s="15" t="s">
        <v>646</v>
      </c>
      <c r="C255" s="16" t="s">
        <v>667</v>
      </c>
      <c r="D255" s="16" t="s">
        <v>71</v>
      </c>
      <c r="E255" s="16" t="s">
        <v>668</v>
      </c>
      <c r="F255" s="16"/>
      <c r="G255" s="17" t="str">
        <f ca="1">VLOOKUP(M255, Cards!A:B, 2, FALSE)</f>
        <v>علي ابراهيميان</v>
      </c>
      <c r="H255" s="18">
        <v>0</v>
      </c>
      <c r="I255" s="19">
        <v>1440</v>
      </c>
      <c r="J255" s="20">
        <v>51241260</v>
      </c>
      <c r="K255" s="21" t="s">
        <v>34</v>
      </c>
      <c r="L255" s="16" t="s">
        <v>669</v>
      </c>
      <c r="M255" s="1" t="str">
        <f ca="1">IFERROR(__xludf.DUMMYFUNCTION("REGEXEXTRACT(E255, ""ک\s(\d{16})"")
"),"6219861085062957")</f>
        <v>6219861085062957</v>
      </c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</row>
    <row r="256" spans="1:29" ht="25.5" customHeight="1">
      <c r="A256" s="15">
        <v>248</v>
      </c>
      <c r="B256" s="15" t="s">
        <v>670</v>
      </c>
      <c r="C256" s="16" t="s">
        <v>671</v>
      </c>
      <c r="D256" s="16" t="s">
        <v>32</v>
      </c>
      <c r="E256" s="16" t="s">
        <v>672</v>
      </c>
      <c r="F256" s="16"/>
      <c r="G256" s="17" t="str">
        <f ca="1">VLOOKUP(M256, Cards!A:B, 2, FALSE)</f>
        <v>حسين ميربلوک</v>
      </c>
      <c r="H256" s="18">
        <v>1000000</v>
      </c>
      <c r="I256" s="19">
        <v>0</v>
      </c>
      <c r="J256" s="20">
        <v>47163570</v>
      </c>
      <c r="K256" s="21" t="s">
        <v>34</v>
      </c>
      <c r="L256" s="16" t="s">
        <v>673</v>
      </c>
      <c r="M256" s="1" t="str">
        <f ca="1">IFERROR(__xludf.DUMMYFUNCTION("REGEXEXTRACT(E256, ""ک\s(\d{16})"")
"),"6037697681149024")</f>
        <v>6037697681149024</v>
      </c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</row>
    <row r="257" spans="1:29" ht="25.5" customHeight="1">
      <c r="A257" s="15">
        <v>249</v>
      </c>
      <c r="B257" s="15" t="s">
        <v>670</v>
      </c>
      <c r="C257" s="16" t="s">
        <v>674</v>
      </c>
      <c r="D257" s="16" t="s">
        <v>32</v>
      </c>
      <c r="E257" s="16" t="s">
        <v>675</v>
      </c>
      <c r="F257" s="16"/>
      <c r="G257" s="17" t="str">
        <f ca="1">VLOOKUP(M257, Cards!A:B, 2, FALSE)</f>
        <v>فرزانه مهراسا</v>
      </c>
      <c r="H257" s="18">
        <v>500000</v>
      </c>
      <c r="I257" s="19">
        <v>0</v>
      </c>
      <c r="J257" s="20">
        <v>46163570</v>
      </c>
      <c r="K257" s="21" t="s">
        <v>34</v>
      </c>
      <c r="L257" s="16" t="s">
        <v>676</v>
      </c>
      <c r="M257" s="1" t="str">
        <f ca="1">IFERROR(__xludf.DUMMYFUNCTION("REGEXEXTRACT(E257, ""ک\s(\d{16})"")
"),"6037997272842619")</f>
        <v>6037997272842619</v>
      </c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</row>
    <row r="258" spans="1:29" ht="25.5" customHeight="1">
      <c r="A258" s="15">
        <v>250</v>
      </c>
      <c r="B258" s="15" t="s">
        <v>670</v>
      </c>
      <c r="C258" s="16" t="s">
        <v>677</v>
      </c>
      <c r="D258" s="16" t="s">
        <v>32</v>
      </c>
      <c r="E258" s="16" t="s">
        <v>678</v>
      </c>
      <c r="F258" s="16"/>
      <c r="G258" s="17" t="str">
        <f ca="1">VLOOKUP(M258, Cards!A:B, 2, FALSE)</f>
        <v>ابوالفضل فروتن</v>
      </c>
      <c r="H258" s="18">
        <v>700000</v>
      </c>
      <c r="I258" s="19">
        <v>0</v>
      </c>
      <c r="J258" s="20">
        <v>42363570</v>
      </c>
      <c r="K258" s="21" t="s">
        <v>34</v>
      </c>
      <c r="L258" s="16" t="s">
        <v>679</v>
      </c>
      <c r="M258" s="1" t="str">
        <f ca="1">IFERROR(__xludf.DUMMYFUNCTION("REGEXEXTRACT(E258, ""ک\s(\d{16})"")
"),"6037997446678998")</f>
        <v>6037997446678998</v>
      </c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</row>
    <row r="259" spans="1:29" ht="25.5" customHeight="1">
      <c r="A259" s="15">
        <v>251</v>
      </c>
      <c r="B259" s="15" t="s">
        <v>670</v>
      </c>
      <c r="C259" s="16" t="s">
        <v>680</v>
      </c>
      <c r="D259" s="16" t="s">
        <v>32</v>
      </c>
      <c r="E259" s="16" t="s">
        <v>681</v>
      </c>
      <c r="F259" s="16"/>
      <c r="G259" s="17" t="str">
        <f ca="1">VLOOKUP(M259, Cards!A:B, 2, FALSE)</f>
        <v>محمد خانگاه</v>
      </c>
      <c r="H259" s="18">
        <v>0</v>
      </c>
      <c r="I259" s="19">
        <v>30890000</v>
      </c>
      <c r="J259" s="20">
        <v>93639010</v>
      </c>
      <c r="K259" s="21" t="s">
        <v>34</v>
      </c>
      <c r="L259" s="16" t="s">
        <v>682</v>
      </c>
      <c r="M259" s="1" t="str">
        <f ca="1">IFERROR(__xludf.DUMMYFUNCTION("REGEXEXTRACT(E259, ""ک\s(\d{16})"")
"),"6104338971567579")</f>
        <v>6104338971567579</v>
      </c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</row>
    <row r="260" spans="1:29" ht="25.5" customHeight="1">
      <c r="A260" s="15">
        <v>252</v>
      </c>
      <c r="B260" s="15" t="s">
        <v>670</v>
      </c>
      <c r="C260" s="16" t="s">
        <v>683</v>
      </c>
      <c r="D260" s="16" t="s">
        <v>32</v>
      </c>
      <c r="E260" s="16" t="s">
        <v>684</v>
      </c>
      <c r="F260" s="16"/>
      <c r="G260" s="17" t="str">
        <f ca="1">VLOOKUP(M260, Cards!A:B, 2, FALSE)</f>
        <v>حجت عابدي</v>
      </c>
      <c r="H260" s="18">
        <v>0</v>
      </c>
      <c r="I260" s="19">
        <v>47940000</v>
      </c>
      <c r="J260" s="20">
        <v>45681970</v>
      </c>
      <c r="K260" s="21" t="s">
        <v>34</v>
      </c>
      <c r="L260" s="16" t="s">
        <v>685</v>
      </c>
      <c r="M260" s="1" t="str">
        <f ca="1">IFERROR(__xludf.DUMMYFUNCTION("REGEXEXTRACT(E260, ""ک\s(\d{16})"")
"),"6219861074936021")</f>
        <v>6219861074936021</v>
      </c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</row>
    <row r="261" spans="1:29" ht="25.5" customHeight="1">
      <c r="A261" s="15">
        <v>253</v>
      </c>
      <c r="B261" s="15" t="s">
        <v>670</v>
      </c>
      <c r="C261" s="16" t="s">
        <v>686</v>
      </c>
      <c r="D261" s="16" t="s">
        <v>32</v>
      </c>
      <c r="E261" s="16" t="s">
        <v>687</v>
      </c>
      <c r="F261" s="16"/>
      <c r="G261" s="17" t="str">
        <f ca="1">VLOOKUP(M261, Cards!A:B, 2, FALSE)</f>
        <v>محمد مومني</v>
      </c>
      <c r="H261" s="18">
        <v>0</v>
      </c>
      <c r="I261" s="19">
        <v>3500000</v>
      </c>
      <c r="J261" s="20">
        <v>124536210</v>
      </c>
      <c r="K261" s="21" t="s">
        <v>34</v>
      </c>
      <c r="L261" s="16" t="s">
        <v>688</v>
      </c>
      <c r="M261" s="1" t="str">
        <f ca="1">IFERROR(__xludf.DUMMYFUNCTION("REGEXEXTRACT(E261, ""ک\s(\d{16})"")
"),"6362141055049986")</f>
        <v>6362141055049986</v>
      </c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</row>
    <row r="262" spans="1:29" ht="25.5" customHeight="1">
      <c r="A262" s="15">
        <v>254</v>
      </c>
      <c r="B262" s="15" t="s">
        <v>670</v>
      </c>
      <c r="C262" s="16" t="s">
        <v>689</v>
      </c>
      <c r="D262" s="16" t="s">
        <v>52</v>
      </c>
      <c r="E262" s="16" t="s">
        <v>690</v>
      </c>
      <c r="F262" s="16"/>
      <c r="G262" s="1" t="e">
        <f ca="1">VLOOKUP(M262, Cards!A:B, 2, FALSE)</f>
        <v>#N/A</v>
      </c>
      <c r="H262" s="18">
        <v>52000000</v>
      </c>
      <c r="I262" s="19">
        <v>0</v>
      </c>
      <c r="J262" s="20">
        <v>78016210</v>
      </c>
      <c r="K262" s="21" t="s">
        <v>54</v>
      </c>
      <c r="L262" s="16" t="s">
        <v>691</v>
      </c>
      <c r="M262" s="1" t="str">
        <f ca="1">IFERROR(__xludf.DUMMYFUNCTION("REGEXEXTRACT(E262, ""ک\s(\d{16})"")
"),"#N/A")</f>
        <v>#N/A</v>
      </c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</row>
    <row r="263" spans="1:29" ht="25.5" customHeight="1">
      <c r="A263" s="15">
        <v>255</v>
      </c>
      <c r="B263" s="15" t="s">
        <v>670</v>
      </c>
      <c r="C263" s="16" t="s">
        <v>692</v>
      </c>
      <c r="D263" s="16" t="s">
        <v>52</v>
      </c>
      <c r="E263" s="16" t="s">
        <v>693</v>
      </c>
      <c r="F263" s="16"/>
      <c r="G263" s="1" t="e">
        <f ca="1">VLOOKUP(M263, Cards!A:B, 2, FALSE)</f>
        <v>#N/A</v>
      </c>
      <c r="H263" s="18">
        <v>800000</v>
      </c>
      <c r="I263" s="19">
        <v>0</v>
      </c>
      <c r="J263" s="20">
        <v>78816210</v>
      </c>
      <c r="K263" s="21" t="s">
        <v>54</v>
      </c>
      <c r="L263" s="16" t="s">
        <v>694</v>
      </c>
      <c r="M263" s="1" t="str">
        <f ca="1">IFERROR(__xludf.DUMMYFUNCTION("REGEXEXTRACT(E263, ""ک\s(\d{16})"")
"),"#N/A")</f>
        <v>#N/A</v>
      </c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</row>
    <row r="264" spans="1:29" ht="25.5" customHeight="1">
      <c r="A264" s="15">
        <v>256</v>
      </c>
      <c r="B264" s="15" t="s">
        <v>670</v>
      </c>
      <c r="C264" s="16" t="s">
        <v>695</v>
      </c>
      <c r="D264" s="16" t="s">
        <v>52</v>
      </c>
      <c r="E264" s="16" t="s">
        <v>696</v>
      </c>
      <c r="F264" s="16"/>
      <c r="G264" s="1" t="e">
        <f ca="1">VLOOKUP(M264, Cards!A:B, 2, FALSE)</f>
        <v>#N/A</v>
      </c>
      <c r="H264" s="18">
        <v>49220000</v>
      </c>
      <c r="I264" s="19">
        <v>0</v>
      </c>
      <c r="J264" s="20">
        <v>128036210</v>
      </c>
      <c r="K264" s="21" t="s">
        <v>54</v>
      </c>
      <c r="L264" s="16" t="s">
        <v>697</v>
      </c>
      <c r="M264" s="1" t="str">
        <f ca="1">IFERROR(__xludf.DUMMYFUNCTION("REGEXEXTRACT(E264, ""ک\s(\d{16})"")
"),"#N/A")</f>
        <v>#N/A</v>
      </c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</row>
    <row r="265" spans="1:29" ht="25.5" customHeight="1">
      <c r="A265" s="15">
        <v>257</v>
      </c>
      <c r="B265" s="15" t="s">
        <v>670</v>
      </c>
      <c r="C265" s="16" t="s">
        <v>698</v>
      </c>
      <c r="D265" s="16" t="s">
        <v>60</v>
      </c>
      <c r="E265" s="16" t="s">
        <v>699</v>
      </c>
      <c r="F265" s="16"/>
      <c r="G265" s="17" t="str">
        <f ca="1">VLOOKUP(M265, Cards!A:B, 2, FALSE)</f>
        <v>علي ابراهيميان</v>
      </c>
      <c r="H265" s="18">
        <v>0</v>
      </c>
      <c r="I265" s="19">
        <v>5500000</v>
      </c>
      <c r="J265" s="20">
        <v>41663570</v>
      </c>
      <c r="K265" s="21" t="s">
        <v>34</v>
      </c>
      <c r="L265" s="16" t="s">
        <v>700</v>
      </c>
      <c r="M265" s="1" t="str">
        <f ca="1">IFERROR(__xludf.DUMMYFUNCTION("REGEXEXTRACT(E265, ""ک\s(\d{16})"")
"),"6219861085062957")</f>
        <v>6219861085062957</v>
      </c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</row>
    <row r="266" spans="1:29" ht="25.5" customHeight="1">
      <c r="A266" s="15">
        <v>258</v>
      </c>
      <c r="B266" s="15" t="s">
        <v>670</v>
      </c>
      <c r="C266" s="16" t="s">
        <v>686</v>
      </c>
      <c r="D266" s="16" t="s">
        <v>32</v>
      </c>
      <c r="E266" s="16" t="s">
        <v>701</v>
      </c>
      <c r="F266" s="16"/>
      <c r="G266" s="17" t="str">
        <f ca="1">VLOOKUP(M266, Cards!A:B, 2, FALSE)</f>
        <v>علي ابراهيميان</v>
      </c>
      <c r="H266" s="18">
        <v>0</v>
      </c>
      <c r="I266" s="19">
        <v>7200</v>
      </c>
      <c r="J266" s="20">
        <v>124529010</v>
      </c>
      <c r="K266" s="21" t="s">
        <v>34</v>
      </c>
      <c r="L266" s="16" t="s">
        <v>688</v>
      </c>
      <c r="M266" s="1" t="str">
        <f ca="1">IFERROR(__xludf.DUMMYFUNCTION("REGEXEXTRACT(E266, ""ک\s(\d{16})"")
"),"6219861085062957")</f>
        <v>6219861085062957</v>
      </c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</row>
    <row r="267" spans="1:29" ht="25.5" customHeight="1">
      <c r="A267" s="15">
        <v>259</v>
      </c>
      <c r="B267" s="15" t="s">
        <v>670</v>
      </c>
      <c r="C267" s="16" t="s">
        <v>680</v>
      </c>
      <c r="D267" s="16" t="s">
        <v>32</v>
      </c>
      <c r="E267" s="16" t="s">
        <v>702</v>
      </c>
      <c r="F267" s="16"/>
      <c r="G267" s="17" t="str">
        <f ca="1">VLOOKUP(M267, Cards!A:B, 2, FALSE)</f>
        <v>علي ابراهيميان</v>
      </c>
      <c r="H267" s="18">
        <v>0</v>
      </c>
      <c r="I267" s="19">
        <v>15600</v>
      </c>
      <c r="J267" s="20">
        <v>93623410</v>
      </c>
      <c r="K267" s="21" t="s">
        <v>34</v>
      </c>
      <c r="L267" s="16" t="s">
        <v>682</v>
      </c>
      <c r="M267" s="1" t="str">
        <f ca="1">IFERROR(__xludf.DUMMYFUNCTION("REGEXEXTRACT(E267, ""ک\s(\d{16})"")
"),"6219861085062957")</f>
        <v>6219861085062957</v>
      </c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</row>
    <row r="268" spans="1:29" ht="25.5" customHeight="1">
      <c r="A268" s="15">
        <v>260</v>
      </c>
      <c r="B268" s="15" t="s">
        <v>670</v>
      </c>
      <c r="C268" s="16" t="s">
        <v>683</v>
      </c>
      <c r="D268" s="16" t="s">
        <v>32</v>
      </c>
      <c r="E268" s="16" t="s">
        <v>703</v>
      </c>
      <c r="F268" s="16"/>
      <c r="G268" s="17" t="str">
        <f ca="1">VLOOKUP(M268, Cards!A:B, 2, FALSE)</f>
        <v>علي ابراهيميان</v>
      </c>
      <c r="H268" s="18">
        <v>0</v>
      </c>
      <c r="I268" s="19">
        <v>18400</v>
      </c>
      <c r="J268" s="20">
        <v>45663570</v>
      </c>
      <c r="K268" s="21" t="s">
        <v>34</v>
      </c>
      <c r="L268" s="16" t="s">
        <v>685</v>
      </c>
      <c r="M268" s="1" t="str">
        <f ca="1">IFERROR(__xludf.DUMMYFUNCTION("REGEXEXTRACT(E268, ""ک\s(\d{16})"")
"),"6219861085062957")</f>
        <v>6219861085062957</v>
      </c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</row>
    <row r="269" spans="1:29" ht="25.5" customHeight="1">
      <c r="A269" s="15">
        <v>261</v>
      </c>
      <c r="B269" s="15" t="s">
        <v>670</v>
      </c>
      <c r="C269" s="16" t="s">
        <v>704</v>
      </c>
      <c r="D269" s="16" t="s">
        <v>71</v>
      </c>
      <c r="E269" s="16" t="s">
        <v>705</v>
      </c>
      <c r="F269" s="16"/>
      <c r="G269" s="17" t="str">
        <f ca="1">VLOOKUP(M269, Cards!A:B, 2, FALSE)</f>
        <v>علي ابراهيميان</v>
      </c>
      <c r="H269" s="18">
        <v>0</v>
      </c>
      <c r="I269" s="19">
        <v>1440</v>
      </c>
      <c r="J269" s="20">
        <v>93621970</v>
      </c>
      <c r="K269" s="21" t="s">
        <v>34</v>
      </c>
      <c r="L269" s="16" t="s">
        <v>706</v>
      </c>
      <c r="M269" s="1" t="str">
        <f ca="1">IFERROR(__xludf.DUMMYFUNCTION("REGEXEXTRACT(E269, ""ک\s(\d{16})"")
"),"6219861085062957")</f>
        <v>6219861085062957</v>
      </c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</row>
    <row r="270" spans="1:29" ht="25.5" customHeight="1">
      <c r="A270" s="15">
        <v>262</v>
      </c>
      <c r="B270" s="15" t="s">
        <v>670</v>
      </c>
      <c r="C270" s="16" t="s">
        <v>707</v>
      </c>
      <c r="D270" s="16" t="s">
        <v>71</v>
      </c>
      <c r="E270" s="16" t="s">
        <v>708</v>
      </c>
      <c r="F270" s="16"/>
      <c r="G270" s="17" t="str">
        <f ca="1">VLOOKUP(M270, Cards!A:B, 2, FALSE)</f>
        <v>علي ابراهيميان</v>
      </c>
      <c r="H270" s="18">
        <v>0</v>
      </c>
      <c r="I270" s="19">
        <v>1440</v>
      </c>
      <c r="J270" s="20">
        <v>42362130</v>
      </c>
      <c r="K270" s="21" t="s">
        <v>34</v>
      </c>
      <c r="L270" s="16" t="s">
        <v>709</v>
      </c>
      <c r="M270" s="1" t="str">
        <f ca="1">IFERROR(__xludf.DUMMYFUNCTION("REGEXEXTRACT(E270, ""ک\s(\d{16})"")
"),"6219861085062957")</f>
        <v>6219861085062957</v>
      </c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</row>
    <row r="271" spans="1:29" ht="25.5" customHeight="1">
      <c r="A271" s="15">
        <v>263</v>
      </c>
      <c r="B271" s="15" t="s">
        <v>710</v>
      </c>
      <c r="C271" s="16" t="s">
        <v>711</v>
      </c>
      <c r="D271" s="16" t="s">
        <v>32</v>
      </c>
      <c r="E271" s="16" t="s">
        <v>712</v>
      </c>
      <c r="F271" s="16"/>
      <c r="G271" s="17" t="str">
        <f ca="1">VLOOKUP(M271, Cards!A:B, 2, FALSE)</f>
        <v>محمدرضا جهانديده</v>
      </c>
      <c r="H271" s="18">
        <v>1100000</v>
      </c>
      <c r="I271" s="19">
        <v>0</v>
      </c>
      <c r="J271" s="20">
        <v>35232290</v>
      </c>
      <c r="K271" s="21" t="s">
        <v>34</v>
      </c>
      <c r="L271" s="16" t="s">
        <v>713</v>
      </c>
      <c r="M271" s="1" t="str">
        <f ca="1">IFERROR(__xludf.DUMMYFUNCTION("REGEXEXTRACT(E271, ""ک\s(\d{16})"")
"),"5892101317227359")</f>
        <v>5892101317227359</v>
      </c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</row>
    <row r="272" spans="1:29" ht="25.5" customHeight="1">
      <c r="A272" s="15">
        <v>264</v>
      </c>
      <c r="B272" s="15" t="s">
        <v>710</v>
      </c>
      <c r="C272" s="16" t="s">
        <v>714</v>
      </c>
      <c r="D272" s="16" t="s">
        <v>32</v>
      </c>
      <c r="E272" s="16" t="s">
        <v>715</v>
      </c>
      <c r="F272" s="16"/>
      <c r="G272" s="17" t="str">
        <f ca="1">VLOOKUP(M272, Cards!A:B, 2, FALSE)</f>
        <v>محمد نقدبيشي</v>
      </c>
      <c r="H272" s="18">
        <v>600000</v>
      </c>
      <c r="I272" s="19">
        <v>0</v>
      </c>
      <c r="J272" s="20">
        <v>35832290</v>
      </c>
      <c r="K272" s="21" t="s">
        <v>34</v>
      </c>
      <c r="L272" s="16" t="s">
        <v>716</v>
      </c>
      <c r="M272" s="1" t="str">
        <f ca="1">IFERROR(__xludf.DUMMYFUNCTION("REGEXEXTRACT(E272, ""ک\s(\d{16})"")
"),"6037991784282307")</f>
        <v>6037991784282307</v>
      </c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</row>
    <row r="273" spans="1:29" ht="25.5" customHeight="1">
      <c r="A273" s="15">
        <v>265</v>
      </c>
      <c r="B273" s="15" t="s">
        <v>710</v>
      </c>
      <c r="C273" s="16" t="s">
        <v>717</v>
      </c>
      <c r="D273" s="16" t="s">
        <v>32</v>
      </c>
      <c r="E273" s="16" t="s">
        <v>718</v>
      </c>
      <c r="F273" s="16"/>
      <c r="G273" s="17" t="str">
        <f ca="1">VLOOKUP(M273, Cards!A:B, 2, FALSE)</f>
        <v>اميد قره بيات</v>
      </c>
      <c r="H273" s="18">
        <v>1800000</v>
      </c>
      <c r="I273" s="19">
        <v>0</v>
      </c>
      <c r="J273" s="20">
        <v>39080850</v>
      </c>
      <c r="K273" s="21" t="s">
        <v>34</v>
      </c>
      <c r="L273" s="16" t="s">
        <v>719</v>
      </c>
      <c r="M273" s="1" t="str">
        <f ca="1">IFERROR(__xludf.DUMMYFUNCTION("REGEXEXTRACT(E273, ""ک\s(\d{16})"")
"),"6037697418797186")</f>
        <v>6037697418797186</v>
      </c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</row>
    <row r="274" spans="1:29" ht="25.5" customHeight="1">
      <c r="A274" s="15">
        <v>266</v>
      </c>
      <c r="B274" s="15" t="s">
        <v>710</v>
      </c>
      <c r="C274" s="16" t="s">
        <v>720</v>
      </c>
      <c r="D274" s="16" t="s">
        <v>32</v>
      </c>
      <c r="E274" s="16" t="s">
        <v>721</v>
      </c>
      <c r="F274" s="16"/>
      <c r="G274" s="17" t="str">
        <f ca="1">VLOOKUP(M274, Cards!A:B, 2, FALSE)</f>
        <v>نيره منتظري</v>
      </c>
      <c r="H274" s="18">
        <v>0</v>
      </c>
      <c r="I274" s="19">
        <v>50000000</v>
      </c>
      <c r="J274" s="20">
        <v>91540690</v>
      </c>
      <c r="K274" s="21" t="s">
        <v>34</v>
      </c>
      <c r="L274" s="16" t="s">
        <v>722</v>
      </c>
      <c r="M274" s="1" t="str">
        <f ca="1">IFERROR(__xludf.DUMMYFUNCTION("REGEXEXTRACT(E274, ""ک\s(\d{16})"")
"),"6219861073786146")</f>
        <v>6219861073786146</v>
      </c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</row>
    <row r="275" spans="1:29" ht="25.5" customHeight="1">
      <c r="A275" s="15">
        <v>267</v>
      </c>
      <c r="B275" s="15" t="s">
        <v>710</v>
      </c>
      <c r="C275" s="16" t="s">
        <v>723</v>
      </c>
      <c r="D275" s="16" t="s">
        <v>312</v>
      </c>
      <c r="E275" s="16" t="s">
        <v>724</v>
      </c>
      <c r="F275" s="16"/>
      <c r="G275" s="1" t="e">
        <f ca="1">VLOOKUP(M275, Cards!A:B, 2, FALSE)</f>
        <v>#N/A</v>
      </c>
      <c r="H275" s="18">
        <v>1450000</v>
      </c>
      <c r="I275" s="19">
        <v>0</v>
      </c>
      <c r="J275" s="20">
        <v>37282290</v>
      </c>
      <c r="K275" s="21" t="s">
        <v>314</v>
      </c>
      <c r="L275" s="16" t="s">
        <v>725</v>
      </c>
      <c r="M275" s="1" t="str">
        <f ca="1">IFERROR(__xludf.DUMMYFUNCTION("REGEXEXTRACT(E275, ""ک\s(\d{16})"")
"),"#N/A")</f>
        <v>#N/A</v>
      </c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</row>
    <row r="276" spans="1:29" ht="25.5" customHeight="1">
      <c r="A276" s="15">
        <v>268</v>
      </c>
      <c r="B276" s="15" t="s">
        <v>710</v>
      </c>
      <c r="C276" s="16" t="s">
        <v>726</v>
      </c>
      <c r="D276" s="16" t="s">
        <v>52</v>
      </c>
      <c r="E276" s="16" t="s">
        <v>727</v>
      </c>
      <c r="F276" s="16"/>
      <c r="G276" s="1" t="e">
        <f ca="1">VLOOKUP(M276, Cards!A:B, 2, FALSE)</f>
        <v>#N/A</v>
      </c>
      <c r="H276" s="18">
        <v>50000000</v>
      </c>
      <c r="I276" s="19">
        <v>0</v>
      </c>
      <c r="J276" s="20">
        <v>141522290</v>
      </c>
      <c r="K276" s="21" t="s">
        <v>54</v>
      </c>
      <c r="L276" s="16" t="s">
        <v>728</v>
      </c>
      <c r="M276" s="1" t="str">
        <f ca="1">IFERROR(__xludf.DUMMYFUNCTION("REGEXEXTRACT(E276, ""ک\s(\d{16})"")
"),"#N/A")</f>
        <v>#N/A</v>
      </c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</row>
    <row r="277" spans="1:29" ht="25.5" customHeight="1">
      <c r="A277" s="15">
        <v>269</v>
      </c>
      <c r="B277" s="15" t="s">
        <v>710</v>
      </c>
      <c r="C277" s="16" t="s">
        <v>729</v>
      </c>
      <c r="D277" s="16" t="s">
        <v>52</v>
      </c>
      <c r="E277" s="16" t="s">
        <v>730</v>
      </c>
      <c r="F277" s="16"/>
      <c r="G277" s="1" t="e">
        <f ca="1">VLOOKUP(M277, Cards!A:B, 2, FALSE)</f>
        <v>#N/A</v>
      </c>
      <c r="H277" s="18">
        <v>36000000</v>
      </c>
      <c r="I277" s="19">
        <v>0</v>
      </c>
      <c r="J277" s="20">
        <v>78362130</v>
      </c>
      <c r="K277" s="21" t="s">
        <v>54</v>
      </c>
      <c r="L277" s="16" t="s">
        <v>731</v>
      </c>
      <c r="M277" s="1" t="str">
        <f ca="1">IFERROR(__xludf.DUMMYFUNCTION("REGEXEXTRACT(E277, ""ک\s(\d{16})"")
"),"#N/A")</f>
        <v>#N/A</v>
      </c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</row>
    <row r="278" spans="1:29" ht="25.5" customHeight="1">
      <c r="A278" s="15">
        <v>270</v>
      </c>
      <c r="B278" s="15" t="s">
        <v>710</v>
      </c>
      <c r="C278" s="16" t="s">
        <v>732</v>
      </c>
      <c r="D278" s="16" t="s">
        <v>52</v>
      </c>
      <c r="E278" s="16" t="s">
        <v>733</v>
      </c>
      <c r="F278" s="16"/>
      <c r="G278" s="1" t="e">
        <f ca="1">VLOOKUP(M278, Cards!A:B, 2, FALSE)</f>
        <v>#N/A</v>
      </c>
      <c r="H278" s="18">
        <v>87000000</v>
      </c>
      <c r="I278" s="19">
        <v>0</v>
      </c>
      <c r="J278" s="20">
        <v>165362130</v>
      </c>
      <c r="K278" s="21" t="s">
        <v>54</v>
      </c>
      <c r="L278" s="16" t="s">
        <v>734</v>
      </c>
      <c r="M278" s="1" t="str">
        <f ca="1">IFERROR(__xludf.DUMMYFUNCTION("REGEXEXTRACT(E278, ""ک\s(\d{16})"")
"),"#N/A")</f>
        <v>#N/A</v>
      </c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</row>
    <row r="279" spans="1:29" ht="25.5" customHeight="1">
      <c r="A279" s="15">
        <v>271</v>
      </c>
      <c r="B279" s="15" t="s">
        <v>710</v>
      </c>
      <c r="C279" s="16" t="s">
        <v>735</v>
      </c>
      <c r="D279" s="16" t="s">
        <v>60</v>
      </c>
      <c r="E279" s="16" t="s">
        <v>736</v>
      </c>
      <c r="F279" s="16"/>
      <c r="G279" s="17" t="str">
        <f ca="1">VLOOKUP(M279, Cards!A:B, 2, FALSE)</f>
        <v>علي ابراهيميان</v>
      </c>
      <c r="H279" s="18">
        <v>0</v>
      </c>
      <c r="I279" s="19">
        <v>600000</v>
      </c>
      <c r="J279" s="20">
        <v>34132290</v>
      </c>
      <c r="K279" s="21" t="s">
        <v>34</v>
      </c>
      <c r="L279" s="16" t="s">
        <v>737</v>
      </c>
      <c r="M279" s="1" t="str">
        <f ca="1">IFERROR(__xludf.DUMMYFUNCTION("REGEXEXTRACT(E279, ""ک\s(\d{16})"")
"),"6219861085062957")</f>
        <v>6219861085062957</v>
      </c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</row>
    <row r="280" spans="1:29" ht="25.5" customHeight="1">
      <c r="A280" s="15">
        <v>272</v>
      </c>
      <c r="B280" s="15" t="s">
        <v>710</v>
      </c>
      <c r="C280" s="16" t="s">
        <v>738</v>
      </c>
      <c r="D280" s="16" t="s">
        <v>60</v>
      </c>
      <c r="E280" s="16" t="s">
        <v>739</v>
      </c>
      <c r="F280" s="16"/>
      <c r="G280" s="17" t="str">
        <f ca="1">VLOOKUP(M280, Cards!A:B, 2, FALSE)</f>
        <v>علي ابراهيميان</v>
      </c>
      <c r="H280" s="18">
        <v>0</v>
      </c>
      <c r="I280" s="19">
        <v>12180000</v>
      </c>
      <c r="J280" s="20">
        <v>141542130</v>
      </c>
      <c r="K280" s="21" t="s">
        <v>34</v>
      </c>
      <c r="L280" s="16" t="s">
        <v>740</v>
      </c>
      <c r="M280" s="1" t="str">
        <f ca="1">IFERROR(__xludf.DUMMYFUNCTION("REGEXEXTRACT(E280, ""ک\s(\d{16})"")
"),"6219861085062957")</f>
        <v>6219861085062957</v>
      </c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</row>
    <row r="281" spans="1:29" ht="25.5" customHeight="1">
      <c r="A281" s="15">
        <v>273</v>
      </c>
      <c r="B281" s="15" t="s">
        <v>710</v>
      </c>
      <c r="C281" s="16" t="s">
        <v>741</v>
      </c>
      <c r="D281" s="16" t="s">
        <v>60</v>
      </c>
      <c r="E281" s="16" t="s">
        <v>742</v>
      </c>
      <c r="F281" s="16"/>
      <c r="G281" s="17" t="str">
        <f ca="1">VLOOKUP(M281, Cards!A:B, 2, FALSE)</f>
        <v>علي ابراهيميان</v>
      </c>
      <c r="H281" s="18">
        <v>0</v>
      </c>
      <c r="I281" s="19">
        <v>1000000</v>
      </c>
      <c r="J281" s="20">
        <v>34732290</v>
      </c>
      <c r="K281" s="21" t="s">
        <v>34</v>
      </c>
      <c r="L281" s="16" t="s">
        <v>743</v>
      </c>
      <c r="M281" s="1" t="str">
        <f ca="1">IFERROR(__xludf.DUMMYFUNCTION("REGEXEXTRACT(E281, ""ک\s(\d{16})"")
"),"6219861085062957")</f>
        <v>6219861085062957</v>
      </c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</row>
    <row r="282" spans="1:29" ht="25.5" customHeight="1">
      <c r="A282" s="15">
        <v>274</v>
      </c>
      <c r="B282" s="15" t="s">
        <v>710</v>
      </c>
      <c r="C282" s="16" t="s">
        <v>744</v>
      </c>
      <c r="D282" s="16" t="s">
        <v>60</v>
      </c>
      <c r="E282" s="16" t="s">
        <v>745</v>
      </c>
      <c r="F282" s="16"/>
      <c r="G282" s="17" t="str">
        <f ca="1">VLOOKUP(M282, Cards!A:B, 2, FALSE)</f>
        <v>علي ابراهيميان</v>
      </c>
      <c r="H282" s="18">
        <v>0</v>
      </c>
      <c r="I282" s="19">
        <v>105790000</v>
      </c>
      <c r="J282" s="20">
        <v>35732290</v>
      </c>
      <c r="K282" s="21" t="s">
        <v>34</v>
      </c>
      <c r="L282" s="16" t="s">
        <v>746</v>
      </c>
      <c r="M282" s="1" t="str">
        <f ca="1">IFERROR(__xludf.DUMMYFUNCTION("REGEXEXTRACT(E282, ""ک\s(\d{16})"")
"),"6219861085062957")</f>
        <v>6219861085062957</v>
      </c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</row>
    <row r="283" spans="1:29" ht="25.5" customHeight="1">
      <c r="A283" s="15">
        <v>275</v>
      </c>
      <c r="B283" s="15" t="s">
        <v>710</v>
      </c>
      <c r="C283" s="16" t="s">
        <v>747</v>
      </c>
      <c r="D283" s="16" t="s">
        <v>60</v>
      </c>
      <c r="E283" s="16" t="s">
        <v>748</v>
      </c>
      <c r="F283" s="16"/>
      <c r="G283" s="17" t="str">
        <f ca="1">VLOOKUP(M283, Cards!A:B, 2, FALSE)</f>
        <v>علي ابراهيميان</v>
      </c>
      <c r="H283" s="18">
        <v>0</v>
      </c>
      <c r="I283" s="19">
        <v>11640000</v>
      </c>
      <c r="J283" s="20">
        <v>153722130</v>
      </c>
      <c r="K283" s="21" t="s">
        <v>34</v>
      </c>
      <c r="L283" s="16" t="s">
        <v>749</v>
      </c>
      <c r="M283" s="1" t="str">
        <f ca="1">IFERROR(__xludf.DUMMYFUNCTION("REGEXEXTRACT(E283, ""ک\s(\d{16})"")
"),"6219861085062957")</f>
        <v>6219861085062957</v>
      </c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</row>
    <row r="284" spans="1:29" ht="25.5" customHeight="1">
      <c r="A284" s="15">
        <v>276</v>
      </c>
      <c r="B284" s="15" t="s">
        <v>710</v>
      </c>
      <c r="C284" s="16" t="s">
        <v>720</v>
      </c>
      <c r="D284" s="16" t="s">
        <v>32</v>
      </c>
      <c r="E284" s="16" t="s">
        <v>750</v>
      </c>
      <c r="F284" s="16"/>
      <c r="G284" s="17" t="str">
        <f ca="1">VLOOKUP(M284, Cards!A:B, 2, FALSE)</f>
        <v>علي ابراهيميان</v>
      </c>
      <c r="H284" s="18">
        <v>0</v>
      </c>
      <c r="I284" s="19">
        <v>18400</v>
      </c>
      <c r="J284" s="20">
        <v>91522290</v>
      </c>
      <c r="K284" s="21" t="s">
        <v>34</v>
      </c>
      <c r="L284" s="16" t="s">
        <v>722</v>
      </c>
      <c r="M284" s="1" t="str">
        <f ca="1">IFERROR(__xludf.DUMMYFUNCTION("REGEXEXTRACT(E284, ""ک\s(\d{16})"")
"),"6219861085062957")</f>
        <v>6219861085062957</v>
      </c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</row>
    <row r="285" spans="1:29" ht="25.5" customHeight="1">
      <c r="A285" s="15">
        <v>277</v>
      </c>
      <c r="B285" s="15" t="s">
        <v>710</v>
      </c>
      <c r="C285" s="16" t="s">
        <v>751</v>
      </c>
      <c r="D285" s="16" t="s">
        <v>71</v>
      </c>
      <c r="E285" s="16" t="s">
        <v>752</v>
      </c>
      <c r="F285" s="16"/>
      <c r="G285" s="17" t="str">
        <f ca="1">VLOOKUP(M285, Cards!A:B, 2, FALSE)</f>
        <v>علي ابراهيميان</v>
      </c>
      <c r="H285" s="18">
        <v>0</v>
      </c>
      <c r="I285" s="19">
        <v>1440</v>
      </c>
      <c r="J285" s="20">
        <v>141540690</v>
      </c>
      <c r="K285" s="21" t="s">
        <v>34</v>
      </c>
      <c r="L285" s="16" t="s">
        <v>753</v>
      </c>
      <c r="M285" s="1" t="str">
        <f ca="1">IFERROR(__xludf.DUMMYFUNCTION("REGEXEXTRACT(E285, ""ک\s(\d{16})"")
"),"6219861085062957")</f>
        <v>6219861085062957</v>
      </c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</row>
    <row r="286" spans="1:29" ht="25.5" customHeight="1">
      <c r="A286" s="15">
        <v>278</v>
      </c>
      <c r="B286" s="15" t="s">
        <v>710</v>
      </c>
      <c r="C286" s="16" t="s">
        <v>754</v>
      </c>
      <c r="D286" s="16" t="s">
        <v>71</v>
      </c>
      <c r="E286" s="16" t="s">
        <v>755</v>
      </c>
      <c r="F286" s="16"/>
      <c r="G286" s="17" t="str">
        <f ca="1">VLOOKUP(M286, Cards!A:B, 2, FALSE)</f>
        <v>علي ابراهيميان</v>
      </c>
      <c r="H286" s="18">
        <v>0</v>
      </c>
      <c r="I286" s="19">
        <v>1440</v>
      </c>
      <c r="J286" s="20">
        <v>37280850</v>
      </c>
      <c r="K286" s="21" t="s">
        <v>34</v>
      </c>
      <c r="L286" s="16" t="s">
        <v>756</v>
      </c>
      <c r="M286" s="1" t="str">
        <f ca="1">IFERROR(__xludf.DUMMYFUNCTION("REGEXEXTRACT(E286, ""ک\s(\d{16})"")
"),"6219861085062957")</f>
        <v>6219861085062957</v>
      </c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</row>
    <row r="287" spans="1:29" ht="25.5" customHeight="1">
      <c r="A287" s="15">
        <v>279</v>
      </c>
      <c r="B287" s="15" t="s">
        <v>710</v>
      </c>
      <c r="C287" s="16" t="s">
        <v>757</v>
      </c>
      <c r="D287" s="16" t="s">
        <v>71</v>
      </c>
      <c r="E287" s="16" t="s">
        <v>758</v>
      </c>
      <c r="F287" s="16"/>
      <c r="G287" s="17" t="str">
        <f ca="1">VLOOKUP(M287, Cards!A:B, 2, FALSE)</f>
        <v>علي ابراهيميان</v>
      </c>
      <c r="H287" s="18">
        <v>0</v>
      </c>
      <c r="I287" s="19">
        <v>1440</v>
      </c>
      <c r="J287" s="20">
        <v>39079410</v>
      </c>
      <c r="K287" s="21" t="s">
        <v>34</v>
      </c>
      <c r="L287" s="16" t="s">
        <v>759</v>
      </c>
      <c r="M287" s="1" t="str">
        <f ca="1">IFERROR(__xludf.DUMMYFUNCTION("REGEXEXTRACT(E287, ""ک\s(\d{16})"")
"),"6219861085062957")</f>
        <v>6219861085062957</v>
      </c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</row>
    <row r="288" spans="1:29" ht="25.5" customHeight="1">
      <c r="A288" s="15">
        <v>280</v>
      </c>
      <c r="B288" s="15" t="s">
        <v>760</v>
      </c>
      <c r="C288" s="16" t="s">
        <v>761</v>
      </c>
      <c r="D288" s="16" t="s">
        <v>32</v>
      </c>
      <c r="E288" s="16" t="s">
        <v>762</v>
      </c>
      <c r="F288" s="16"/>
      <c r="G288" s="17" t="str">
        <f ca="1">VLOOKUP(M288, Cards!A:B, 2, FALSE)</f>
        <v>علي پرنيان</v>
      </c>
      <c r="H288" s="18">
        <v>520000</v>
      </c>
      <c r="I288" s="19">
        <v>0</v>
      </c>
      <c r="J288" s="20">
        <v>150599410</v>
      </c>
      <c r="K288" s="21" t="s">
        <v>34</v>
      </c>
      <c r="L288" s="16" t="s">
        <v>763</v>
      </c>
      <c r="M288" s="1" t="str">
        <f ca="1">IFERROR(__xludf.DUMMYFUNCTION("REGEXEXTRACT(E288, ""ک\s(\d{16})"")
"),"6221061056823190")</f>
        <v>6221061056823190</v>
      </c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</row>
    <row r="289" spans="1:29" ht="25.5" customHeight="1">
      <c r="A289" s="15">
        <v>281</v>
      </c>
      <c r="B289" s="15" t="s">
        <v>760</v>
      </c>
      <c r="C289" s="16" t="s">
        <v>764</v>
      </c>
      <c r="D289" s="16" t="s">
        <v>32</v>
      </c>
      <c r="E289" s="16" t="s">
        <v>765</v>
      </c>
      <c r="F289" s="16"/>
      <c r="G289" s="17" t="str">
        <f ca="1">VLOOKUP(M289, Cards!A:B, 2, FALSE)</f>
        <v>حسين ميربلوک</v>
      </c>
      <c r="H289" s="18">
        <v>550000</v>
      </c>
      <c r="I289" s="19">
        <v>0</v>
      </c>
      <c r="J289" s="20">
        <v>95350110</v>
      </c>
      <c r="K289" s="21" t="s">
        <v>34</v>
      </c>
      <c r="L289" s="16" t="s">
        <v>766</v>
      </c>
      <c r="M289" s="1" t="str">
        <f ca="1">IFERROR(__xludf.DUMMYFUNCTION("REGEXEXTRACT(E289, ""ک\s(\d{16})"")
"),"6037697681149024")</f>
        <v>6037697681149024</v>
      </c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</row>
    <row r="290" spans="1:29" ht="25.5" customHeight="1">
      <c r="A290" s="15">
        <v>282</v>
      </c>
      <c r="B290" s="15" t="s">
        <v>760</v>
      </c>
      <c r="C290" s="16" t="s">
        <v>767</v>
      </c>
      <c r="D290" s="16" t="s">
        <v>32</v>
      </c>
      <c r="E290" s="16" t="s">
        <v>768</v>
      </c>
      <c r="F290" s="16"/>
      <c r="G290" s="17" t="str">
        <f ca="1">VLOOKUP(M290, Cards!A:B, 2, FALSE)</f>
        <v>معصومه دماوندي</v>
      </c>
      <c r="H290" s="18">
        <v>550000</v>
      </c>
      <c r="I290" s="19">
        <v>0</v>
      </c>
      <c r="J290" s="20">
        <v>96498670</v>
      </c>
      <c r="K290" s="21" t="s">
        <v>34</v>
      </c>
      <c r="L290" s="16" t="s">
        <v>769</v>
      </c>
      <c r="M290" s="1" t="str">
        <f ca="1">IFERROR(__xludf.DUMMYFUNCTION("REGEXEXTRACT(E290, ""ک\s(\d{16})"")
"),"5894631179149984")</f>
        <v>5894631179149984</v>
      </c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</row>
    <row r="291" spans="1:29" ht="25.5" customHeight="1">
      <c r="A291" s="15">
        <v>283</v>
      </c>
      <c r="B291" s="15" t="s">
        <v>760</v>
      </c>
      <c r="C291" s="16" t="s">
        <v>770</v>
      </c>
      <c r="D291" s="16" t="s">
        <v>32</v>
      </c>
      <c r="E291" s="16" t="s">
        <v>771</v>
      </c>
      <c r="F291" s="16"/>
      <c r="G291" s="17" t="str">
        <f ca="1">VLOOKUP(M291, Cards!A:B, 2, FALSE)</f>
        <v>زهرا قدمگاهي</v>
      </c>
      <c r="H291" s="18">
        <v>600000</v>
      </c>
      <c r="I291" s="19">
        <v>0</v>
      </c>
      <c r="J291" s="20">
        <v>95950110</v>
      </c>
      <c r="K291" s="21" t="s">
        <v>34</v>
      </c>
      <c r="L291" s="16" t="s">
        <v>772</v>
      </c>
      <c r="M291" s="1" t="str">
        <f ca="1">IFERROR(__xludf.DUMMYFUNCTION("REGEXEXTRACT(E291, ""ک\s(\d{16})"")
"),"6037991528641214")</f>
        <v>6037991528641214</v>
      </c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</row>
    <row r="292" spans="1:29" ht="25.5" customHeight="1">
      <c r="A292" s="15">
        <v>284</v>
      </c>
      <c r="B292" s="15" t="s">
        <v>760</v>
      </c>
      <c r="C292" s="16" t="s">
        <v>773</v>
      </c>
      <c r="D292" s="16" t="s">
        <v>32</v>
      </c>
      <c r="E292" s="16" t="s">
        <v>774</v>
      </c>
      <c r="F292" s="16"/>
      <c r="G292" s="17" t="str">
        <f ca="1">VLOOKUP(M292, Cards!A:B, 2, FALSE)</f>
        <v>محمد خانگاه</v>
      </c>
      <c r="H292" s="18">
        <v>0</v>
      </c>
      <c r="I292" s="19">
        <v>38300000</v>
      </c>
      <c r="J292" s="20">
        <v>687230</v>
      </c>
      <c r="K292" s="21" t="s">
        <v>34</v>
      </c>
      <c r="L292" s="16" t="s">
        <v>775</v>
      </c>
      <c r="M292" s="1" t="str">
        <f ca="1">IFERROR(__xludf.DUMMYFUNCTION("REGEXEXTRACT(E292, ""ک\s(\d{16})"")
"),"6104338971567579")</f>
        <v>6104338971567579</v>
      </c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</row>
    <row r="293" spans="1:29" ht="25.5" customHeight="1">
      <c r="A293" s="15">
        <v>285</v>
      </c>
      <c r="B293" s="15" t="s">
        <v>760</v>
      </c>
      <c r="C293" s="16" t="s">
        <v>776</v>
      </c>
      <c r="D293" s="16" t="s">
        <v>32</v>
      </c>
      <c r="E293" s="16" t="s">
        <v>777</v>
      </c>
      <c r="F293" s="16"/>
      <c r="G293" s="17" t="str">
        <f ca="1">VLOOKUP(M293, Cards!A:B, 2, FALSE)</f>
        <v>مجيد شجاع پور</v>
      </c>
      <c r="H293" s="18">
        <v>0</v>
      </c>
      <c r="I293" s="19">
        <v>11720000</v>
      </c>
      <c r="J293" s="20">
        <v>138879410</v>
      </c>
      <c r="K293" s="21" t="s">
        <v>34</v>
      </c>
      <c r="L293" s="16" t="s">
        <v>778</v>
      </c>
      <c r="M293" s="1" t="str">
        <f ca="1">IFERROR(__xludf.DUMMYFUNCTION("REGEXEXTRACT(E293, ""ک\s(\d{16})"")
"),"5892101626109181")</f>
        <v>5892101626109181</v>
      </c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</row>
    <row r="294" spans="1:29" ht="25.5" customHeight="1">
      <c r="A294" s="15">
        <v>286</v>
      </c>
      <c r="B294" s="15" t="s">
        <v>760</v>
      </c>
      <c r="C294" s="16" t="s">
        <v>779</v>
      </c>
      <c r="D294" s="16" t="s">
        <v>32</v>
      </c>
      <c r="E294" s="16" t="s">
        <v>780</v>
      </c>
      <c r="F294" s="16"/>
      <c r="G294" s="17" t="str">
        <f ca="1">VLOOKUP(M294, Cards!A:B, 2, FALSE)</f>
        <v>محمد کريمي</v>
      </c>
      <c r="H294" s="18">
        <v>0</v>
      </c>
      <c r="I294" s="19">
        <v>17426500</v>
      </c>
      <c r="J294" s="20">
        <v>94810110</v>
      </c>
      <c r="K294" s="21" t="s">
        <v>34</v>
      </c>
      <c r="L294" s="16" t="s">
        <v>781</v>
      </c>
      <c r="M294" s="1" t="str">
        <f ca="1">IFERROR(__xludf.DUMMYFUNCTION("REGEXEXTRACT(E294, ""ک\s(\d{16})"")
"),"5892101643117522")</f>
        <v>5892101643117522</v>
      </c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</row>
    <row r="295" spans="1:29" ht="25.5" customHeight="1">
      <c r="A295" s="15">
        <v>287</v>
      </c>
      <c r="B295" s="15" t="s">
        <v>760</v>
      </c>
      <c r="C295" s="16" t="s">
        <v>782</v>
      </c>
      <c r="D295" s="16" t="s">
        <v>32</v>
      </c>
      <c r="E295" s="16" t="s">
        <v>783</v>
      </c>
      <c r="F295" s="16"/>
      <c r="G295" s="17" t="str">
        <f ca="1">VLOOKUP(M295, Cards!A:B, 2, FALSE)</f>
        <v>محمد خانگاه</v>
      </c>
      <c r="H295" s="18">
        <v>0</v>
      </c>
      <c r="I295" s="19">
        <v>26620000</v>
      </c>
      <c r="J295" s="20">
        <v>112249410</v>
      </c>
      <c r="K295" s="21" t="s">
        <v>34</v>
      </c>
      <c r="L295" s="16" t="s">
        <v>784</v>
      </c>
      <c r="M295" s="1" t="str">
        <f ca="1">IFERROR(__xludf.DUMMYFUNCTION("REGEXEXTRACT(E295, ""ک\s(\d{16})"")
"),"6104338971567579")</f>
        <v>6104338971567579</v>
      </c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</row>
    <row r="296" spans="1:29" ht="25.5" customHeight="1">
      <c r="A296" s="15">
        <v>288</v>
      </c>
      <c r="B296" s="15" t="s">
        <v>760</v>
      </c>
      <c r="C296" s="16" t="s">
        <v>785</v>
      </c>
      <c r="D296" s="16" t="s">
        <v>312</v>
      </c>
      <c r="E296" s="16" t="s">
        <v>786</v>
      </c>
      <c r="F296" s="16"/>
      <c r="G296" s="1" t="e">
        <f ca="1">VLOOKUP(M296, Cards!A:B, 2, FALSE)</f>
        <v>#N/A</v>
      </c>
      <c r="H296" s="18">
        <v>1400000</v>
      </c>
      <c r="I296" s="19">
        <v>0</v>
      </c>
      <c r="J296" s="20">
        <v>47898670</v>
      </c>
      <c r="K296" s="21" t="s">
        <v>314</v>
      </c>
      <c r="L296" s="16" t="s">
        <v>787</v>
      </c>
      <c r="M296" s="1" t="str">
        <f ca="1">IFERROR(__xludf.DUMMYFUNCTION("REGEXEXTRACT(E296, ""ک\s(\d{16})"")
"),"#N/A")</f>
        <v>#N/A</v>
      </c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</row>
    <row r="297" spans="1:29" ht="25.5" customHeight="1">
      <c r="A297" s="15">
        <v>289</v>
      </c>
      <c r="B297" s="15" t="s">
        <v>760</v>
      </c>
      <c r="C297" s="16" t="s">
        <v>788</v>
      </c>
      <c r="D297" s="16" t="s">
        <v>52</v>
      </c>
      <c r="E297" s="16" t="s">
        <v>789</v>
      </c>
      <c r="F297" s="16"/>
      <c r="G297" s="1" t="e">
        <f ca="1">VLOOKUP(M297, Cards!A:B, 2, FALSE)</f>
        <v>#N/A</v>
      </c>
      <c r="H297" s="18">
        <v>32000000</v>
      </c>
      <c r="I297" s="19">
        <v>0</v>
      </c>
      <c r="J297" s="20">
        <v>71079410</v>
      </c>
      <c r="K297" s="21" t="s">
        <v>54</v>
      </c>
      <c r="L297" s="16" t="s">
        <v>790</v>
      </c>
      <c r="M297" s="1" t="str">
        <f ca="1">IFERROR(__xludf.DUMMYFUNCTION("REGEXEXTRACT(E297, ""ک\s(\d{16})"")
"),"#N/A")</f>
        <v>#N/A</v>
      </c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</row>
    <row r="298" spans="1:29" ht="25.5" customHeight="1">
      <c r="A298" s="15">
        <v>290</v>
      </c>
      <c r="B298" s="15" t="s">
        <v>760</v>
      </c>
      <c r="C298" s="16" t="s">
        <v>791</v>
      </c>
      <c r="D298" s="16" t="s">
        <v>52</v>
      </c>
      <c r="E298" s="16" t="s">
        <v>792</v>
      </c>
      <c r="F298" s="16"/>
      <c r="G298" s="1" t="e">
        <f ca="1">VLOOKUP(M298, Cards!A:B, 2, FALSE)</f>
        <v>#N/A</v>
      </c>
      <c r="H298" s="18">
        <v>79000000</v>
      </c>
      <c r="I298" s="19">
        <v>0</v>
      </c>
      <c r="J298" s="20">
        <v>150079410</v>
      </c>
      <c r="K298" s="21" t="s">
        <v>54</v>
      </c>
      <c r="L298" s="16" t="s">
        <v>793</v>
      </c>
      <c r="M298" s="1" t="str">
        <f ca="1">IFERROR(__xludf.DUMMYFUNCTION("REGEXEXTRACT(E298, ""ک\s(\d{16})"")
"),"#N/A")</f>
        <v>#N/A</v>
      </c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</row>
    <row r="299" spans="1:29" ht="25.5" customHeight="1">
      <c r="A299" s="15">
        <v>291</v>
      </c>
      <c r="B299" s="15" t="s">
        <v>760</v>
      </c>
      <c r="C299" s="16" t="s">
        <v>794</v>
      </c>
      <c r="D299" s="16" t="s">
        <v>52</v>
      </c>
      <c r="E299" s="16" t="s">
        <v>795</v>
      </c>
      <c r="F299" s="16"/>
      <c r="G299" s="1" t="e">
        <f ca="1">VLOOKUP(M299, Cards!A:B, 2, FALSE)</f>
        <v>#N/A</v>
      </c>
      <c r="H299" s="18">
        <v>0</v>
      </c>
      <c r="I299" s="19">
        <v>50000000</v>
      </c>
      <c r="J299" s="20">
        <v>46498670</v>
      </c>
      <c r="K299" s="21" t="s">
        <v>54</v>
      </c>
      <c r="L299" s="16" t="s">
        <v>796</v>
      </c>
      <c r="M299" s="1" t="str">
        <f ca="1">IFERROR(__xludf.DUMMYFUNCTION("REGEXEXTRACT(E299, ""ک\s(\d{16})"")
"),"#N/A")</f>
        <v>#N/A</v>
      </c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</row>
    <row r="300" spans="1:29" ht="25.5" customHeight="1">
      <c r="A300" s="15">
        <v>292</v>
      </c>
      <c r="B300" s="15" t="s">
        <v>760</v>
      </c>
      <c r="C300" s="16" t="s">
        <v>797</v>
      </c>
      <c r="D300" s="16" t="s">
        <v>52</v>
      </c>
      <c r="E300" s="16" t="s">
        <v>798</v>
      </c>
      <c r="F300" s="16"/>
      <c r="G300" s="1" t="e">
        <f ca="1">VLOOKUP(M300, Cards!A:B, 2, FALSE)</f>
        <v>#N/A</v>
      </c>
      <c r="H300" s="18">
        <v>0</v>
      </c>
      <c r="I300" s="19">
        <v>8910000</v>
      </c>
      <c r="J300" s="20">
        <v>38988670</v>
      </c>
      <c r="K300" s="21" t="s">
        <v>54</v>
      </c>
      <c r="L300" s="16" t="s">
        <v>799</v>
      </c>
      <c r="M300" s="1" t="str">
        <f ca="1">IFERROR(__xludf.DUMMYFUNCTION("REGEXEXTRACT(E300, ""ک\s(\d{16})"")
"),"#N/A")</f>
        <v>#N/A</v>
      </c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</row>
    <row r="301" spans="1:29" ht="25.5" customHeight="1">
      <c r="A301" s="15">
        <v>293</v>
      </c>
      <c r="B301" s="15" t="s">
        <v>760</v>
      </c>
      <c r="C301" s="16" t="s">
        <v>773</v>
      </c>
      <c r="D301" s="16" t="s">
        <v>32</v>
      </c>
      <c r="E301" s="16" t="s">
        <v>800</v>
      </c>
      <c r="F301" s="16"/>
      <c r="G301" s="17" t="str">
        <f ca="1">VLOOKUP(M301, Cards!A:B, 2, FALSE)</f>
        <v>علي ابراهيميان</v>
      </c>
      <c r="H301" s="18">
        <v>0</v>
      </c>
      <c r="I301" s="19">
        <v>15600</v>
      </c>
      <c r="J301" s="20">
        <v>671630</v>
      </c>
      <c r="K301" s="21" t="s">
        <v>34</v>
      </c>
      <c r="L301" s="16" t="s">
        <v>775</v>
      </c>
      <c r="M301" s="1" t="str">
        <f ca="1">IFERROR(__xludf.DUMMYFUNCTION("REGEXEXTRACT(E301, ""ک\s(\d{16})"")
"),"6219861085062957")</f>
        <v>6219861085062957</v>
      </c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</row>
    <row r="302" spans="1:29" ht="25.5" customHeight="1">
      <c r="A302" s="15">
        <v>294</v>
      </c>
      <c r="B302" s="15" t="s">
        <v>760</v>
      </c>
      <c r="C302" s="16" t="s">
        <v>776</v>
      </c>
      <c r="D302" s="16" t="s">
        <v>32</v>
      </c>
      <c r="E302" s="16" t="s">
        <v>801</v>
      </c>
      <c r="F302" s="16"/>
      <c r="G302" s="17" t="str">
        <f ca="1">VLOOKUP(M302, Cards!A:B, 2, FALSE)</f>
        <v>علي ابراهيميان</v>
      </c>
      <c r="H302" s="18">
        <v>0</v>
      </c>
      <c r="I302" s="19">
        <v>10000</v>
      </c>
      <c r="J302" s="20">
        <v>138869410</v>
      </c>
      <c r="K302" s="21" t="s">
        <v>34</v>
      </c>
      <c r="L302" s="16" t="s">
        <v>778</v>
      </c>
      <c r="M302" s="1" t="str">
        <f ca="1">IFERROR(__xludf.DUMMYFUNCTION("REGEXEXTRACT(E302, ""ک\s(\d{16})"")
"),"6219861085062957")</f>
        <v>6219861085062957</v>
      </c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</row>
    <row r="303" spans="1:29" ht="25.5" customHeight="1">
      <c r="A303" s="15">
        <v>295</v>
      </c>
      <c r="B303" s="15" t="s">
        <v>760</v>
      </c>
      <c r="C303" s="16" t="s">
        <v>782</v>
      </c>
      <c r="D303" s="16" t="s">
        <v>32</v>
      </c>
      <c r="E303" s="16" t="s">
        <v>802</v>
      </c>
      <c r="F303" s="16"/>
      <c r="G303" s="17" t="str">
        <f ca="1">VLOOKUP(M303, Cards!A:B, 2, FALSE)</f>
        <v>علي ابراهيميان</v>
      </c>
      <c r="H303" s="18">
        <v>0</v>
      </c>
      <c r="I303" s="19">
        <v>12800</v>
      </c>
      <c r="J303" s="20">
        <v>112236610</v>
      </c>
      <c r="K303" s="21" t="s">
        <v>34</v>
      </c>
      <c r="L303" s="16" t="s">
        <v>784</v>
      </c>
      <c r="M303" s="1" t="str">
        <f ca="1">IFERROR(__xludf.DUMMYFUNCTION("REGEXEXTRACT(E303, ""ک\s(\d{16})"")
"),"6219861085062957")</f>
        <v>6219861085062957</v>
      </c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</row>
    <row r="304" spans="1:29" ht="25.5" customHeight="1">
      <c r="A304" s="15">
        <v>296</v>
      </c>
      <c r="B304" s="15" t="s">
        <v>760</v>
      </c>
      <c r="C304" s="16" t="s">
        <v>779</v>
      </c>
      <c r="D304" s="16" t="s">
        <v>32</v>
      </c>
      <c r="E304" s="16" t="s">
        <v>803</v>
      </c>
      <c r="F304" s="16"/>
      <c r="G304" s="17" t="str">
        <f ca="1">VLOOKUP(M304, Cards!A:B, 2, FALSE)</f>
        <v>علي ابراهيميان</v>
      </c>
      <c r="H304" s="18">
        <v>0</v>
      </c>
      <c r="I304" s="19">
        <v>10000</v>
      </c>
      <c r="J304" s="20">
        <v>94800110</v>
      </c>
      <c r="K304" s="21" t="s">
        <v>34</v>
      </c>
      <c r="L304" s="16" t="s">
        <v>781</v>
      </c>
      <c r="M304" s="1" t="str">
        <f ca="1">IFERROR(__xludf.DUMMYFUNCTION("REGEXEXTRACT(E304, ""ک\s(\d{16})"")
"),"6219861085062957")</f>
        <v>6219861085062957</v>
      </c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</row>
    <row r="305" spans="1:29" ht="25.5" customHeight="1">
      <c r="A305" s="15">
        <v>297</v>
      </c>
      <c r="B305" s="15" t="s">
        <v>760</v>
      </c>
      <c r="C305" s="16" t="s">
        <v>804</v>
      </c>
      <c r="D305" s="16" t="s">
        <v>71</v>
      </c>
      <c r="E305" s="16" t="s">
        <v>805</v>
      </c>
      <c r="F305" s="16"/>
      <c r="G305" s="17" t="str">
        <f ca="1">VLOOKUP(M305, Cards!A:B, 2, FALSE)</f>
        <v>علي ابراهيميان</v>
      </c>
      <c r="H305" s="18">
        <v>0</v>
      </c>
      <c r="I305" s="19">
        <v>1440</v>
      </c>
      <c r="J305" s="20">
        <v>95948670</v>
      </c>
      <c r="K305" s="21" t="s">
        <v>34</v>
      </c>
      <c r="L305" s="16" t="s">
        <v>806</v>
      </c>
      <c r="M305" s="1" t="str">
        <f ca="1">IFERROR(__xludf.DUMMYFUNCTION("REGEXEXTRACT(E305, ""ک\s(\d{16})"")
"),"6219861085062957")</f>
        <v>6219861085062957</v>
      </c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</row>
    <row r="306" spans="1:29" ht="25.5" customHeight="1">
      <c r="A306" s="15">
        <v>298</v>
      </c>
      <c r="B306" s="15" t="s">
        <v>760</v>
      </c>
      <c r="C306" s="16" t="s">
        <v>807</v>
      </c>
      <c r="D306" s="16" t="s">
        <v>71</v>
      </c>
      <c r="E306" s="16" t="s">
        <v>808</v>
      </c>
      <c r="F306" s="16"/>
      <c r="G306" s="17" t="str">
        <f ca="1">VLOOKUP(M306, Cards!A:B, 2, FALSE)</f>
        <v>علي ابراهيميان</v>
      </c>
      <c r="H306" s="18">
        <v>0</v>
      </c>
      <c r="I306" s="19">
        <v>1440</v>
      </c>
      <c r="J306" s="20">
        <v>38987230</v>
      </c>
      <c r="K306" s="21" t="s">
        <v>34</v>
      </c>
      <c r="L306" s="16" t="s">
        <v>809</v>
      </c>
      <c r="M306" s="1" t="str">
        <f ca="1">IFERROR(__xludf.DUMMYFUNCTION("REGEXEXTRACT(E306, ""ک\s(\d{16})"")
"),"6219861085062957")</f>
        <v>6219861085062957</v>
      </c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</row>
    <row r="307" spans="1:29" ht="25.5" customHeight="1">
      <c r="A307" s="15">
        <v>299</v>
      </c>
      <c r="B307" s="15" t="s">
        <v>760</v>
      </c>
      <c r="C307" s="16" t="s">
        <v>810</v>
      </c>
      <c r="D307" s="16" t="s">
        <v>71</v>
      </c>
      <c r="E307" s="16" t="s">
        <v>811</v>
      </c>
      <c r="F307" s="16"/>
      <c r="G307" s="17" t="str">
        <f ca="1">VLOOKUP(M307, Cards!A:B, 2, FALSE)</f>
        <v>علي ابراهيميان</v>
      </c>
      <c r="H307" s="18">
        <v>0</v>
      </c>
      <c r="I307" s="19">
        <v>1440</v>
      </c>
      <c r="J307" s="20">
        <v>670190</v>
      </c>
      <c r="K307" s="21" t="s">
        <v>34</v>
      </c>
      <c r="L307" s="16" t="s">
        <v>812</v>
      </c>
      <c r="M307" s="1" t="str">
        <f ca="1">IFERROR(__xludf.DUMMYFUNCTION("REGEXEXTRACT(E307, ""ک\s(\d{16})"")
"),"6219861085062957")</f>
        <v>6219861085062957</v>
      </c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</row>
    <row r="308" spans="1:29" ht="25.5" customHeight="1">
      <c r="A308" s="15">
        <v>300</v>
      </c>
      <c r="B308" s="15" t="s">
        <v>813</v>
      </c>
      <c r="C308" s="16" t="s">
        <v>814</v>
      </c>
      <c r="D308" s="16" t="s">
        <v>32</v>
      </c>
      <c r="E308" s="16" t="s">
        <v>815</v>
      </c>
      <c r="F308" s="16"/>
      <c r="G308" s="17" t="str">
        <f ca="1">VLOOKUP(M308, Cards!A:B, 2, FALSE)</f>
        <v>علي يوسفيان</v>
      </c>
      <c r="H308" s="18">
        <v>1150000</v>
      </c>
      <c r="I308" s="19">
        <v>0</v>
      </c>
      <c r="J308" s="20">
        <v>13939150</v>
      </c>
      <c r="K308" s="21" t="s">
        <v>34</v>
      </c>
      <c r="L308" s="16" t="s">
        <v>816</v>
      </c>
      <c r="M308" s="1" t="str">
        <f ca="1">IFERROR(__xludf.DUMMYFUNCTION("REGEXEXTRACT(E308, ""ک\s(\d{16})"")
"),"5859831242099389")</f>
        <v>5859831242099389</v>
      </c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</row>
    <row r="309" spans="1:29" ht="25.5" customHeight="1">
      <c r="A309" s="15">
        <v>301</v>
      </c>
      <c r="B309" s="15" t="s">
        <v>813</v>
      </c>
      <c r="C309" s="16" t="s">
        <v>817</v>
      </c>
      <c r="D309" s="16" t="s">
        <v>32</v>
      </c>
      <c r="E309" s="16" t="s">
        <v>818</v>
      </c>
      <c r="F309" s="16"/>
      <c r="G309" s="17" t="str">
        <f ca="1">VLOOKUP(M309, Cards!A:B, 2, FALSE)</f>
        <v>جواد پيرکماجي</v>
      </c>
      <c r="H309" s="18">
        <v>1000000</v>
      </c>
      <c r="I309" s="19">
        <v>0</v>
      </c>
      <c r="J309" s="20">
        <v>12789150</v>
      </c>
      <c r="K309" s="21" t="s">
        <v>34</v>
      </c>
      <c r="L309" s="16" t="s">
        <v>819</v>
      </c>
      <c r="M309" s="1" t="str">
        <f ca="1">IFERROR(__xludf.DUMMYFUNCTION("REGEXEXTRACT(E309, ""ک\s(\d{16})"")
"),"5859831809022071")</f>
        <v>5859831809022071</v>
      </c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</row>
    <row r="310" spans="1:29" ht="25.5" customHeight="1">
      <c r="A310" s="15">
        <v>302</v>
      </c>
      <c r="B310" s="15" t="s">
        <v>813</v>
      </c>
      <c r="C310" s="16" t="s">
        <v>820</v>
      </c>
      <c r="D310" s="16" t="s">
        <v>32</v>
      </c>
      <c r="E310" s="16" t="s">
        <v>821</v>
      </c>
      <c r="F310" s="16"/>
      <c r="G310" s="17" t="str">
        <f ca="1">VLOOKUP(M310, Cards!A:B, 2, FALSE)</f>
        <v>محمد کريمي</v>
      </c>
      <c r="H310" s="18">
        <v>0</v>
      </c>
      <c r="I310" s="19">
        <v>26754000</v>
      </c>
      <c r="J310" s="20">
        <v>41066190</v>
      </c>
      <c r="K310" s="21" t="s">
        <v>34</v>
      </c>
      <c r="L310" s="16" t="s">
        <v>822</v>
      </c>
      <c r="M310" s="1" t="str">
        <f ca="1">IFERROR(__xludf.DUMMYFUNCTION("REGEXEXTRACT(E310, ""ک\s(\d{16})"")
"),"5892101643117522")</f>
        <v>5892101643117522</v>
      </c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</row>
    <row r="311" spans="1:29" ht="25.5" customHeight="1">
      <c r="A311" s="15">
        <v>303</v>
      </c>
      <c r="B311" s="15" t="s">
        <v>813</v>
      </c>
      <c r="C311" s="16" t="s">
        <v>764</v>
      </c>
      <c r="D311" s="16" t="s">
        <v>32</v>
      </c>
      <c r="E311" s="16" t="s">
        <v>823</v>
      </c>
      <c r="F311" s="16"/>
      <c r="G311" s="17" t="str">
        <f ca="1">VLOOKUP(M311, Cards!A:B, 2, FALSE)</f>
        <v>نيره منتظري</v>
      </c>
      <c r="H311" s="18">
        <v>0</v>
      </c>
      <c r="I311" s="19">
        <v>30000000</v>
      </c>
      <c r="J311" s="20">
        <v>11053390</v>
      </c>
      <c r="K311" s="21" t="s">
        <v>34</v>
      </c>
      <c r="L311" s="16" t="s">
        <v>824</v>
      </c>
      <c r="M311" s="1" t="str">
        <f ca="1">IFERROR(__xludf.DUMMYFUNCTION("REGEXEXTRACT(E311, ""ک\s(\d{16})"")
"),"6219861073786146")</f>
        <v>6219861073786146</v>
      </c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</row>
    <row r="312" spans="1:29" ht="25.5" customHeight="1">
      <c r="A312" s="15">
        <v>304</v>
      </c>
      <c r="B312" s="15" t="s">
        <v>813</v>
      </c>
      <c r="C312" s="16" t="s">
        <v>825</v>
      </c>
      <c r="D312" s="16" t="s">
        <v>312</v>
      </c>
      <c r="E312" s="16" t="s">
        <v>826</v>
      </c>
      <c r="F312" s="16"/>
      <c r="G312" s="1" t="e">
        <f ca="1">VLOOKUP(M312, Cards!A:B, 2, FALSE)</f>
        <v>#N/A</v>
      </c>
      <c r="H312" s="18">
        <v>750000</v>
      </c>
      <c r="I312" s="19">
        <v>0</v>
      </c>
      <c r="J312" s="20">
        <v>11789150</v>
      </c>
      <c r="K312" s="21" t="s">
        <v>314</v>
      </c>
      <c r="L312" s="16" t="s">
        <v>827</v>
      </c>
      <c r="M312" s="1" t="str">
        <f ca="1">IFERROR(__xludf.DUMMYFUNCTION("REGEXEXTRACT(E312, ""ک\s(\d{16})"")
"),"#N/A")</f>
        <v>#N/A</v>
      </c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</row>
    <row r="313" spans="1:29" ht="25.5" customHeight="1">
      <c r="A313" s="15">
        <v>305</v>
      </c>
      <c r="B313" s="15" t="s">
        <v>813</v>
      </c>
      <c r="C313" s="16" t="s">
        <v>828</v>
      </c>
      <c r="D313" s="16" t="s">
        <v>52</v>
      </c>
      <c r="E313" s="16" t="s">
        <v>829</v>
      </c>
      <c r="F313" s="16"/>
      <c r="G313" s="1" t="e">
        <f ca="1">VLOOKUP(M313, Cards!A:B, 2, FALSE)</f>
        <v>#N/A</v>
      </c>
      <c r="H313" s="18">
        <v>90000000</v>
      </c>
      <c r="I313" s="19">
        <v>0</v>
      </c>
      <c r="J313" s="20">
        <v>90670190</v>
      </c>
      <c r="K313" s="21" t="s">
        <v>54</v>
      </c>
      <c r="L313" s="16" t="s">
        <v>830</v>
      </c>
      <c r="M313" s="1" t="str">
        <f ca="1">IFERROR(__xludf.DUMMYFUNCTION("REGEXEXTRACT(E313, ""ک\s(\d{16})"")
"),"#N/A")</f>
        <v>#N/A</v>
      </c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</row>
    <row r="314" spans="1:29" ht="25.5" customHeight="1">
      <c r="A314" s="15">
        <v>306</v>
      </c>
      <c r="B314" s="15" t="s">
        <v>813</v>
      </c>
      <c r="C314" s="16" t="s">
        <v>831</v>
      </c>
      <c r="D314" s="16" t="s">
        <v>52</v>
      </c>
      <c r="E314" s="16" t="s">
        <v>832</v>
      </c>
      <c r="F314" s="16"/>
      <c r="G314" s="1" t="e">
        <f ca="1">VLOOKUP(M314, Cards!A:B, 2, FALSE)</f>
        <v>#N/A</v>
      </c>
      <c r="H314" s="18">
        <v>10000000</v>
      </c>
      <c r="I314" s="19">
        <v>0</v>
      </c>
      <c r="J314" s="20">
        <v>100670190</v>
      </c>
      <c r="K314" s="21" t="s">
        <v>54</v>
      </c>
      <c r="L314" s="16" t="s">
        <v>833</v>
      </c>
      <c r="M314" s="1" t="str">
        <f ca="1">IFERROR(__xludf.DUMMYFUNCTION("REGEXEXTRACT(E314, ""ک\s(\d{16})"")
"),"#N/A")</f>
        <v>#N/A</v>
      </c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</row>
    <row r="315" spans="1:29" ht="25.5" customHeight="1">
      <c r="A315" s="15">
        <v>307</v>
      </c>
      <c r="B315" s="15" t="s">
        <v>813</v>
      </c>
      <c r="C315" s="16" t="s">
        <v>834</v>
      </c>
      <c r="D315" s="16" t="s">
        <v>60</v>
      </c>
      <c r="E315" s="16" t="s">
        <v>835</v>
      </c>
      <c r="F315" s="16"/>
      <c r="G315" s="17" t="str">
        <f ca="1">VLOOKUP(M315, Cards!A:B, 2, FALSE)</f>
        <v>علي ابراهيميان</v>
      </c>
      <c r="H315" s="18">
        <v>0</v>
      </c>
      <c r="I315" s="19">
        <v>21210000</v>
      </c>
      <c r="J315" s="20">
        <v>67820190</v>
      </c>
      <c r="K315" s="21" t="s">
        <v>34</v>
      </c>
      <c r="L315" s="16" t="s">
        <v>836</v>
      </c>
      <c r="M315" s="1" t="str">
        <f ca="1">IFERROR(__xludf.DUMMYFUNCTION("REGEXEXTRACT(E315, ""ک\s(\d{16})"")
"),"6219861085062957")</f>
        <v>6219861085062957</v>
      </c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</row>
    <row r="316" spans="1:29" ht="25.5" customHeight="1">
      <c r="A316" s="15">
        <v>308</v>
      </c>
      <c r="B316" s="15" t="s">
        <v>813</v>
      </c>
      <c r="C316" s="16" t="s">
        <v>513</v>
      </c>
      <c r="D316" s="16" t="s">
        <v>60</v>
      </c>
      <c r="E316" s="16" t="s">
        <v>837</v>
      </c>
      <c r="F316" s="16"/>
      <c r="G316" s="17" t="str">
        <f ca="1">VLOOKUP(M316, Cards!A:B, 2, FALSE)</f>
        <v>علي ابراهيميان</v>
      </c>
      <c r="H316" s="18">
        <v>0</v>
      </c>
      <c r="I316" s="19">
        <v>11640000</v>
      </c>
      <c r="J316" s="20">
        <v>89030190</v>
      </c>
      <c r="K316" s="21" t="s">
        <v>34</v>
      </c>
      <c r="L316" s="16" t="s">
        <v>838</v>
      </c>
      <c r="M316" s="1" t="str">
        <f ca="1">IFERROR(__xludf.DUMMYFUNCTION("REGEXEXTRACT(E316, ""ک\s(\d{16})"")
"),"6219861085062957")</f>
        <v>6219861085062957</v>
      </c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</row>
    <row r="317" spans="1:29" ht="25.5" customHeight="1">
      <c r="A317" s="15">
        <v>309</v>
      </c>
      <c r="B317" s="15" t="s">
        <v>813</v>
      </c>
      <c r="C317" s="16" t="s">
        <v>839</v>
      </c>
      <c r="D317" s="16" t="s">
        <v>60</v>
      </c>
      <c r="E317" s="16" t="s">
        <v>840</v>
      </c>
      <c r="F317" s="16"/>
      <c r="G317" s="17" t="str">
        <f ca="1">VLOOKUP(M317, Cards!A:B, 2, FALSE)</f>
        <v>علي ابراهيميان</v>
      </c>
      <c r="H317" s="18">
        <v>0</v>
      </c>
      <c r="I317" s="19">
        <v>2000000</v>
      </c>
      <c r="J317" s="20">
        <v>11939150</v>
      </c>
      <c r="K317" s="21" t="s">
        <v>34</v>
      </c>
      <c r="L317" s="16" t="s">
        <v>841</v>
      </c>
      <c r="M317" s="1" t="str">
        <f ca="1">IFERROR(__xludf.DUMMYFUNCTION("REGEXEXTRACT(E317, ""ک\s(\d{16})"")
"),"6219861085062957")</f>
        <v>6219861085062957</v>
      </c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</row>
    <row r="318" spans="1:29" ht="25.5" customHeight="1">
      <c r="A318" s="15">
        <v>310</v>
      </c>
      <c r="B318" s="15" t="s">
        <v>813</v>
      </c>
      <c r="C318" s="16" t="s">
        <v>820</v>
      </c>
      <c r="D318" s="16" t="s">
        <v>32</v>
      </c>
      <c r="E318" s="16" t="s">
        <v>842</v>
      </c>
      <c r="F318" s="16"/>
      <c r="G318" s="17" t="str">
        <f ca="1">VLOOKUP(M318, Cards!A:B, 2, FALSE)</f>
        <v>علي ابراهيميان</v>
      </c>
      <c r="H318" s="18">
        <v>0</v>
      </c>
      <c r="I318" s="19">
        <v>12800</v>
      </c>
      <c r="J318" s="20">
        <v>41053390</v>
      </c>
      <c r="K318" s="21" t="s">
        <v>34</v>
      </c>
      <c r="L318" s="16" t="s">
        <v>822</v>
      </c>
      <c r="M318" s="1" t="str">
        <f ca="1">IFERROR(__xludf.DUMMYFUNCTION("REGEXEXTRACT(E318, ""ک\s(\d{16})"")
"),"6219861085062957")</f>
        <v>6219861085062957</v>
      </c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</row>
    <row r="319" spans="1:29" ht="25.5" customHeight="1">
      <c r="A319" s="15">
        <v>311</v>
      </c>
      <c r="B319" s="15" t="s">
        <v>813</v>
      </c>
      <c r="C319" s="16" t="s">
        <v>764</v>
      </c>
      <c r="D319" s="16" t="s">
        <v>32</v>
      </c>
      <c r="E319" s="16" t="s">
        <v>843</v>
      </c>
      <c r="F319" s="16"/>
      <c r="G319" s="17" t="str">
        <f ca="1">VLOOKUP(M319, Cards!A:B, 2, FALSE)</f>
        <v>علي ابراهيميان</v>
      </c>
      <c r="H319" s="18">
        <v>0</v>
      </c>
      <c r="I319" s="19">
        <v>12800</v>
      </c>
      <c r="J319" s="20">
        <v>11040590</v>
      </c>
      <c r="K319" s="21" t="s">
        <v>34</v>
      </c>
      <c r="L319" s="16" t="s">
        <v>824</v>
      </c>
      <c r="M319" s="1" t="str">
        <f ca="1">IFERROR(__xludf.DUMMYFUNCTION("REGEXEXTRACT(E319, ""ک\s(\d{16})"")
"),"6219861085062957")</f>
        <v>6219861085062957</v>
      </c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</row>
    <row r="320" spans="1:29" ht="25.5" customHeight="1">
      <c r="A320" s="15">
        <v>312</v>
      </c>
      <c r="B320" s="15" t="s">
        <v>813</v>
      </c>
      <c r="C320" s="16" t="s">
        <v>844</v>
      </c>
      <c r="D320" s="16" t="s">
        <v>71</v>
      </c>
      <c r="E320" s="16" t="s">
        <v>845</v>
      </c>
      <c r="F320" s="16"/>
      <c r="G320" s="17" t="str">
        <f ca="1">VLOOKUP(M320, Cards!A:B, 2, FALSE)</f>
        <v>علي ابراهيميان</v>
      </c>
      <c r="H320" s="18">
        <v>0</v>
      </c>
      <c r="I320" s="19">
        <v>1440</v>
      </c>
      <c r="J320" s="20">
        <v>11039150</v>
      </c>
      <c r="K320" s="21" t="s">
        <v>34</v>
      </c>
      <c r="L320" s="16" t="s">
        <v>846</v>
      </c>
      <c r="M320" s="1" t="str">
        <f ca="1">IFERROR(__xludf.DUMMYFUNCTION("REGEXEXTRACT(E320, ""ک\s(\d{16})"")
"),"6219861085062957")</f>
        <v>6219861085062957</v>
      </c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</row>
    <row r="321" spans="1:29" ht="25.5" customHeight="1">
      <c r="A321" s="15">
        <v>313</v>
      </c>
      <c r="B321" s="15" t="s">
        <v>847</v>
      </c>
      <c r="C321" s="16" t="s">
        <v>848</v>
      </c>
      <c r="D321" s="16" t="s">
        <v>32</v>
      </c>
      <c r="E321" s="16" t="s">
        <v>849</v>
      </c>
      <c r="F321" s="16"/>
      <c r="G321" s="17" t="str">
        <f ca="1">VLOOKUP(M321, Cards!A:B, 2, FALSE)</f>
        <v>اکرم بي پروا</v>
      </c>
      <c r="H321" s="18">
        <v>1600000</v>
      </c>
      <c r="I321" s="19">
        <v>0</v>
      </c>
      <c r="J321" s="20">
        <v>40044910</v>
      </c>
      <c r="K321" s="21" t="s">
        <v>34</v>
      </c>
      <c r="L321" s="16" t="s">
        <v>850</v>
      </c>
      <c r="M321" s="1" t="str">
        <f ca="1">IFERROR(__xludf.DUMMYFUNCTION("REGEXEXTRACT(E321, ""ک\s(\d{16})"")
"),"6104338641289216")</f>
        <v>6104338641289216</v>
      </c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</row>
    <row r="322" spans="1:29" ht="25.5" customHeight="1">
      <c r="A322" s="15">
        <v>314</v>
      </c>
      <c r="B322" s="15" t="s">
        <v>847</v>
      </c>
      <c r="C322" s="16" t="s">
        <v>851</v>
      </c>
      <c r="D322" s="16" t="s">
        <v>32</v>
      </c>
      <c r="E322" s="16" t="s">
        <v>852</v>
      </c>
      <c r="F322" s="16"/>
      <c r="G322" s="17" t="str">
        <f ca="1">VLOOKUP(M322, Cards!A:B, 2, FALSE)</f>
        <v>علي پورسعيدي</v>
      </c>
      <c r="H322" s="18">
        <v>1000000</v>
      </c>
      <c r="I322" s="19">
        <v>0</v>
      </c>
      <c r="J322" s="20">
        <v>38444910</v>
      </c>
      <c r="K322" s="21" t="s">
        <v>34</v>
      </c>
      <c r="L322" s="16" t="s">
        <v>853</v>
      </c>
      <c r="M322" s="1" t="str">
        <f ca="1">IFERROR(__xludf.DUMMYFUNCTION("REGEXEXTRACT(E322, ""ک\s(\d{16})"")
"),"6063731204953062")</f>
        <v>6063731204953062</v>
      </c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</row>
    <row r="323" spans="1:29" ht="25.5" customHeight="1">
      <c r="A323" s="15">
        <v>315</v>
      </c>
      <c r="B323" s="15" t="s">
        <v>847</v>
      </c>
      <c r="C323" s="16" t="s">
        <v>854</v>
      </c>
      <c r="D323" s="16" t="s">
        <v>32</v>
      </c>
      <c r="E323" s="16" t="s">
        <v>855</v>
      </c>
      <c r="F323" s="16"/>
      <c r="G323" s="17" t="str">
        <f ca="1">VLOOKUP(M323, Cards!A:B, 2, FALSE)</f>
        <v>محمد خانگاه</v>
      </c>
      <c r="H323" s="18">
        <v>0</v>
      </c>
      <c r="I323" s="19">
        <v>30970000</v>
      </c>
      <c r="J323" s="20">
        <v>40969150</v>
      </c>
      <c r="K323" s="21" t="s">
        <v>34</v>
      </c>
      <c r="L323" s="16" t="s">
        <v>856</v>
      </c>
      <c r="M323" s="1" t="str">
        <f ca="1">IFERROR(__xludf.DUMMYFUNCTION("REGEXEXTRACT(E323, ""ک\s(\d{16})"")
"),"6104338971567579")</f>
        <v>6104338971567579</v>
      </c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</row>
    <row r="324" spans="1:29" ht="25.5" customHeight="1">
      <c r="A324" s="15">
        <v>316</v>
      </c>
      <c r="B324" s="15" t="s">
        <v>847</v>
      </c>
      <c r="C324" s="16" t="s">
        <v>857</v>
      </c>
      <c r="D324" s="16" t="s">
        <v>32</v>
      </c>
      <c r="E324" s="16" t="s">
        <v>858</v>
      </c>
      <c r="F324" s="16"/>
      <c r="G324" s="17" t="str">
        <f ca="1">VLOOKUP(M324, Cards!A:B, 2, FALSE)</f>
        <v>ابراهيم اسلام پناه</v>
      </c>
      <c r="H324" s="18">
        <v>0</v>
      </c>
      <c r="I324" s="19">
        <v>50000000</v>
      </c>
      <c r="J324" s="20">
        <v>96939150</v>
      </c>
      <c r="K324" s="21" t="s">
        <v>34</v>
      </c>
      <c r="L324" s="16" t="s">
        <v>859</v>
      </c>
      <c r="M324" s="1" t="str">
        <f ca="1">IFERROR(__xludf.DUMMYFUNCTION("REGEXEXTRACT(E324, ""ک\s(\d{16})"")
"),"6219861920369294")</f>
        <v>6219861920369294</v>
      </c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</row>
    <row r="325" spans="1:29" ht="25.5" customHeight="1">
      <c r="A325" s="15">
        <v>317</v>
      </c>
      <c r="B325" s="15" t="s">
        <v>847</v>
      </c>
      <c r="C325" s="16" t="s">
        <v>860</v>
      </c>
      <c r="D325" s="16" t="s">
        <v>32</v>
      </c>
      <c r="E325" s="16" t="s">
        <v>861</v>
      </c>
      <c r="F325" s="16"/>
      <c r="G325" s="17" t="str">
        <f ca="1">VLOOKUP(M325, Cards!A:B, 2, FALSE)</f>
        <v>جواد ابراهيميان</v>
      </c>
      <c r="H325" s="18">
        <v>0</v>
      </c>
      <c r="I325" s="19">
        <v>25000000</v>
      </c>
      <c r="J325" s="20">
        <v>71939150</v>
      </c>
      <c r="K325" s="21" t="s">
        <v>34</v>
      </c>
      <c r="L325" s="16" t="s">
        <v>862</v>
      </c>
      <c r="M325" s="1" t="str">
        <f ca="1">IFERROR(__xludf.DUMMYFUNCTION("REGEXEXTRACT(E325, ""ک\s(\d{16})"")
"),"6219861928532117")</f>
        <v>6219861928532117</v>
      </c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</row>
    <row r="326" spans="1:29" ht="25.5" customHeight="1">
      <c r="A326" s="15">
        <v>318</v>
      </c>
      <c r="B326" s="15" t="s">
        <v>847</v>
      </c>
      <c r="C326" s="16" t="s">
        <v>863</v>
      </c>
      <c r="D326" s="16" t="s">
        <v>32</v>
      </c>
      <c r="E326" s="16" t="s">
        <v>864</v>
      </c>
      <c r="F326" s="16"/>
      <c r="G326" s="17" t="str">
        <f ca="1">VLOOKUP(M326, Cards!A:B, 2, FALSE)</f>
        <v>محمد مومني</v>
      </c>
      <c r="H326" s="18">
        <v>0</v>
      </c>
      <c r="I326" s="19">
        <v>3500000</v>
      </c>
      <c r="J326" s="20">
        <v>37453550</v>
      </c>
      <c r="K326" s="21" t="s">
        <v>34</v>
      </c>
      <c r="L326" s="16" t="s">
        <v>865</v>
      </c>
      <c r="M326" s="1" t="str">
        <f ca="1">IFERROR(__xludf.DUMMYFUNCTION("REGEXEXTRACT(E326, ""ک\s(\d{16})"")
"),"6362141055049986")</f>
        <v>6362141055049986</v>
      </c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</row>
    <row r="327" spans="1:29" ht="25.5" customHeight="1">
      <c r="A327" s="15">
        <v>319</v>
      </c>
      <c r="B327" s="15" t="s">
        <v>847</v>
      </c>
      <c r="C327" s="16" t="s">
        <v>866</v>
      </c>
      <c r="D327" s="16" t="s">
        <v>32</v>
      </c>
      <c r="E327" s="16" t="s">
        <v>867</v>
      </c>
      <c r="F327" s="16"/>
      <c r="G327" s="17" t="str">
        <f ca="1">VLOOKUP(M327, Cards!A:B, 2, FALSE)</f>
        <v>محمد کريمي</v>
      </c>
      <c r="H327" s="18">
        <v>0</v>
      </c>
      <c r="I327" s="19">
        <v>28984500</v>
      </c>
      <c r="J327" s="20">
        <v>9260410</v>
      </c>
      <c r="K327" s="21" t="s">
        <v>34</v>
      </c>
      <c r="L327" s="16" t="s">
        <v>868</v>
      </c>
      <c r="M327" s="1" t="str">
        <f ca="1">IFERROR(__xludf.DUMMYFUNCTION("REGEXEXTRACT(E327, ""ک\s(\d{16})"")
"),"5892101643117522")</f>
        <v>5892101643117522</v>
      </c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</row>
    <row r="328" spans="1:29" ht="25.5" customHeight="1">
      <c r="A328" s="15">
        <v>320</v>
      </c>
      <c r="B328" s="15" t="s">
        <v>847</v>
      </c>
      <c r="C328" s="16" t="s">
        <v>869</v>
      </c>
      <c r="D328" s="16" t="s">
        <v>32</v>
      </c>
      <c r="E328" s="16" t="s">
        <v>870</v>
      </c>
      <c r="F328" s="16"/>
      <c r="G328" s="17" t="str">
        <f ca="1">VLOOKUP(M328, Cards!A:B, 2, FALSE)</f>
        <v>مهدي ابراهيميان</v>
      </c>
      <c r="H328" s="18">
        <v>0</v>
      </c>
      <c r="I328" s="19">
        <v>5000000</v>
      </c>
      <c r="J328" s="20">
        <v>4247610</v>
      </c>
      <c r="K328" s="21" t="s">
        <v>34</v>
      </c>
      <c r="L328" s="16" t="s">
        <v>871</v>
      </c>
      <c r="M328" s="1" t="str">
        <f ca="1">IFERROR(__xludf.DUMMYFUNCTION("REGEXEXTRACT(E328, ""ک\s(\d{16})"")
"),"6219861050987337")</f>
        <v>6219861050987337</v>
      </c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</row>
    <row r="329" spans="1:29" ht="25.5" customHeight="1">
      <c r="A329" s="15">
        <v>321</v>
      </c>
      <c r="B329" s="15" t="s">
        <v>847</v>
      </c>
      <c r="C329" s="16" t="s">
        <v>872</v>
      </c>
      <c r="D329" s="16" t="s">
        <v>52</v>
      </c>
      <c r="E329" s="16" t="s">
        <v>873</v>
      </c>
      <c r="F329" s="16"/>
      <c r="G329" s="1" t="e">
        <f ca="1">VLOOKUP(M329, Cards!A:B, 2, FALSE)</f>
        <v>#N/A</v>
      </c>
      <c r="H329" s="18">
        <v>38000000</v>
      </c>
      <c r="I329" s="19">
        <v>0</v>
      </c>
      <c r="J329" s="20">
        <v>49939150</v>
      </c>
      <c r="K329" s="21" t="s">
        <v>54</v>
      </c>
      <c r="L329" s="16" t="s">
        <v>874</v>
      </c>
      <c r="M329" s="1" t="str">
        <f ca="1">IFERROR(__xludf.DUMMYFUNCTION("REGEXEXTRACT(E329, ""ک\s(\d{16})"")
"),"#N/A")</f>
        <v>#N/A</v>
      </c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</row>
    <row r="330" spans="1:29" ht="25.5" customHeight="1">
      <c r="A330" s="15">
        <v>322</v>
      </c>
      <c r="B330" s="15" t="s">
        <v>847</v>
      </c>
      <c r="C330" s="16" t="s">
        <v>875</v>
      </c>
      <c r="D330" s="16" t="s">
        <v>52</v>
      </c>
      <c r="E330" s="16" t="s">
        <v>876</v>
      </c>
      <c r="F330" s="16"/>
      <c r="G330" s="1" t="e">
        <f ca="1">VLOOKUP(M330, Cards!A:B, 2, FALSE)</f>
        <v>#N/A</v>
      </c>
      <c r="H330" s="18">
        <v>97000000</v>
      </c>
      <c r="I330" s="19">
        <v>0</v>
      </c>
      <c r="J330" s="20">
        <v>146939150</v>
      </c>
      <c r="K330" s="21" t="s">
        <v>54</v>
      </c>
      <c r="L330" s="16" t="s">
        <v>877</v>
      </c>
      <c r="M330" s="1" t="str">
        <f ca="1">IFERROR(__xludf.DUMMYFUNCTION("REGEXEXTRACT(E330, ""ک\s(\d{16})"")
"),"#N/A")</f>
        <v>#N/A</v>
      </c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</row>
    <row r="331" spans="1:29" ht="25.5" customHeight="1">
      <c r="A331" s="15">
        <v>323</v>
      </c>
      <c r="B331" s="15" t="s">
        <v>847</v>
      </c>
      <c r="C331" s="16" t="s">
        <v>878</v>
      </c>
      <c r="D331" s="16" t="s">
        <v>60</v>
      </c>
      <c r="E331" s="16" t="s">
        <v>879</v>
      </c>
      <c r="F331" s="16"/>
      <c r="G331" s="17" t="str">
        <f ca="1">VLOOKUP(M331, Cards!A:B, 2, FALSE)</f>
        <v>علي ابراهيميان</v>
      </c>
      <c r="H331" s="18">
        <v>0</v>
      </c>
      <c r="I331" s="19">
        <v>1800000</v>
      </c>
      <c r="J331" s="20">
        <v>38244910</v>
      </c>
      <c r="K331" s="21" t="s">
        <v>34</v>
      </c>
      <c r="L331" s="16" t="s">
        <v>880</v>
      </c>
      <c r="M331" s="1" t="str">
        <f ca="1">IFERROR(__xludf.DUMMYFUNCTION("REGEXEXTRACT(E331, ""ک\s(\d{16})"")
"),"6219861085062957")</f>
        <v>6219861085062957</v>
      </c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</row>
    <row r="332" spans="1:29" ht="25.5" customHeight="1">
      <c r="A332" s="15">
        <v>324</v>
      </c>
      <c r="B332" s="15" t="s">
        <v>847</v>
      </c>
      <c r="C332" s="16" t="s">
        <v>863</v>
      </c>
      <c r="D332" s="16" t="s">
        <v>32</v>
      </c>
      <c r="E332" s="16" t="s">
        <v>881</v>
      </c>
      <c r="F332" s="16"/>
      <c r="G332" s="17" t="str">
        <f ca="1">VLOOKUP(M332, Cards!A:B, 2, FALSE)</f>
        <v>علي ابراهيميان</v>
      </c>
      <c r="H332" s="18">
        <v>0</v>
      </c>
      <c r="I332" s="19">
        <v>7200</v>
      </c>
      <c r="J332" s="20">
        <v>37446350</v>
      </c>
      <c r="K332" s="21" t="s">
        <v>34</v>
      </c>
      <c r="L332" s="16" t="s">
        <v>865</v>
      </c>
      <c r="M332" s="1" t="str">
        <f ca="1">IFERROR(__xludf.DUMMYFUNCTION("REGEXEXTRACT(E332, ""ک\s(\d{16})"")
"),"6219861085062957")</f>
        <v>6219861085062957</v>
      </c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</row>
    <row r="333" spans="1:29" ht="25.5" customHeight="1">
      <c r="A333" s="15">
        <v>325</v>
      </c>
      <c r="B333" s="15" t="s">
        <v>847</v>
      </c>
      <c r="C333" s="16" t="s">
        <v>854</v>
      </c>
      <c r="D333" s="16" t="s">
        <v>32</v>
      </c>
      <c r="E333" s="16" t="s">
        <v>882</v>
      </c>
      <c r="F333" s="16"/>
      <c r="G333" s="17" t="str">
        <f ca="1">VLOOKUP(M333, Cards!A:B, 2, FALSE)</f>
        <v>علي ابراهيميان</v>
      </c>
      <c r="H333" s="18">
        <v>0</v>
      </c>
      <c r="I333" s="19">
        <v>15600</v>
      </c>
      <c r="J333" s="20">
        <v>40953550</v>
      </c>
      <c r="K333" s="21" t="s">
        <v>34</v>
      </c>
      <c r="L333" s="16" t="s">
        <v>856</v>
      </c>
      <c r="M333" s="1" t="str">
        <f ca="1">IFERROR(__xludf.DUMMYFUNCTION("REGEXEXTRACT(E333, ""ک\s(\d{16})"")
"),"6219861085062957")</f>
        <v>6219861085062957</v>
      </c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</row>
    <row r="334" spans="1:29" ht="25.5" customHeight="1">
      <c r="A334" s="15">
        <v>326</v>
      </c>
      <c r="B334" s="15" t="s">
        <v>847</v>
      </c>
      <c r="C334" s="16" t="s">
        <v>866</v>
      </c>
      <c r="D334" s="16" t="s">
        <v>32</v>
      </c>
      <c r="E334" s="16" t="s">
        <v>883</v>
      </c>
      <c r="F334" s="16"/>
      <c r="G334" s="17" t="str">
        <f ca="1">VLOOKUP(M334, Cards!A:B, 2, FALSE)</f>
        <v>علي ابراهيميان</v>
      </c>
      <c r="H334" s="18">
        <v>0</v>
      </c>
      <c r="I334" s="19">
        <v>12800</v>
      </c>
      <c r="J334" s="20">
        <v>9247610</v>
      </c>
      <c r="K334" s="21" t="s">
        <v>34</v>
      </c>
      <c r="L334" s="16" t="s">
        <v>868</v>
      </c>
      <c r="M334" s="1" t="str">
        <f ca="1">IFERROR(__xludf.DUMMYFUNCTION("REGEXEXTRACT(E334, ""ک\s(\d{16})"")
"),"6219861085062957")</f>
        <v>6219861085062957</v>
      </c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</row>
    <row r="335" spans="1:29" ht="25.5" customHeight="1">
      <c r="A335" s="15">
        <v>327</v>
      </c>
      <c r="B335" s="15" t="s">
        <v>847</v>
      </c>
      <c r="C335" s="16" t="s">
        <v>869</v>
      </c>
      <c r="D335" s="16" t="s">
        <v>32</v>
      </c>
      <c r="E335" s="16" t="s">
        <v>884</v>
      </c>
      <c r="F335" s="16"/>
      <c r="G335" s="17" t="str">
        <f ca="1">VLOOKUP(M335, Cards!A:B, 2, FALSE)</f>
        <v>علي ابراهيميان</v>
      </c>
      <c r="H335" s="18">
        <v>0</v>
      </c>
      <c r="I335" s="19">
        <v>7200</v>
      </c>
      <c r="J335" s="20">
        <v>4240410</v>
      </c>
      <c r="K335" s="21" t="s">
        <v>34</v>
      </c>
      <c r="L335" s="16" t="s">
        <v>871</v>
      </c>
      <c r="M335" s="1" t="str">
        <f ca="1">IFERROR(__xludf.DUMMYFUNCTION("REGEXEXTRACT(E335, ""ک\s(\d{16})"")
"),"6219861085062957")</f>
        <v>6219861085062957</v>
      </c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</row>
    <row r="336" spans="1:29" ht="25.5" customHeight="1">
      <c r="A336" s="15">
        <v>328</v>
      </c>
      <c r="B336" s="15" t="s">
        <v>847</v>
      </c>
      <c r="C336" s="16" t="s">
        <v>885</v>
      </c>
      <c r="D336" s="16" t="s">
        <v>71</v>
      </c>
      <c r="E336" s="16" t="s">
        <v>886</v>
      </c>
      <c r="F336" s="16"/>
      <c r="G336" s="17" t="str">
        <f ca="1">VLOOKUP(M336, Cards!A:B, 2, FALSE)</f>
        <v>علي ابراهيميان</v>
      </c>
      <c r="H336" s="18">
        <v>0</v>
      </c>
      <c r="I336" s="19">
        <v>1440</v>
      </c>
      <c r="J336" s="20">
        <v>37444910</v>
      </c>
      <c r="K336" s="21" t="s">
        <v>34</v>
      </c>
      <c r="L336" s="16" t="s">
        <v>887</v>
      </c>
      <c r="M336" s="1" t="str">
        <f ca="1">IFERROR(__xludf.DUMMYFUNCTION("REGEXEXTRACT(E336, ""ک\s(\d{16})"")
"),"6219861085062957")</f>
        <v>6219861085062957</v>
      </c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</row>
    <row r="337" spans="1:29" ht="25.5" customHeight="1">
      <c r="A337" s="15">
        <v>329</v>
      </c>
      <c r="B337" s="15" t="s">
        <v>847</v>
      </c>
      <c r="C337" s="16" t="s">
        <v>888</v>
      </c>
      <c r="D337" s="16" t="s">
        <v>71</v>
      </c>
      <c r="E337" s="16" t="s">
        <v>889</v>
      </c>
      <c r="F337" s="16"/>
      <c r="G337" s="17" t="str">
        <f ca="1">VLOOKUP(M337, Cards!A:B, 2, FALSE)</f>
        <v>علي ابراهيميان</v>
      </c>
      <c r="H337" s="18">
        <v>0</v>
      </c>
      <c r="I337" s="19">
        <v>1440</v>
      </c>
      <c r="J337" s="20">
        <v>4238970</v>
      </c>
      <c r="K337" s="21" t="s">
        <v>34</v>
      </c>
      <c r="L337" s="16" t="s">
        <v>890</v>
      </c>
      <c r="M337" s="1" t="str">
        <f ca="1">IFERROR(__xludf.DUMMYFUNCTION("REGEXEXTRACT(E337, ""ک\s(\d{16})"")
"),"6219861085062957")</f>
        <v>6219861085062957</v>
      </c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</row>
    <row r="338" spans="1:29" ht="25.5" customHeight="1">
      <c r="A338" s="15">
        <v>330</v>
      </c>
      <c r="B338" s="15" t="s">
        <v>891</v>
      </c>
      <c r="C338" s="16" t="s">
        <v>892</v>
      </c>
      <c r="D338" s="16" t="s">
        <v>52</v>
      </c>
      <c r="E338" s="16" t="s">
        <v>893</v>
      </c>
      <c r="F338" s="16"/>
      <c r="G338" s="1" t="e">
        <f ca="1">VLOOKUP(M338, Cards!A:B, 2, FALSE)</f>
        <v>#N/A</v>
      </c>
      <c r="H338" s="18">
        <v>110000000</v>
      </c>
      <c r="I338" s="19">
        <v>0</v>
      </c>
      <c r="J338" s="20">
        <v>114238970</v>
      </c>
      <c r="K338" s="21" t="s">
        <v>54</v>
      </c>
      <c r="L338" s="16" t="s">
        <v>894</v>
      </c>
      <c r="M338" s="1" t="str">
        <f ca="1">IFERROR(__xludf.DUMMYFUNCTION("REGEXEXTRACT(E338, ""ک\s(\d{16})"")
"),"#N/A")</f>
        <v>#N/A</v>
      </c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</row>
    <row r="339" spans="1:29" ht="25.5" customHeight="1">
      <c r="A339" s="15">
        <v>331</v>
      </c>
      <c r="B339" s="15" t="s">
        <v>895</v>
      </c>
      <c r="C339" s="16" t="s">
        <v>896</v>
      </c>
      <c r="D339" s="16" t="s">
        <v>32</v>
      </c>
      <c r="E339" s="16" t="s">
        <v>897</v>
      </c>
      <c r="F339" s="16"/>
      <c r="G339" s="17" t="str">
        <f ca="1">VLOOKUP(M339, Cards!A:B, 2, FALSE)</f>
        <v>شايسته عسکرآبادي</v>
      </c>
      <c r="H339" s="18">
        <v>700000</v>
      </c>
      <c r="I339" s="19">
        <v>0</v>
      </c>
      <c r="J339" s="20">
        <v>5942090</v>
      </c>
      <c r="K339" s="21" t="s">
        <v>34</v>
      </c>
      <c r="L339" s="16" t="s">
        <v>898</v>
      </c>
      <c r="M339" s="1" t="str">
        <f ca="1">IFERROR(__xludf.DUMMYFUNCTION("REGEXEXTRACT(E339, ""ک\s(\d{16})"")
"),"6221061221800057")</f>
        <v>6221061221800057</v>
      </c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</row>
    <row r="340" spans="1:29" ht="25.5" customHeight="1">
      <c r="A340" s="15">
        <v>332</v>
      </c>
      <c r="B340" s="15" t="s">
        <v>895</v>
      </c>
      <c r="C340" s="16" t="s">
        <v>899</v>
      </c>
      <c r="D340" s="16" t="s">
        <v>32</v>
      </c>
      <c r="E340" s="16" t="s">
        <v>900</v>
      </c>
      <c r="F340" s="16"/>
      <c r="G340" s="17" t="str">
        <f ca="1">VLOOKUP(M340, Cards!A:B, 2, FALSE)</f>
        <v>محمد سيدآبادي</v>
      </c>
      <c r="H340" s="18">
        <v>550000</v>
      </c>
      <c r="I340" s="19">
        <v>0</v>
      </c>
      <c r="J340" s="20">
        <v>5242090</v>
      </c>
      <c r="K340" s="21" t="s">
        <v>34</v>
      </c>
      <c r="L340" s="16" t="s">
        <v>901</v>
      </c>
      <c r="M340" s="1" t="str">
        <f ca="1">IFERROR(__xludf.DUMMYFUNCTION("REGEXEXTRACT(E340, ""ک\s(\d{16})"")
"),"5892101311895185")</f>
        <v>5892101311895185</v>
      </c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</row>
    <row r="341" spans="1:29" ht="25.5" customHeight="1">
      <c r="A341" s="15">
        <v>333</v>
      </c>
      <c r="B341" s="15" t="s">
        <v>895</v>
      </c>
      <c r="C341" s="16" t="s">
        <v>902</v>
      </c>
      <c r="D341" s="16" t="s">
        <v>32</v>
      </c>
      <c r="E341" s="16" t="s">
        <v>903</v>
      </c>
      <c r="F341" s="16"/>
      <c r="G341" s="17" t="str">
        <f ca="1">VLOOKUP(M341, Cards!A:B, 2, FALSE)</f>
        <v>زهرا سيدآبادي</v>
      </c>
      <c r="H341" s="18">
        <v>1550000</v>
      </c>
      <c r="I341" s="19">
        <v>0</v>
      </c>
      <c r="J341" s="20">
        <v>33506330</v>
      </c>
      <c r="K341" s="21" t="s">
        <v>34</v>
      </c>
      <c r="L341" s="16" t="s">
        <v>904</v>
      </c>
      <c r="M341" s="1" t="str">
        <f ca="1">IFERROR(__xludf.DUMMYFUNCTION("REGEXEXTRACT(E341, ""ک\s(\d{16})"")
"),"5041721008139702")</f>
        <v>5041721008139702</v>
      </c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</row>
    <row r="342" spans="1:29" ht="25.5" customHeight="1">
      <c r="A342" s="15">
        <v>334</v>
      </c>
      <c r="B342" s="15" t="s">
        <v>895</v>
      </c>
      <c r="C342" s="16" t="s">
        <v>905</v>
      </c>
      <c r="D342" s="16" t="s">
        <v>32</v>
      </c>
      <c r="E342" s="16" t="s">
        <v>906</v>
      </c>
      <c r="F342" s="16"/>
      <c r="G342" s="17" t="str">
        <f ca="1">VLOOKUP(M342, Cards!A:B, 2, FALSE)</f>
        <v>مهشيد بوژمهراني</v>
      </c>
      <c r="H342" s="18">
        <v>550000</v>
      </c>
      <c r="I342" s="19">
        <v>0</v>
      </c>
      <c r="J342" s="20">
        <v>31956330</v>
      </c>
      <c r="K342" s="21" t="s">
        <v>34</v>
      </c>
      <c r="L342" s="16" t="s">
        <v>907</v>
      </c>
      <c r="M342" s="1" t="str">
        <f ca="1">IFERROR(__xludf.DUMMYFUNCTION("REGEXEXTRACT(E342, ""ک\s(\d{16})"")
"),"5859831236990700")</f>
        <v>5859831236990700</v>
      </c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</row>
    <row r="343" spans="1:29" ht="25.5" customHeight="1">
      <c r="A343" s="15">
        <v>335</v>
      </c>
      <c r="B343" s="15" t="s">
        <v>895</v>
      </c>
      <c r="C343" s="16" t="s">
        <v>908</v>
      </c>
      <c r="D343" s="16" t="s">
        <v>32</v>
      </c>
      <c r="E343" s="16" t="s">
        <v>909</v>
      </c>
      <c r="F343" s="16"/>
      <c r="G343" s="17" t="str">
        <f ca="1">VLOOKUP(M343, Cards!A:B, 2, FALSE)</f>
        <v>محمد کريمي</v>
      </c>
      <c r="H343" s="18">
        <v>0</v>
      </c>
      <c r="I343" s="19">
        <v>27050000</v>
      </c>
      <c r="J343" s="20">
        <v>6456330</v>
      </c>
      <c r="K343" s="21" t="s">
        <v>34</v>
      </c>
      <c r="L343" s="16" t="s">
        <v>910</v>
      </c>
      <c r="M343" s="1" t="str">
        <f ca="1">IFERROR(__xludf.DUMMYFUNCTION("REGEXEXTRACT(E343, ""ک\s(\d{16})"")
"),"5892101643117522")</f>
        <v>5892101643117522</v>
      </c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</row>
    <row r="344" spans="1:29" ht="25.5" customHeight="1">
      <c r="A344" s="15">
        <v>336</v>
      </c>
      <c r="B344" s="15" t="s">
        <v>895</v>
      </c>
      <c r="C344" s="16" t="s">
        <v>911</v>
      </c>
      <c r="D344" s="16" t="s">
        <v>32</v>
      </c>
      <c r="E344" s="16" t="s">
        <v>912</v>
      </c>
      <c r="F344" s="16"/>
      <c r="G344" s="17" t="str">
        <f ca="1">VLOOKUP(M344, Cards!A:B, 2, FALSE)</f>
        <v>محمد خانگاه</v>
      </c>
      <c r="H344" s="18">
        <v>0</v>
      </c>
      <c r="I344" s="19">
        <v>31160000</v>
      </c>
      <c r="J344" s="20">
        <v>31423370</v>
      </c>
      <c r="K344" s="21" t="s">
        <v>34</v>
      </c>
      <c r="L344" s="16" t="s">
        <v>913</v>
      </c>
      <c r="M344" s="1" t="str">
        <f ca="1">IFERROR(__xludf.DUMMYFUNCTION("REGEXEXTRACT(E344, ""ک\s(\d{16})"")
"),"6104338971567579")</f>
        <v>6104338971567579</v>
      </c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</row>
    <row r="345" spans="1:29" ht="25.5" customHeight="1">
      <c r="A345" s="15">
        <v>337</v>
      </c>
      <c r="B345" s="15" t="s">
        <v>895</v>
      </c>
      <c r="C345" s="16" t="s">
        <v>914</v>
      </c>
      <c r="D345" s="16" t="s">
        <v>32</v>
      </c>
      <c r="E345" s="16" t="s">
        <v>915</v>
      </c>
      <c r="F345" s="16"/>
      <c r="G345" s="17" t="str">
        <f ca="1">VLOOKUP(M345, Cards!A:B, 2, FALSE)</f>
        <v>حجت عابدي</v>
      </c>
      <c r="H345" s="18">
        <v>0</v>
      </c>
      <c r="I345" s="19">
        <v>40000000</v>
      </c>
      <c r="J345" s="20">
        <v>62598970</v>
      </c>
      <c r="K345" s="21" t="s">
        <v>34</v>
      </c>
      <c r="L345" s="16" t="s">
        <v>916</v>
      </c>
      <c r="M345" s="1" t="str">
        <f ca="1">IFERROR(__xludf.DUMMYFUNCTION("REGEXEXTRACT(E345, ""ک\s(\d{16})"")
"),"6219861074936021")</f>
        <v>6219861074936021</v>
      </c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</row>
    <row r="346" spans="1:29" ht="25.5" customHeight="1">
      <c r="A346" s="15">
        <v>338</v>
      </c>
      <c r="B346" s="15" t="s">
        <v>895</v>
      </c>
      <c r="C346" s="16" t="s">
        <v>917</v>
      </c>
      <c r="D346" s="16" t="s">
        <v>312</v>
      </c>
      <c r="E346" s="16" t="s">
        <v>918</v>
      </c>
      <c r="F346" s="16"/>
      <c r="G346" s="1" t="e">
        <f ca="1">VLOOKUP(M346, Cards!A:B, 2, FALSE)</f>
        <v>#N/A</v>
      </c>
      <c r="H346" s="18">
        <v>550000</v>
      </c>
      <c r="I346" s="19">
        <v>0</v>
      </c>
      <c r="J346" s="20">
        <v>4692090</v>
      </c>
      <c r="K346" s="21" t="s">
        <v>314</v>
      </c>
      <c r="L346" s="16" t="s">
        <v>919</v>
      </c>
      <c r="M346" s="1" t="str">
        <f ca="1">IFERROR(__xludf.DUMMYFUNCTION("REGEXEXTRACT(E346, ""ک\s(\d{16})"")
"),"#N/A")</f>
        <v>#N/A</v>
      </c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</row>
    <row r="347" spans="1:29" ht="25.5" customHeight="1">
      <c r="A347" s="15">
        <v>339</v>
      </c>
      <c r="B347" s="15" t="s">
        <v>895</v>
      </c>
      <c r="C347" s="16" t="s">
        <v>920</v>
      </c>
      <c r="D347" s="16" t="s">
        <v>60</v>
      </c>
      <c r="E347" s="16" t="s">
        <v>921</v>
      </c>
      <c r="F347" s="16"/>
      <c r="G347" s="17" t="str">
        <f ca="1">VLOOKUP(M347, Cards!A:B, 2, FALSE)</f>
        <v>علي ابراهيميان</v>
      </c>
      <c r="H347" s="18">
        <v>0</v>
      </c>
      <c r="I347" s="19">
        <v>2300000</v>
      </c>
      <c r="J347" s="20">
        <v>4142090</v>
      </c>
      <c r="K347" s="21" t="s">
        <v>34</v>
      </c>
      <c r="L347" s="16" t="s">
        <v>922</v>
      </c>
      <c r="M347" s="1" t="str">
        <f ca="1">IFERROR(__xludf.DUMMYFUNCTION("REGEXEXTRACT(E347, ""ک\s(\d{16})"")
"),"6219861085062957")</f>
        <v>6219861085062957</v>
      </c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</row>
    <row r="348" spans="1:29" ht="25.5" customHeight="1">
      <c r="A348" s="15">
        <v>340</v>
      </c>
      <c r="B348" s="15" t="s">
        <v>895</v>
      </c>
      <c r="C348" s="16" t="s">
        <v>923</v>
      </c>
      <c r="D348" s="16" t="s">
        <v>60</v>
      </c>
      <c r="E348" s="16" t="s">
        <v>924</v>
      </c>
      <c r="F348" s="16"/>
      <c r="G348" s="17" t="str">
        <f ca="1">VLOOKUP(M348, Cards!A:B, 2, FALSE)</f>
        <v>علي ابراهيميان</v>
      </c>
      <c r="H348" s="18">
        <v>0</v>
      </c>
      <c r="I348" s="19">
        <v>11640000</v>
      </c>
      <c r="J348" s="20">
        <v>102598970</v>
      </c>
      <c r="K348" s="21" t="s">
        <v>34</v>
      </c>
      <c r="L348" s="16" t="s">
        <v>925</v>
      </c>
      <c r="M348" s="1" t="str">
        <f ca="1">IFERROR(__xludf.DUMMYFUNCTION("REGEXEXTRACT(E348, ""ک\s(\d{16})"")
"),"6219861085062957")</f>
        <v>6219861085062957</v>
      </c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</row>
    <row r="349" spans="1:29" ht="25.5" customHeight="1">
      <c r="A349" s="15">
        <v>341</v>
      </c>
      <c r="B349" s="15" t="s">
        <v>895</v>
      </c>
      <c r="C349" s="16" t="s">
        <v>914</v>
      </c>
      <c r="D349" s="16" t="s">
        <v>32</v>
      </c>
      <c r="E349" s="16" t="s">
        <v>926</v>
      </c>
      <c r="F349" s="16"/>
      <c r="G349" s="17" t="str">
        <f ca="1">VLOOKUP(M349, Cards!A:B, 2, FALSE)</f>
        <v>علي ابراهيميان</v>
      </c>
      <c r="H349" s="18">
        <v>0</v>
      </c>
      <c r="I349" s="19">
        <v>15600</v>
      </c>
      <c r="J349" s="20">
        <v>62583370</v>
      </c>
      <c r="K349" s="21" t="s">
        <v>34</v>
      </c>
      <c r="L349" s="16" t="s">
        <v>916</v>
      </c>
      <c r="M349" s="1" t="str">
        <f ca="1">IFERROR(__xludf.DUMMYFUNCTION("REGEXEXTRACT(E349, ""ک\s(\d{16})"")
"),"6219861085062957")</f>
        <v>6219861085062957</v>
      </c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</row>
    <row r="350" spans="1:29" ht="25.5" customHeight="1">
      <c r="A350" s="15">
        <v>342</v>
      </c>
      <c r="B350" s="15" t="s">
        <v>895</v>
      </c>
      <c r="C350" s="16" t="s">
        <v>911</v>
      </c>
      <c r="D350" s="16" t="s">
        <v>32</v>
      </c>
      <c r="E350" s="16" t="s">
        <v>927</v>
      </c>
      <c r="F350" s="16"/>
      <c r="G350" s="17" t="str">
        <f ca="1">VLOOKUP(M350, Cards!A:B, 2, FALSE)</f>
        <v>علي ابراهيميان</v>
      </c>
      <c r="H350" s="18">
        <v>0</v>
      </c>
      <c r="I350" s="19">
        <v>15600</v>
      </c>
      <c r="J350" s="20">
        <v>31407770</v>
      </c>
      <c r="K350" s="21" t="s">
        <v>34</v>
      </c>
      <c r="L350" s="16" t="s">
        <v>913</v>
      </c>
      <c r="M350" s="1" t="str">
        <f ca="1">IFERROR(__xludf.DUMMYFUNCTION("REGEXEXTRACT(E350, ""ک\s(\d{16})"")
"),"6219861085062957")</f>
        <v>6219861085062957</v>
      </c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</row>
    <row r="351" spans="1:29" ht="25.5" customHeight="1">
      <c r="A351" s="15">
        <v>343</v>
      </c>
      <c r="B351" s="15" t="s">
        <v>895</v>
      </c>
      <c r="C351" s="16" t="s">
        <v>908</v>
      </c>
      <c r="D351" s="16" t="s">
        <v>32</v>
      </c>
      <c r="E351" s="16" t="s">
        <v>928</v>
      </c>
      <c r="F351" s="16"/>
      <c r="G351" s="17" t="str">
        <f ca="1">VLOOKUP(M351, Cards!A:B, 2, FALSE)</f>
        <v>علي ابراهيميان</v>
      </c>
      <c r="H351" s="18">
        <v>0</v>
      </c>
      <c r="I351" s="19">
        <v>12800</v>
      </c>
      <c r="J351" s="20">
        <v>6443530</v>
      </c>
      <c r="K351" s="21" t="s">
        <v>34</v>
      </c>
      <c r="L351" s="16" t="s">
        <v>910</v>
      </c>
      <c r="M351" s="1" t="str">
        <f ca="1">IFERROR(__xludf.DUMMYFUNCTION("REGEXEXTRACT(E351, ""ک\s(\d{16})"")
"),"6219861085062957")</f>
        <v>6219861085062957</v>
      </c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</row>
    <row r="352" spans="1:29" ht="25.5" customHeight="1">
      <c r="A352" s="15">
        <v>344</v>
      </c>
      <c r="B352" s="15" t="s">
        <v>895</v>
      </c>
      <c r="C352" s="16" t="s">
        <v>929</v>
      </c>
      <c r="D352" s="16" t="s">
        <v>71</v>
      </c>
      <c r="E352" s="16" t="s">
        <v>930</v>
      </c>
      <c r="F352" s="16"/>
      <c r="G352" s="17" t="str">
        <f ca="1">VLOOKUP(M352, Cards!A:B, 2, FALSE)</f>
        <v>علي ابراهيميان</v>
      </c>
      <c r="H352" s="18">
        <v>0</v>
      </c>
      <c r="I352" s="19">
        <v>1440</v>
      </c>
      <c r="J352" s="20">
        <v>31406330</v>
      </c>
      <c r="K352" s="21" t="s">
        <v>34</v>
      </c>
      <c r="L352" s="16" t="s">
        <v>931</v>
      </c>
      <c r="M352" s="1" t="str">
        <f ca="1">IFERROR(__xludf.DUMMYFUNCTION("REGEXEXTRACT(E352, ""ک\s(\d{16})"")
"),"6219861085062957")</f>
        <v>6219861085062957</v>
      </c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</row>
    <row r="353" spans="1:29" ht="25.5" customHeight="1">
      <c r="A353" s="15">
        <v>345</v>
      </c>
      <c r="B353" s="15" t="s">
        <v>895</v>
      </c>
      <c r="C353" s="16" t="s">
        <v>932</v>
      </c>
      <c r="D353" s="16" t="s">
        <v>71</v>
      </c>
      <c r="E353" s="16" t="s">
        <v>933</v>
      </c>
      <c r="F353" s="16"/>
      <c r="G353" s="17" t="str">
        <f ca="1">VLOOKUP(M353, Cards!A:B, 2, FALSE)</f>
        <v>علي ابراهيميان</v>
      </c>
      <c r="H353" s="18">
        <v>0</v>
      </c>
      <c r="I353" s="19">
        <v>1440</v>
      </c>
      <c r="J353" s="20">
        <v>6442090</v>
      </c>
      <c r="K353" s="21" t="s">
        <v>34</v>
      </c>
      <c r="L353" s="16" t="s">
        <v>934</v>
      </c>
      <c r="M353" s="1" t="str">
        <f ca="1">IFERROR(__xludf.DUMMYFUNCTION("REGEXEXTRACT(E353, ""ک\s(\d{16})"")
"),"6219861085062957")</f>
        <v>6219861085062957</v>
      </c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</row>
    <row r="354" spans="1:29" ht="25.5" customHeight="1">
      <c r="A354" s="15">
        <v>346</v>
      </c>
      <c r="B354" s="15" t="s">
        <v>935</v>
      </c>
      <c r="C354" s="16" t="s">
        <v>936</v>
      </c>
      <c r="D354" s="16" t="s">
        <v>32</v>
      </c>
      <c r="E354" s="16" t="s">
        <v>937</v>
      </c>
      <c r="F354" s="16"/>
      <c r="G354" s="17" t="str">
        <f ca="1">VLOOKUP(M354, Cards!A:B, 2, FALSE)</f>
        <v>حسين ميربلوک</v>
      </c>
      <c r="H354" s="18">
        <v>550000</v>
      </c>
      <c r="I354" s="19">
        <v>0</v>
      </c>
      <c r="J354" s="20">
        <v>38673690</v>
      </c>
      <c r="K354" s="21" t="s">
        <v>34</v>
      </c>
      <c r="L354" s="16" t="s">
        <v>938</v>
      </c>
      <c r="M354" s="1" t="str">
        <f ca="1">IFERROR(__xludf.DUMMYFUNCTION("REGEXEXTRACT(E354, ""ک\s(\d{16})"")
"),"6037697681149024")</f>
        <v>6037697681149024</v>
      </c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</row>
    <row r="355" spans="1:29" ht="25.5" customHeight="1">
      <c r="A355" s="15">
        <v>347</v>
      </c>
      <c r="B355" s="15" t="s">
        <v>935</v>
      </c>
      <c r="C355" s="16" t="s">
        <v>939</v>
      </c>
      <c r="D355" s="16" t="s">
        <v>32</v>
      </c>
      <c r="E355" s="16" t="s">
        <v>940</v>
      </c>
      <c r="F355" s="16"/>
      <c r="G355" s="17" t="str">
        <f ca="1">VLOOKUP(M355, Cards!A:B, 2, FALSE)</f>
        <v>سيديحيي حامدحيدري</v>
      </c>
      <c r="H355" s="18">
        <v>1250000</v>
      </c>
      <c r="I355" s="19">
        <v>0</v>
      </c>
      <c r="J355" s="20">
        <v>39923690</v>
      </c>
      <c r="K355" s="21" t="s">
        <v>34</v>
      </c>
      <c r="L355" s="16" t="s">
        <v>941</v>
      </c>
      <c r="M355" s="1" t="str">
        <f ca="1">IFERROR(__xludf.DUMMYFUNCTION("REGEXEXTRACT(E355, ""ک\s(\d{16})"")
"),"5892101344377961")</f>
        <v>5892101344377961</v>
      </c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</row>
    <row r="356" spans="1:29" ht="25.5" customHeight="1">
      <c r="A356" s="15">
        <v>348</v>
      </c>
      <c r="B356" s="15" t="s">
        <v>935</v>
      </c>
      <c r="C356" s="16" t="s">
        <v>942</v>
      </c>
      <c r="D356" s="16" t="s">
        <v>32</v>
      </c>
      <c r="E356" s="16" t="s">
        <v>943</v>
      </c>
      <c r="F356" s="16"/>
      <c r="G356" s="17" t="str">
        <f ca="1">VLOOKUP(M356, Cards!A:B, 2, FALSE)</f>
        <v>جواد پيرکماجي</v>
      </c>
      <c r="H356" s="18">
        <v>950000</v>
      </c>
      <c r="I356" s="19">
        <v>0</v>
      </c>
      <c r="J356" s="20">
        <v>10556650</v>
      </c>
      <c r="K356" s="21" t="s">
        <v>34</v>
      </c>
      <c r="L356" s="16" t="s">
        <v>944</v>
      </c>
      <c r="M356" s="1" t="str">
        <f ca="1">IFERROR(__xludf.DUMMYFUNCTION("REGEXEXTRACT(E356, ""ک\s(\d{16})"")
"),"5859831809022071")</f>
        <v>5859831809022071</v>
      </c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</row>
    <row r="357" spans="1:29" ht="25.5" customHeight="1">
      <c r="A357" s="15">
        <v>349</v>
      </c>
      <c r="B357" s="15" t="s">
        <v>935</v>
      </c>
      <c r="C357" s="16" t="s">
        <v>945</v>
      </c>
      <c r="D357" s="16" t="s">
        <v>32</v>
      </c>
      <c r="E357" s="16" t="s">
        <v>946</v>
      </c>
      <c r="F357" s="16"/>
      <c r="G357" s="17" t="str">
        <f ca="1">VLOOKUP(M357, Cards!A:B, 2, FALSE)</f>
        <v>مريم گندمکار</v>
      </c>
      <c r="H357" s="18">
        <v>0</v>
      </c>
      <c r="I357" s="19">
        <v>50000000</v>
      </c>
      <c r="J357" s="20">
        <v>46142090</v>
      </c>
      <c r="K357" s="21" t="s">
        <v>34</v>
      </c>
      <c r="L357" s="16" t="s">
        <v>947</v>
      </c>
      <c r="M357" s="1" t="str">
        <f ca="1">IFERROR(__xludf.DUMMYFUNCTION("REGEXEXTRACT(E357, ""ک\s(\d{16})"")
"),"6037998246679087")</f>
        <v>6037998246679087</v>
      </c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</row>
    <row r="358" spans="1:29" ht="25.5" customHeight="1">
      <c r="A358" s="15">
        <v>350</v>
      </c>
      <c r="B358" s="15" t="s">
        <v>935</v>
      </c>
      <c r="C358" s="16" t="s">
        <v>948</v>
      </c>
      <c r="D358" s="16" t="s">
        <v>32</v>
      </c>
      <c r="E358" s="16" t="s">
        <v>949</v>
      </c>
      <c r="F358" s="16"/>
      <c r="G358" s="17" t="str">
        <f ca="1">VLOOKUP(M358, Cards!A:B, 2, FALSE)</f>
        <v>فرشته سيدآبادي</v>
      </c>
      <c r="H358" s="18">
        <v>0</v>
      </c>
      <c r="I358" s="19">
        <v>2700000</v>
      </c>
      <c r="J358" s="20">
        <v>3048010</v>
      </c>
      <c r="K358" s="21" t="s">
        <v>34</v>
      </c>
      <c r="L358" s="16" t="s">
        <v>950</v>
      </c>
      <c r="M358" s="1" t="str">
        <f ca="1">IFERROR(__xludf.DUMMYFUNCTION("REGEXEXTRACT(E358, ""ک\s(\d{16})"")
"),"5892101408887160")</f>
        <v>5892101408887160</v>
      </c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</row>
    <row r="359" spans="1:29" ht="25.5" customHeight="1">
      <c r="A359" s="15">
        <v>351</v>
      </c>
      <c r="B359" s="15" t="s">
        <v>935</v>
      </c>
      <c r="C359" s="16" t="s">
        <v>951</v>
      </c>
      <c r="D359" s="16" t="s">
        <v>32</v>
      </c>
      <c r="E359" s="16" t="s">
        <v>952</v>
      </c>
      <c r="F359" s="16"/>
      <c r="G359" s="17" t="str">
        <f ca="1">VLOOKUP(M359, Cards!A:B, 2, FALSE)</f>
        <v>محمد خانگاه</v>
      </c>
      <c r="H359" s="18">
        <v>0</v>
      </c>
      <c r="I359" s="19">
        <v>30300000</v>
      </c>
      <c r="J359" s="20">
        <v>9622250</v>
      </c>
      <c r="K359" s="21" t="s">
        <v>34</v>
      </c>
      <c r="L359" s="16" t="s">
        <v>953</v>
      </c>
      <c r="M359" s="1" t="str">
        <f ca="1">IFERROR(__xludf.DUMMYFUNCTION("REGEXEXTRACT(E359, ""ک\s(\d{16})"")
"),"6104338971567579")</f>
        <v>6104338971567579</v>
      </c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</row>
    <row r="360" spans="1:29" ht="25.5" customHeight="1">
      <c r="A360" s="15">
        <v>352</v>
      </c>
      <c r="B360" s="15" t="s">
        <v>935</v>
      </c>
      <c r="C360" s="16" t="s">
        <v>954</v>
      </c>
      <c r="D360" s="16" t="s">
        <v>32</v>
      </c>
      <c r="E360" s="16" t="s">
        <v>955</v>
      </c>
      <c r="F360" s="16"/>
      <c r="G360" s="17" t="str">
        <f ca="1">VLOOKUP(M360, Cards!A:B, 2, FALSE)</f>
        <v>محمد مومني</v>
      </c>
      <c r="H360" s="18">
        <v>0</v>
      </c>
      <c r="I360" s="19">
        <v>3500000</v>
      </c>
      <c r="J360" s="20">
        <v>7056650</v>
      </c>
      <c r="K360" s="21" t="s">
        <v>34</v>
      </c>
      <c r="L360" s="16" t="s">
        <v>956</v>
      </c>
      <c r="M360" s="1" t="str">
        <f ca="1">IFERROR(__xludf.DUMMYFUNCTION("REGEXEXTRACT(E360, ""ک\s(\d{16})"")
"),"6362141055049986")</f>
        <v>6362141055049986</v>
      </c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</row>
    <row r="361" spans="1:29" ht="25.5" customHeight="1">
      <c r="A361" s="15">
        <v>353</v>
      </c>
      <c r="B361" s="15" t="s">
        <v>935</v>
      </c>
      <c r="C361" s="16" t="s">
        <v>957</v>
      </c>
      <c r="D361" s="16" t="s">
        <v>52</v>
      </c>
      <c r="E361" s="16" t="s">
        <v>958</v>
      </c>
      <c r="F361" s="16"/>
      <c r="G361" s="1" t="e">
        <f ca="1">VLOOKUP(M361, Cards!A:B, 2, FALSE)</f>
        <v>#N/A</v>
      </c>
      <c r="H361" s="18">
        <v>4200000</v>
      </c>
      <c r="I361" s="19">
        <v>0</v>
      </c>
      <c r="J361" s="20">
        <v>10142090</v>
      </c>
      <c r="K361" s="21" t="s">
        <v>54</v>
      </c>
      <c r="L361" s="16" t="s">
        <v>959</v>
      </c>
      <c r="M361" s="1" t="str">
        <f ca="1">IFERROR(__xludf.DUMMYFUNCTION("REGEXEXTRACT(E361, ""ک\s(\d{16})"")
"),"#N/A")</f>
        <v>#N/A</v>
      </c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</row>
    <row r="362" spans="1:29" ht="25.5" customHeight="1">
      <c r="A362" s="15">
        <v>354</v>
      </c>
      <c r="B362" s="15" t="s">
        <v>935</v>
      </c>
      <c r="C362" s="16" t="s">
        <v>960</v>
      </c>
      <c r="D362" s="16" t="s">
        <v>52</v>
      </c>
      <c r="E362" s="16" t="s">
        <v>961</v>
      </c>
      <c r="F362" s="16"/>
      <c r="G362" s="1" t="e">
        <f ca="1">VLOOKUP(M362, Cards!A:B, 2, FALSE)</f>
        <v>#N/A</v>
      </c>
      <c r="H362" s="18">
        <v>86000000</v>
      </c>
      <c r="I362" s="19">
        <v>0</v>
      </c>
      <c r="J362" s="20">
        <v>96142090</v>
      </c>
      <c r="K362" s="21" t="s">
        <v>54</v>
      </c>
      <c r="L362" s="16" t="s">
        <v>962</v>
      </c>
      <c r="M362" s="1" t="str">
        <f ca="1">IFERROR(__xludf.DUMMYFUNCTION("REGEXEXTRACT(E362, ""ک\s(\d{16})"")
"),"#N/A")</f>
        <v>#N/A</v>
      </c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</row>
    <row r="363" spans="1:29" ht="25.5" customHeight="1">
      <c r="A363" s="15">
        <v>355</v>
      </c>
      <c r="B363" s="15" t="s">
        <v>935</v>
      </c>
      <c r="C363" s="16" t="s">
        <v>963</v>
      </c>
      <c r="D363" s="16" t="s">
        <v>60</v>
      </c>
      <c r="E363" s="16" t="s">
        <v>964</v>
      </c>
      <c r="F363" s="16"/>
      <c r="G363" s="17" t="str">
        <f ca="1">VLOOKUP(M363, Cards!A:B, 2, FALSE)</f>
        <v>علي ابراهيميان</v>
      </c>
      <c r="H363" s="18">
        <v>0</v>
      </c>
      <c r="I363" s="19">
        <v>8000000</v>
      </c>
      <c r="J363" s="20">
        <v>38123690</v>
      </c>
      <c r="K363" s="21" t="s">
        <v>34</v>
      </c>
      <c r="L363" s="16" t="s">
        <v>965</v>
      </c>
      <c r="M363" s="1" t="str">
        <f ca="1">IFERROR(__xludf.DUMMYFUNCTION("REGEXEXTRACT(E363, ""ک\s(\d{16})"")
"),"6219861085062957")</f>
        <v>6219861085062957</v>
      </c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</row>
    <row r="364" spans="1:29" ht="25.5" customHeight="1">
      <c r="A364" s="15">
        <v>356</v>
      </c>
      <c r="B364" s="15" t="s">
        <v>935</v>
      </c>
      <c r="C364" s="16" t="s">
        <v>966</v>
      </c>
      <c r="D364" s="16" t="s">
        <v>60</v>
      </c>
      <c r="E364" s="16" t="s">
        <v>967</v>
      </c>
      <c r="F364" s="16"/>
      <c r="G364" s="17" t="str">
        <f ca="1">VLOOKUP(M364, Cards!A:B, 2, FALSE)</f>
        <v>علي ابراهيميان</v>
      </c>
      <c r="H364" s="18">
        <v>0</v>
      </c>
      <c r="I364" s="19">
        <v>1300000</v>
      </c>
      <c r="J364" s="20">
        <v>5749450</v>
      </c>
      <c r="K364" s="21" t="s">
        <v>34</v>
      </c>
      <c r="L364" s="16" t="s">
        <v>968</v>
      </c>
      <c r="M364" s="1" t="str">
        <f ca="1">IFERROR(__xludf.DUMMYFUNCTION("REGEXEXTRACT(E364, ""ک\s(\d{16})"")
"),"6219861085062957")</f>
        <v>6219861085062957</v>
      </c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</row>
    <row r="365" spans="1:29" ht="25.5" customHeight="1">
      <c r="A365" s="15">
        <v>357</v>
      </c>
      <c r="B365" s="15" t="s">
        <v>935</v>
      </c>
      <c r="C365" s="16" t="s">
        <v>945</v>
      </c>
      <c r="D365" s="16" t="s">
        <v>32</v>
      </c>
      <c r="E365" s="16" t="s">
        <v>969</v>
      </c>
      <c r="F365" s="16"/>
      <c r="G365" s="17" t="str">
        <f ca="1">VLOOKUP(M365, Cards!A:B, 2, FALSE)</f>
        <v>علي ابراهيميان</v>
      </c>
      <c r="H365" s="18">
        <v>0</v>
      </c>
      <c r="I365" s="19">
        <v>18400</v>
      </c>
      <c r="J365" s="20">
        <v>46123690</v>
      </c>
      <c r="K365" s="21" t="s">
        <v>34</v>
      </c>
      <c r="L365" s="16" t="s">
        <v>947</v>
      </c>
      <c r="M365" s="1" t="str">
        <f ca="1">IFERROR(__xludf.DUMMYFUNCTION("REGEXEXTRACT(E365, ""ک\s(\d{16})"")
"),"6219861085062957")</f>
        <v>6219861085062957</v>
      </c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</row>
    <row r="366" spans="1:29" ht="25.5" customHeight="1">
      <c r="A366" s="15">
        <v>358</v>
      </c>
      <c r="B366" s="15" t="s">
        <v>935</v>
      </c>
      <c r="C366" s="16" t="s">
        <v>951</v>
      </c>
      <c r="D366" s="16" t="s">
        <v>32</v>
      </c>
      <c r="E366" s="16" t="s">
        <v>970</v>
      </c>
      <c r="F366" s="16"/>
      <c r="G366" s="17" t="str">
        <f ca="1">VLOOKUP(M366, Cards!A:B, 2, FALSE)</f>
        <v>علي ابراهيميان</v>
      </c>
      <c r="H366" s="18">
        <v>0</v>
      </c>
      <c r="I366" s="19">
        <v>15600</v>
      </c>
      <c r="J366" s="20">
        <v>9606650</v>
      </c>
      <c r="K366" s="21" t="s">
        <v>34</v>
      </c>
      <c r="L366" s="16" t="s">
        <v>953</v>
      </c>
      <c r="M366" s="1" t="str">
        <f ca="1">IFERROR(__xludf.DUMMYFUNCTION("REGEXEXTRACT(E366, ""ک\s(\d{16})"")
"),"6219861085062957")</f>
        <v>6219861085062957</v>
      </c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</row>
    <row r="367" spans="1:29" ht="25.5" customHeight="1">
      <c r="A367" s="15">
        <v>359</v>
      </c>
      <c r="B367" s="15" t="s">
        <v>935</v>
      </c>
      <c r="C367" s="16" t="s">
        <v>954</v>
      </c>
      <c r="D367" s="16" t="s">
        <v>32</v>
      </c>
      <c r="E367" s="16" t="s">
        <v>971</v>
      </c>
      <c r="F367" s="16"/>
      <c r="G367" s="17" t="str">
        <f ca="1">VLOOKUP(M367, Cards!A:B, 2, FALSE)</f>
        <v>علي ابراهيميان</v>
      </c>
      <c r="H367" s="18">
        <v>0</v>
      </c>
      <c r="I367" s="19">
        <v>7200</v>
      </c>
      <c r="J367" s="20">
        <v>7049450</v>
      </c>
      <c r="K367" s="21" t="s">
        <v>34</v>
      </c>
      <c r="L367" s="16" t="s">
        <v>956</v>
      </c>
      <c r="M367" s="1" t="str">
        <f ca="1">IFERROR(__xludf.DUMMYFUNCTION("REGEXEXTRACT(E367, ""ک\s(\d{16})"")
"),"6219861085062957")</f>
        <v>6219861085062957</v>
      </c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</row>
    <row r="368" spans="1:29" ht="25.5" customHeight="1">
      <c r="A368" s="15">
        <v>360</v>
      </c>
      <c r="B368" s="15" t="s">
        <v>935</v>
      </c>
      <c r="C368" s="16" t="s">
        <v>948</v>
      </c>
      <c r="D368" s="16" t="s">
        <v>32</v>
      </c>
      <c r="E368" s="16" t="s">
        <v>972</v>
      </c>
      <c r="F368" s="16"/>
      <c r="G368" s="17" t="str">
        <f ca="1">VLOOKUP(M368, Cards!A:B, 2, FALSE)</f>
        <v>علي ابراهيميان</v>
      </c>
      <c r="H368" s="18">
        <v>0</v>
      </c>
      <c r="I368" s="19">
        <v>7200</v>
      </c>
      <c r="J368" s="20">
        <v>3040810</v>
      </c>
      <c r="K368" s="21" t="s">
        <v>34</v>
      </c>
      <c r="L368" s="16" t="s">
        <v>950</v>
      </c>
      <c r="M368" s="1" t="str">
        <f ca="1">IFERROR(__xludf.DUMMYFUNCTION("REGEXEXTRACT(E368, ""ک\s(\d{16})"")
"),"6219861085062957")</f>
        <v>6219861085062957</v>
      </c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</row>
    <row r="369" spans="1:29" ht="25.5" customHeight="1">
      <c r="A369" s="15">
        <v>361</v>
      </c>
      <c r="B369" s="15" t="s">
        <v>935</v>
      </c>
      <c r="C369" s="16" t="s">
        <v>973</v>
      </c>
      <c r="D369" s="16" t="s">
        <v>71</v>
      </c>
      <c r="E369" s="16" t="s">
        <v>974</v>
      </c>
      <c r="F369" s="16"/>
      <c r="G369" s="17" t="str">
        <f ca="1">VLOOKUP(M369, Cards!A:B, 2, FALSE)</f>
        <v>علي ابراهيميان</v>
      </c>
      <c r="H369" s="18">
        <v>0</v>
      </c>
      <c r="I369" s="19">
        <v>1440</v>
      </c>
      <c r="J369" s="20">
        <v>5748010</v>
      </c>
      <c r="K369" s="21" t="s">
        <v>34</v>
      </c>
      <c r="L369" s="16" t="s">
        <v>975</v>
      </c>
      <c r="M369" s="1" t="str">
        <f ca="1">IFERROR(__xludf.DUMMYFUNCTION("REGEXEXTRACT(E369, ""ک\s(\d{16})"")
"),"6219861085062957")</f>
        <v>6219861085062957</v>
      </c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</row>
    <row r="370" spans="1:29" ht="25.5" customHeight="1">
      <c r="A370" s="15">
        <v>362</v>
      </c>
      <c r="B370" s="15" t="s">
        <v>935</v>
      </c>
      <c r="C370" s="16" t="s">
        <v>976</v>
      </c>
      <c r="D370" s="16" t="s">
        <v>71</v>
      </c>
      <c r="E370" s="16" t="s">
        <v>977</v>
      </c>
      <c r="F370" s="16"/>
      <c r="G370" s="17" t="str">
        <f ca="1">VLOOKUP(M370, Cards!A:B, 2, FALSE)</f>
        <v>علي ابراهيميان</v>
      </c>
      <c r="H370" s="18">
        <v>0</v>
      </c>
      <c r="I370" s="19">
        <v>1440</v>
      </c>
      <c r="J370" s="20">
        <v>39922250</v>
      </c>
      <c r="K370" s="21" t="s">
        <v>34</v>
      </c>
      <c r="L370" s="16" t="s">
        <v>978</v>
      </c>
      <c r="M370" s="1" t="str">
        <f ca="1">IFERROR(__xludf.DUMMYFUNCTION("REGEXEXTRACT(E370, ""ک\s(\d{16})"")
"),"6219861085062957")</f>
        <v>6219861085062957</v>
      </c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</row>
    <row r="371" spans="1:29" ht="25.5" customHeight="1">
      <c r="A371" s="15">
        <v>363</v>
      </c>
      <c r="B371" s="15" t="s">
        <v>979</v>
      </c>
      <c r="C371" s="16" t="s">
        <v>980</v>
      </c>
      <c r="D371" s="16" t="s">
        <v>32</v>
      </c>
      <c r="E371" s="16" t="s">
        <v>981</v>
      </c>
      <c r="F371" s="16"/>
      <c r="G371" s="17" t="str">
        <f ca="1">VLOOKUP(M371, Cards!A:B, 2, FALSE)</f>
        <v>حسين ميربلوک</v>
      </c>
      <c r="H371" s="18">
        <v>550000</v>
      </c>
      <c r="I371" s="19">
        <v>0</v>
      </c>
      <c r="J371" s="20">
        <v>27125970</v>
      </c>
      <c r="K371" s="21" t="s">
        <v>34</v>
      </c>
      <c r="L371" s="16" t="s">
        <v>982</v>
      </c>
      <c r="M371" s="1" t="str">
        <f ca="1">IFERROR(__xludf.DUMMYFUNCTION("REGEXEXTRACT(E371, ""ک\s(\d{16})"")
"),"6037697681149024")</f>
        <v>6037697681149024</v>
      </c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</row>
    <row r="372" spans="1:29" ht="25.5" customHeight="1">
      <c r="A372" s="15">
        <v>364</v>
      </c>
      <c r="B372" s="15" t="s">
        <v>979</v>
      </c>
      <c r="C372" s="16" t="s">
        <v>983</v>
      </c>
      <c r="D372" s="16" t="s">
        <v>32</v>
      </c>
      <c r="E372" s="16" t="s">
        <v>984</v>
      </c>
      <c r="F372" s="16"/>
      <c r="G372" s="17" t="str">
        <f ca="1">VLOOKUP(M372, Cards!A:B, 2, FALSE)</f>
        <v>محمد سيدآبادي</v>
      </c>
      <c r="H372" s="18">
        <v>550000</v>
      </c>
      <c r="I372" s="19">
        <v>0</v>
      </c>
      <c r="J372" s="20">
        <v>1650130</v>
      </c>
      <c r="K372" s="21" t="s">
        <v>34</v>
      </c>
      <c r="L372" s="16" t="s">
        <v>985</v>
      </c>
      <c r="M372" s="1" t="str">
        <f ca="1">IFERROR(__xludf.DUMMYFUNCTION("REGEXEXTRACT(E372, ""ک\s(\d{16})"")
"),"5892101311895185")</f>
        <v>5892101311895185</v>
      </c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</row>
    <row r="373" spans="1:29" ht="25.5" customHeight="1">
      <c r="A373" s="15">
        <v>365</v>
      </c>
      <c r="B373" s="15" t="s">
        <v>979</v>
      </c>
      <c r="C373" s="16" t="s">
        <v>986</v>
      </c>
      <c r="D373" s="16" t="s">
        <v>32</v>
      </c>
      <c r="E373" s="16" t="s">
        <v>987</v>
      </c>
      <c r="F373" s="16"/>
      <c r="G373" s="17" t="str">
        <f ca="1">VLOOKUP(M373, Cards!A:B, 2, FALSE)</f>
        <v>فاطمه سليماني</v>
      </c>
      <c r="H373" s="18">
        <v>800000</v>
      </c>
      <c r="I373" s="19">
        <v>0</v>
      </c>
      <c r="J373" s="20">
        <v>27925970</v>
      </c>
      <c r="K373" s="21" t="s">
        <v>34</v>
      </c>
      <c r="L373" s="16" t="s">
        <v>988</v>
      </c>
      <c r="M373" s="1" t="str">
        <f ca="1">IFERROR(__xludf.DUMMYFUNCTION("REGEXEXTRACT(E373, ""ک\s(\d{16})"")
"),"6037997308463778")</f>
        <v>6037997308463778</v>
      </c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</row>
    <row r="374" spans="1:29" ht="25.5" customHeight="1">
      <c r="A374" s="15">
        <v>366</v>
      </c>
      <c r="B374" s="15" t="s">
        <v>979</v>
      </c>
      <c r="C374" s="16" t="s">
        <v>989</v>
      </c>
      <c r="D374" s="16" t="s">
        <v>32</v>
      </c>
      <c r="E374" s="16" t="s">
        <v>990</v>
      </c>
      <c r="F374" s="16"/>
      <c r="G374" s="17" t="str">
        <f ca="1">VLOOKUP(M374, Cards!A:B, 2, FALSE)</f>
        <v>گلثومه برمهاني</v>
      </c>
      <c r="H374" s="18">
        <v>0</v>
      </c>
      <c r="I374" s="19">
        <v>10000000</v>
      </c>
      <c r="J374" s="20">
        <v>17925970</v>
      </c>
      <c r="K374" s="21" t="s">
        <v>34</v>
      </c>
      <c r="L374" s="16" t="s">
        <v>991</v>
      </c>
      <c r="M374" s="1" t="str">
        <f ca="1">IFERROR(__xludf.DUMMYFUNCTION("REGEXEXTRACT(E374, ""ک\s(\d{16})"")
"),"5057851012912561")</f>
        <v>5057851012912561</v>
      </c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</row>
    <row r="375" spans="1:29" ht="25.5" customHeight="1">
      <c r="A375" s="15">
        <v>367</v>
      </c>
      <c r="B375" s="15" t="s">
        <v>979</v>
      </c>
      <c r="C375" s="16" t="s">
        <v>992</v>
      </c>
      <c r="D375" s="16" t="s">
        <v>32</v>
      </c>
      <c r="E375" s="16" t="s">
        <v>993</v>
      </c>
      <c r="F375" s="16"/>
      <c r="G375" s="17" t="str">
        <f ca="1">VLOOKUP(M375, Cards!A:B, 2, FALSE)</f>
        <v>مجيد شجاع پور</v>
      </c>
      <c r="H375" s="18">
        <v>0</v>
      </c>
      <c r="I375" s="19">
        <v>10695000</v>
      </c>
      <c r="J375" s="20">
        <v>76605810</v>
      </c>
      <c r="K375" s="21" t="s">
        <v>34</v>
      </c>
      <c r="L375" s="16" t="s">
        <v>994</v>
      </c>
      <c r="M375" s="1" t="str">
        <f ca="1">IFERROR(__xludf.DUMMYFUNCTION("REGEXEXTRACT(E375, ""ک\s(\d{16})"")
"),"5892101626109181")</f>
        <v>5892101626109181</v>
      </c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</row>
    <row r="376" spans="1:29" ht="25.5" customHeight="1">
      <c r="A376" s="15">
        <v>368</v>
      </c>
      <c r="B376" s="15" t="s">
        <v>979</v>
      </c>
      <c r="C376" s="16" t="s">
        <v>995</v>
      </c>
      <c r="D376" s="16" t="s">
        <v>32</v>
      </c>
      <c r="E376" s="16" t="s">
        <v>996</v>
      </c>
      <c r="F376" s="16"/>
      <c r="G376" s="17" t="str">
        <f ca="1">VLOOKUP(M376, Cards!A:B, 2, FALSE)</f>
        <v>مريم گندمکار</v>
      </c>
      <c r="H376" s="18">
        <v>0</v>
      </c>
      <c r="I376" s="19">
        <v>50000000</v>
      </c>
      <c r="J376" s="20">
        <v>26595810</v>
      </c>
      <c r="K376" s="21" t="s">
        <v>34</v>
      </c>
      <c r="L376" s="16" t="s">
        <v>997</v>
      </c>
      <c r="M376" s="1" t="str">
        <f ca="1">IFERROR(__xludf.DUMMYFUNCTION("REGEXEXTRACT(E376, ""ک\s(\d{16})"")
"),"6037998246679087")</f>
        <v>6037998246679087</v>
      </c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</row>
    <row r="377" spans="1:29" ht="25.5" customHeight="1">
      <c r="A377" s="15">
        <v>369</v>
      </c>
      <c r="B377" s="15" t="s">
        <v>979</v>
      </c>
      <c r="C377" s="16" t="s">
        <v>998</v>
      </c>
      <c r="D377" s="16" t="s">
        <v>32</v>
      </c>
      <c r="E377" s="16" t="s">
        <v>999</v>
      </c>
      <c r="F377" s="16"/>
      <c r="G377" s="17" t="str">
        <f ca="1">VLOOKUP(M377, Cards!A:B, 2, FALSE)</f>
        <v>عليرضا سيد ابادي</v>
      </c>
      <c r="H377" s="18">
        <v>0</v>
      </c>
      <c r="I377" s="19">
        <v>5100000</v>
      </c>
      <c r="J377" s="20">
        <v>1107330</v>
      </c>
      <c r="K377" s="21" t="s">
        <v>34</v>
      </c>
      <c r="L377" s="16" t="s">
        <v>1000</v>
      </c>
      <c r="M377" s="1" t="str">
        <f ca="1">IFERROR(__xludf.DUMMYFUNCTION("REGEXEXTRACT(E377, ""ک\s(\d{16})"")
"),"6104338653250742")</f>
        <v>6104338653250742</v>
      </c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</row>
    <row r="378" spans="1:29" ht="25.5" customHeight="1">
      <c r="A378" s="15">
        <v>370</v>
      </c>
      <c r="B378" s="15" t="s">
        <v>979</v>
      </c>
      <c r="C378" s="16" t="s">
        <v>1001</v>
      </c>
      <c r="D378" s="16" t="s">
        <v>32</v>
      </c>
      <c r="E378" s="16" t="s">
        <v>1002</v>
      </c>
      <c r="F378" s="16"/>
      <c r="G378" s="17" t="str">
        <f ca="1">VLOOKUP(M378, Cards!A:B, 2, FALSE)</f>
        <v>طاهره برمهاني</v>
      </c>
      <c r="H378" s="18">
        <v>0</v>
      </c>
      <c r="I378" s="19">
        <v>11700000</v>
      </c>
      <c r="J378" s="20">
        <v>6218770</v>
      </c>
      <c r="K378" s="21" t="s">
        <v>34</v>
      </c>
      <c r="L378" s="16" t="s">
        <v>1003</v>
      </c>
      <c r="M378" s="1" t="str">
        <f ca="1">IFERROR(__xludf.DUMMYFUNCTION("REGEXEXTRACT(E378, ""ک\s(\d{16})"")
"),"6280231511386376")</f>
        <v>6280231511386376</v>
      </c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</row>
    <row r="379" spans="1:29" ht="25.5" customHeight="1">
      <c r="A379" s="15">
        <v>371</v>
      </c>
      <c r="B379" s="15" t="s">
        <v>979</v>
      </c>
      <c r="C379" s="16" t="s">
        <v>1004</v>
      </c>
      <c r="D379" s="16" t="s">
        <v>52</v>
      </c>
      <c r="E379" s="16" t="s">
        <v>1005</v>
      </c>
      <c r="F379" s="16"/>
      <c r="G379" s="1" t="e">
        <f ca="1">VLOOKUP(M379, Cards!A:B, 2, FALSE)</f>
        <v>#N/A</v>
      </c>
      <c r="H379" s="18">
        <v>62500000</v>
      </c>
      <c r="I379" s="19">
        <v>0</v>
      </c>
      <c r="J379" s="20">
        <v>65540810</v>
      </c>
      <c r="K379" s="21" t="s">
        <v>54</v>
      </c>
      <c r="L379" s="16" t="s">
        <v>1006</v>
      </c>
      <c r="M379" s="1" t="str">
        <f ca="1">IFERROR(__xludf.DUMMYFUNCTION("REGEXEXTRACT(E379, ""ک\s(\d{16})"")
"),"#N/A")</f>
        <v>#N/A</v>
      </c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</row>
    <row r="380" spans="1:29" ht="25.5" customHeight="1">
      <c r="A380" s="15">
        <v>372</v>
      </c>
      <c r="B380" s="15" t="s">
        <v>979</v>
      </c>
      <c r="C380" s="16" t="s">
        <v>1007</v>
      </c>
      <c r="D380" s="16" t="s">
        <v>52</v>
      </c>
      <c r="E380" s="16" t="s">
        <v>1008</v>
      </c>
      <c r="F380" s="16"/>
      <c r="G380" s="1" t="e">
        <f ca="1">VLOOKUP(M380, Cards!A:B, 2, FALSE)</f>
        <v>#N/A</v>
      </c>
      <c r="H380" s="18">
        <v>33400000</v>
      </c>
      <c r="I380" s="19">
        <v>0</v>
      </c>
      <c r="J380" s="20">
        <v>98940810</v>
      </c>
      <c r="K380" s="21" t="s">
        <v>54</v>
      </c>
      <c r="L380" s="16" t="s">
        <v>1009</v>
      </c>
      <c r="M380" s="1" t="str">
        <f ca="1">IFERROR(__xludf.DUMMYFUNCTION("REGEXEXTRACT(E380, ""ک\s(\d{16})"")
"),"#N/A")</f>
        <v>#N/A</v>
      </c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</row>
    <row r="381" spans="1:29" ht="25.5" customHeight="1">
      <c r="A381" s="15">
        <v>373</v>
      </c>
      <c r="B381" s="15" t="s">
        <v>979</v>
      </c>
      <c r="C381" s="16" t="s">
        <v>1010</v>
      </c>
      <c r="D381" s="16" t="s">
        <v>60</v>
      </c>
      <c r="E381" s="16" t="s">
        <v>1011</v>
      </c>
      <c r="F381" s="16"/>
      <c r="G381" s="17" t="str">
        <f ca="1">VLOOKUP(M381, Cards!A:B, 2, FALSE)</f>
        <v>علي ابراهيميان</v>
      </c>
      <c r="H381" s="18">
        <v>0</v>
      </c>
      <c r="I381" s="19">
        <v>11640000</v>
      </c>
      <c r="J381" s="20">
        <v>87300810</v>
      </c>
      <c r="K381" s="21" t="s">
        <v>34</v>
      </c>
      <c r="L381" s="16" t="s">
        <v>1012</v>
      </c>
      <c r="M381" s="1" t="str">
        <f ca="1">IFERROR(__xludf.DUMMYFUNCTION("REGEXEXTRACT(E381, ""ک\s(\d{16})"")
"),"6219861085062957")</f>
        <v>6219861085062957</v>
      </c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</row>
    <row r="382" spans="1:29" ht="25.5" customHeight="1">
      <c r="A382" s="15">
        <v>374</v>
      </c>
      <c r="B382" s="15" t="s">
        <v>979</v>
      </c>
      <c r="C382" s="16" t="s">
        <v>992</v>
      </c>
      <c r="D382" s="16" t="s">
        <v>32</v>
      </c>
      <c r="E382" s="16" t="s">
        <v>1013</v>
      </c>
      <c r="F382" s="16"/>
      <c r="G382" s="17" t="str">
        <f ca="1">VLOOKUP(M382, Cards!A:B, 2, FALSE)</f>
        <v>علي ابراهيميان</v>
      </c>
      <c r="H382" s="18">
        <v>0</v>
      </c>
      <c r="I382" s="19">
        <v>10000</v>
      </c>
      <c r="J382" s="20">
        <v>76595810</v>
      </c>
      <c r="K382" s="21" t="s">
        <v>34</v>
      </c>
      <c r="L382" s="16" t="s">
        <v>994</v>
      </c>
      <c r="M382" s="1" t="str">
        <f ca="1">IFERROR(__xludf.DUMMYFUNCTION("REGEXEXTRACT(E382, ""ک\s(\d{16})"")
"),"6219861085062957")</f>
        <v>6219861085062957</v>
      </c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</row>
    <row r="383" spans="1:29" ht="25.5" customHeight="1">
      <c r="A383" s="15">
        <v>375</v>
      </c>
      <c r="B383" s="15" t="s">
        <v>979</v>
      </c>
      <c r="C383" s="16" t="s">
        <v>995</v>
      </c>
      <c r="D383" s="16" t="s">
        <v>32</v>
      </c>
      <c r="E383" s="16" t="s">
        <v>1014</v>
      </c>
      <c r="F383" s="16"/>
      <c r="G383" s="17" t="str">
        <f ca="1">VLOOKUP(M383, Cards!A:B, 2, FALSE)</f>
        <v>علي ابراهيميان</v>
      </c>
      <c r="H383" s="18">
        <v>0</v>
      </c>
      <c r="I383" s="19">
        <v>18400</v>
      </c>
      <c r="J383" s="20">
        <v>26577410</v>
      </c>
      <c r="K383" s="21" t="s">
        <v>34</v>
      </c>
      <c r="L383" s="16" t="s">
        <v>997</v>
      </c>
      <c r="M383" s="1" t="str">
        <f ca="1">IFERROR(__xludf.DUMMYFUNCTION("REGEXEXTRACT(E383, ""ک\s(\d{16})"")
"),"6219861085062957")</f>
        <v>6219861085062957</v>
      </c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</row>
    <row r="384" spans="1:29" ht="25.5" customHeight="1">
      <c r="A384" s="15">
        <v>376</v>
      </c>
      <c r="B384" s="15" t="s">
        <v>979</v>
      </c>
      <c r="C384" s="16" t="s">
        <v>989</v>
      </c>
      <c r="D384" s="16" t="s">
        <v>32</v>
      </c>
      <c r="E384" s="16" t="s">
        <v>1015</v>
      </c>
      <c r="F384" s="16"/>
      <c r="G384" s="17" t="str">
        <f ca="1">VLOOKUP(M384, Cards!A:B, 2, FALSE)</f>
        <v>علي ابراهيميان</v>
      </c>
      <c r="H384" s="18">
        <v>0</v>
      </c>
      <c r="I384" s="19">
        <v>7200</v>
      </c>
      <c r="J384" s="20">
        <v>17918770</v>
      </c>
      <c r="K384" s="21" t="s">
        <v>34</v>
      </c>
      <c r="L384" s="16" t="s">
        <v>991</v>
      </c>
      <c r="M384" s="1" t="str">
        <f ca="1">IFERROR(__xludf.DUMMYFUNCTION("REGEXEXTRACT(E384, ""ک\s(\d{16})"")
"),"6219861085062957")</f>
        <v>6219861085062957</v>
      </c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</row>
    <row r="385" spans="1:29" ht="25.5" customHeight="1">
      <c r="A385" s="15">
        <v>377</v>
      </c>
      <c r="B385" s="15" t="s">
        <v>979</v>
      </c>
      <c r="C385" s="16" t="s">
        <v>1001</v>
      </c>
      <c r="D385" s="16" t="s">
        <v>32</v>
      </c>
      <c r="E385" s="16" t="s">
        <v>1016</v>
      </c>
      <c r="F385" s="16"/>
      <c r="G385" s="17" t="str">
        <f ca="1">VLOOKUP(M385, Cards!A:B, 2, FALSE)</f>
        <v>علي ابراهيميان</v>
      </c>
      <c r="H385" s="18">
        <v>0</v>
      </c>
      <c r="I385" s="19">
        <v>10000</v>
      </c>
      <c r="J385" s="20">
        <v>6208770</v>
      </c>
      <c r="K385" s="21" t="s">
        <v>34</v>
      </c>
      <c r="L385" s="16" t="s">
        <v>1003</v>
      </c>
      <c r="M385" s="1" t="str">
        <f ca="1">IFERROR(__xludf.DUMMYFUNCTION("REGEXEXTRACT(E385, ""ک\s(\d{16})"")
"),"6219861085062957")</f>
        <v>6219861085062957</v>
      </c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</row>
    <row r="386" spans="1:29" ht="25.5" customHeight="1">
      <c r="A386" s="15">
        <v>378</v>
      </c>
      <c r="B386" s="15" t="s">
        <v>979</v>
      </c>
      <c r="C386" s="16" t="s">
        <v>998</v>
      </c>
      <c r="D386" s="16" t="s">
        <v>32</v>
      </c>
      <c r="E386" s="16" t="s">
        <v>1017</v>
      </c>
      <c r="F386" s="16"/>
      <c r="G386" s="17" t="str">
        <f ca="1">VLOOKUP(M386, Cards!A:B, 2, FALSE)</f>
        <v>علي ابراهيميان</v>
      </c>
      <c r="H386" s="18">
        <v>0</v>
      </c>
      <c r="I386" s="19">
        <v>7200</v>
      </c>
      <c r="J386" s="20">
        <v>1100130</v>
      </c>
      <c r="K386" s="21" t="s">
        <v>34</v>
      </c>
      <c r="L386" s="16" t="s">
        <v>1000</v>
      </c>
      <c r="M386" s="1" t="str">
        <f ca="1">IFERROR(__xludf.DUMMYFUNCTION("REGEXEXTRACT(E386, ""ک\s(\d{16})"")
"),"6219861085062957")</f>
        <v>6219861085062957</v>
      </c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</row>
    <row r="387" spans="1:29" ht="25.5" customHeight="1">
      <c r="A387" s="15">
        <v>379</v>
      </c>
      <c r="B387" s="15" t="s">
        <v>979</v>
      </c>
      <c r="C387" s="16" t="s">
        <v>1018</v>
      </c>
      <c r="D387" s="16" t="s">
        <v>71</v>
      </c>
      <c r="E387" s="16" t="s">
        <v>1019</v>
      </c>
      <c r="F387" s="16"/>
      <c r="G387" s="17" t="str">
        <f ca="1">VLOOKUP(M387, Cards!A:B, 2, FALSE)</f>
        <v>علي ابراهيميان</v>
      </c>
      <c r="H387" s="18">
        <v>0</v>
      </c>
      <c r="I387" s="19">
        <v>1440</v>
      </c>
      <c r="J387" s="20">
        <v>26575970</v>
      </c>
      <c r="K387" s="21" t="s">
        <v>34</v>
      </c>
      <c r="L387" s="16" t="s">
        <v>1020</v>
      </c>
      <c r="M387" s="1" t="str">
        <f ca="1">IFERROR(__xludf.DUMMYFUNCTION("REGEXEXTRACT(E387, ""ک\s(\d{16})"")
"),"6219861085062957")</f>
        <v>6219861085062957</v>
      </c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</row>
    <row r="388" spans="1:29" ht="25.5" customHeight="1">
      <c r="A388" s="15">
        <v>380</v>
      </c>
      <c r="B388" s="15" t="s">
        <v>979</v>
      </c>
      <c r="C388" s="16" t="s">
        <v>1021</v>
      </c>
      <c r="D388" s="16" t="s">
        <v>71</v>
      </c>
      <c r="E388" s="16" t="s">
        <v>1022</v>
      </c>
      <c r="F388" s="16"/>
      <c r="G388" s="17" t="str">
        <f ca="1">VLOOKUP(M388, Cards!A:B, 2, FALSE)</f>
        <v>علي ابراهيميان</v>
      </c>
      <c r="H388" s="18">
        <v>0</v>
      </c>
      <c r="I388" s="19">
        <v>1440</v>
      </c>
      <c r="J388" s="20">
        <v>6207330</v>
      </c>
      <c r="K388" s="21" t="s">
        <v>34</v>
      </c>
      <c r="L388" s="16" t="s">
        <v>1023</v>
      </c>
      <c r="M388" s="1" t="str">
        <f ca="1">IFERROR(__xludf.DUMMYFUNCTION("REGEXEXTRACT(E388, ""ک\s(\d{16})"")
"),"6219861085062957")</f>
        <v>6219861085062957</v>
      </c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</row>
    <row r="389" spans="1:29" ht="25.5" customHeight="1">
      <c r="A389" s="15">
        <v>381</v>
      </c>
      <c r="B389" s="15" t="s">
        <v>979</v>
      </c>
      <c r="C389" s="16" t="s">
        <v>1024</v>
      </c>
      <c r="D389" s="16" t="s">
        <v>71</v>
      </c>
      <c r="E389" s="16" t="s">
        <v>1025</v>
      </c>
      <c r="F389" s="16"/>
      <c r="G389" s="17" t="str">
        <f ca="1">VLOOKUP(M389, Cards!A:B, 2, FALSE)</f>
        <v>علي ابراهيميان</v>
      </c>
      <c r="H389" s="18">
        <v>0</v>
      </c>
      <c r="I389" s="19">
        <v>1440</v>
      </c>
      <c r="J389" s="20">
        <v>1648690</v>
      </c>
      <c r="K389" s="21" t="s">
        <v>34</v>
      </c>
      <c r="L389" s="16" t="s">
        <v>1026</v>
      </c>
      <c r="M389" s="1" t="str">
        <f ca="1">IFERROR(__xludf.DUMMYFUNCTION("REGEXEXTRACT(E389, ""ک\s(\d{16})"")
"),"6219861085062957")</f>
        <v>6219861085062957</v>
      </c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</row>
    <row r="390" spans="1:29" ht="25.5" customHeight="1">
      <c r="A390" s="15">
        <v>382</v>
      </c>
      <c r="B390" s="15" t="s">
        <v>1027</v>
      </c>
      <c r="C390" s="16" t="s">
        <v>1028</v>
      </c>
      <c r="D390" s="16" t="s">
        <v>32</v>
      </c>
      <c r="E390" s="16" t="s">
        <v>1029</v>
      </c>
      <c r="F390" s="16"/>
      <c r="G390" s="17" t="str">
        <f ca="1">VLOOKUP(M390, Cards!A:B, 2, FALSE)</f>
        <v>الهه سادات حسيني</v>
      </c>
      <c r="H390" s="18">
        <v>1550000</v>
      </c>
      <c r="I390" s="19">
        <v>0</v>
      </c>
      <c r="J390" s="20">
        <v>77635890</v>
      </c>
      <c r="K390" s="21" t="s">
        <v>34</v>
      </c>
      <c r="L390" s="16" t="s">
        <v>1030</v>
      </c>
      <c r="M390" s="1" t="str">
        <f ca="1">IFERROR(__xludf.DUMMYFUNCTION("REGEXEXTRACT(E390, ""ک\s(\d{16})"")
"),"6274121182908384")</f>
        <v>6274121182908384</v>
      </c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</row>
    <row r="391" spans="1:29" ht="25.5" customHeight="1">
      <c r="A391" s="15">
        <v>383</v>
      </c>
      <c r="B391" s="15" t="s">
        <v>1027</v>
      </c>
      <c r="C391" s="16" t="s">
        <v>1031</v>
      </c>
      <c r="D391" s="16" t="s">
        <v>32</v>
      </c>
      <c r="E391" s="16" t="s">
        <v>1032</v>
      </c>
      <c r="F391" s="16"/>
      <c r="G391" s="17" t="str">
        <f ca="1">VLOOKUP(M391, Cards!A:B, 2, FALSE)</f>
        <v>بهمن شايان آذر</v>
      </c>
      <c r="H391" s="18">
        <v>450000</v>
      </c>
      <c r="I391" s="19">
        <v>0</v>
      </c>
      <c r="J391" s="20">
        <v>78085890</v>
      </c>
      <c r="K391" s="21" t="s">
        <v>34</v>
      </c>
      <c r="L391" s="16" t="s">
        <v>1033</v>
      </c>
      <c r="M391" s="1" t="str">
        <f ca="1">IFERROR(__xludf.DUMMYFUNCTION("REGEXEXTRACT(E391, ""ک\s(\d{16})"")
"),"6219861067532142")</f>
        <v>6219861067532142</v>
      </c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</row>
    <row r="392" spans="1:29" ht="25.5" customHeight="1">
      <c r="A392" s="15">
        <v>384</v>
      </c>
      <c r="B392" s="15" t="s">
        <v>1027</v>
      </c>
      <c r="C392" s="16" t="s">
        <v>1034</v>
      </c>
      <c r="D392" s="16" t="s">
        <v>32</v>
      </c>
      <c r="E392" s="16" t="s">
        <v>1035</v>
      </c>
      <c r="F392" s="16"/>
      <c r="G392" s="17" t="str">
        <f ca="1">VLOOKUP(M392, Cards!A:B, 2, FALSE)</f>
        <v>فاطمه حسين آبادي</v>
      </c>
      <c r="H392" s="18">
        <v>1200000</v>
      </c>
      <c r="I392" s="19">
        <v>0</v>
      </c>
      <c r="J392" s="20">
        <v>76085890</v>
      </c>
      <c r="K392" s="21" t="s">
        <v>34</v>
      </c>
      <c r="L392" s="16" t="s">
        <v>1036</v>
      </c>
      <c r="M392" s="1" t="str">
        <f ca="1">IFERROR(__xludf.DUMMYFUNCTION("REGEXEXTRACT(E392, ""ک\s(\d{16})"")
"),"5894631204873137")</f>
        <v>5894631204873137</v>
      </c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</row>
    <row r="393" spans="1:29" ht="25.5" customHeight="1">
      <c r="A393" s="15">
        <v>385</v>
      </c>
      <c r="B393" s="15" t="s">
        <v>1027</v>
      </c>
      <c r="C393" s="16" t="s">
        <v>1037</v>
      </c>
      <c r="D393" s="16" t="s">
        <v>32</v>
      </c>
      <c r="E393" s="16" t="s">
        <v>1038</v>
      </c>
      <c r="F393" s="16"/>
      <c r="G393" s="17" t="str">
        <f ca="1">VLOOKUP(M393, Cards!A:B, 2, FALSE)</f>
        <v>محسن واسعي</v>
      </c>
      <c r="H393" s="18">
        <v>0</v>
      </c>
      <c r="I393" s="19">
        <v>50000000</v>
      </c>
      <c r="J393" s="20">
        <v>28085890</v>
      </c>
      <c r="K393" s="21" t="s">
        <v>34</v>
      </c>
      <c r="L393" s="16" t="s">
        <v>1039</v>
      </c>
      <c r="M393" s="1" t="str">
        <f ca="1">IFERROR(__xludf.DUMMYFUNCTION("REGEXEXTRACT(E393, ""ک\s(\d{16})"")
"),"5892101413472149")</f>
        <v>5892101413472149</v>
      </c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</row>
    <row r="394" spans="1:29" ht="25.5" customHeight="1">
      <c r="A394" s="15">
        <v>386</v>
      </c>
      <c r="B394" s="15" t="s">
        <v>1027</v>
      </c>
      <c r="C394" s="16" t="s">
        <v>1040</v>
      </c>
      <c r="D394" s="16" t="s">
        <v>32</v>
      </c>
      <c r="E394" s="16" t="s">
        <v>1041</v>
      </c>
      <c r="F394" s="16"/>
      <c r="G394" s="17" t="str">
        <f ca="1">VLOOKUP(M394, Cards!A:B, 2, FALSE)</f>
        <v>مجيد شجاع پور</v>
      </c>
      <c r="H394" s="18">
        <v>0</v>
      </c>
      <c r="I394" s="19">
        <v>9620000</v>
      </c>
      <c r="J394" s="20">
        <v>14388850</v>
      </c>
      <c r="K394" s="21" t="s">
        <v>34</v>
      </c>
      <c r="L394" s="16" t="s">
        <v>1042</v>
      </c>
      <c r="M394" s="1" t="str">
        <f ca="1">IFERROR(__xludf.DUMMYFUNCTION("REGEXEXTRACT(E394, ""ک\s(\d{16})"")
"),"5892101626109181")</f>
        <v>5892101626109181</v>
      </c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</row>
    <row r="395" spans="1:29" ht="25.5" customHeight="1">
      <c r="A395" s="15">
        <v>387</v>
      </c>
      <c r="B395" s="15" t="s">
        <v>1027</v>
      </c>
      <c r="C395" s="16" t="s">
        <v>1043</v>
      </c>
      <c r="D395" s="16" t="s">
        <v>32</v>
      </c>
      <c r="E395" s="16" t="s">
        <v>1044</v>
      </c>
      <c r="F395" s="16"/>
      <c r="G395" s="17" t="str">
        <f ca="1">VLOOKUP(M395, Cards!A:B, 2, FALSE)</f>
        <v>زهرا اردمه</v>
      </c>
      <c r="H395" s="18">
        <v>0</v>
      </c>
      <c r="I395" s="19">
        <v>4050000</v>
      </c>
      <c r="J395" s="20">
        <v>24016050</v>
      </c>
      <c r="K395" s="21" t="s">
        <v>34</v>
      </c>
      <c r="L395" s="16" t="s">
        <v>1045</v>
      </c>
      <c r="M395" s="1" t="str">
        <f ca="1">IFERROR(__xludf.DUMMYFUNCTION("REGEXEXTRACT(E395, ""ک\s(\d{16})"")
"),"6037998149271040")</f>
        <v>6037998149271040</v>
      </c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</row>
    <row r="396" spans="1:29" ht="25.5" customHeight="1">
      <c r="A396" s="15">
        <v>388</v>
      </c>
      <c r="B396" s="15" t="s">
        <v>1027</v>
      </c>
      <c r="C396" s="16" t="s">
        <v>1046</v>
      </c>
      <c r="D396" s="16" t="s">
        <v>32</v>
      </c>
      <c r="E396" s="16" t="s">
        <v>1047</v>
      </c>
      <c r="F396" s="16"/>
      <c r="G396" s="17" t="str">
        <f ca="1">VLOOKUP(M396, Cards!A:B, 2, FALSE)</f>
        <v>محمد خانگاه</v>
      </c>
      <c r="H396" s="18">
        <v>0</v>
      </c>
      <c r="I396" s="19">
        <v>29550000</v>
      </c>
      <c r="J396" s="20">
        <v>74898690</v>
      </c>
      <c r="K396" s="21" t="s">
        <v>34</v>
      </c>
      <c r="L396" s="16" t="s">
        <v>1048</v>
      </c>
      <c r="M396" s="1" t="str">
        <f ca="1">IFERROR(__xludf.DUMMYFUNCTION("REGEXEXTRACT(E396, ""ک\s(\d{16})"")
"),"6104338971567579")</f>
        <v>6104338971567579</v>
      </c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</row>
    <row r="397" spans="1:29" ht="25.5" customHeight="1">
      <c r="A397" s="15">
        <v>389</v>
      </c>
      <c r="B397" s="15" t="s">
        <v>1027</v>
      </c>
      <c r="C397" s="16" t="s">
        <v>1049</v>
      </c>
      <c r="D397" s="16" t="s">
        <v>52</v>
      </c>
      <c r="E397" s="16" t="s">
        <v>1050</v>
      </c>
      <c r="F397" s="16"/>
      <c r="G397" s="1" t="e">
        <f ca="1">VLOOKUP(M397, Cards!A:B, 2, FALSE)</f>
        <v>#N/A</v>
      </c>
      <c r="H397" s="18">
        <v>33000000</v>
      </c>
      <c r="I397" s="19">
        <v>0</v>
      </c>
      <c r="J397" s="20">
        <v>34648690</v>
      </c>
      <c r="K397" s="21" t="s">
        <v>54</v>
      </c>
      <c r="L397" s="16" t="s">
        <v>1051</v>
      </c>
      <c r="M397" s="1" t="str">
        <f ca="1">IFERROR(__xludf.DUMMYFUNCTION("REGEXEXTRACT(E397, ""ک\s(\d{16})"")
"),"#N/A")</f>
        <v>#N/A</v>
      </c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</row>
    <row r="398" spans="1:29" ht="25.5" customHeight="1">
      <c r="A398" s="15">
        <v>390</v>
      </c>
      <c r="B398" s="15" t="s">
        <v>1027</v>
      </c>
      <c r="C398" s="16" t="s">
        <v>1052</v>
      </c>
      <c r="D398" s="16" t="s">
        <v>52</v>
      </c>
      <c r="E398" s="16" t="s">
        <v>1053</v>
      </c>
      <c r="F398" s="16"/>
      <c r="G398" s="1" t="e">
        <f ca="1">VLOOKUP(M398, Cards!A:B, 2, FALSE)</f>
        <v>#N/A</v>
      </c>
      <c r="H398" s="18">
        <v>89000000</v>
      </c>
      <c r="I398" s="19">
        <v>0</v>
      </c>
      <c r="J398" s="20">
        <v>123648690</v>
      </c>
      <c r="K398" s="21" t="s">
        <v>54</v>
      </c>
      <c r="L398" s="16" t="s">
        <v>1054</v>
      </c>
      <c r="M398" s="1" t="str">
        <f ca="1">IFERROR(__xludf.DUMMYFUNCTION("REGEXEXTRACT(E398, ""ک\s(\d{16})"")
"),"#N/A")</f>
        <v>#N/A</v>
      </c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</row>
    <row r="399" spans="1:29" ht="25.5" customHeight="1">
      <c r="A399" s="15">
        <v>391</v>
      </c>
      <c r="B399" s="15" t="s">
        <v>1027</v>
      </c>
      <c r="C399" s="16" t="s">
        <v>1055</v>
      </c>
      <c r="D399" s="16" t="s">
        <v>60</v>
      </c>
      <c r="E399" s="16" t="s">
        <v>1056</v>
      </c>
      <c r="F399" s="16"/>
      <c r="G399" s="17" t="str">
        <f ca="1">VLOOKUP(M399, Cards!A:B, 2, FALSE)</f>
        <v>علي ابراهيميان</v>
      </c>
      <c r="H399" s="18">
        <v>0</v>
      </c>
      <c r="I399" s="19">
        <v>19200000</v>
      </c>
      <c r="J399" s="20">
        <v>104448690</v>
      </c>
      <c r="K399" s="21" t="s">
        <v>34</v>
      </c>
      <c r="L399" s="16" t="s">
        <v>1057</v>
      </c>
      <c r="M399" s="1" t="str">
        <f ca="1">IFERROR(__xludf.DUMMYFUNCTION("REGEXEXTRACT(E399, ""ک\s(\d{16})"")
"),"6219861085062957")</f>
        <v>6219861085062957</v>
      </c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</row>
    <row r="400" spans="1:29" ht="25.5" customHeight="1">
      <c r="A400" s="15">
        <v>392</v>
      </c>
      <c r="B400" s="15" t="s">
        <v>1027</v>
      </c>
      <c r="C400" s="16" t="s">
        <v>1037</v>
      </c>
      <c r="D400" s="16" t="s">
        <v>32</v>
      </c>
      <c r="E400" s="16" t="s">
        <v>1058</v>
      </c>
      <c r="F400" s="16"/>
      <c r="G400" s="17" t="str">
        <f ca="1">VLOOKUP(M400, Cards!A:B, 2, FALSE)</f>
        <v>علي ابراهيميان</v>
      </c>
      <c r="H400" s="18">
        <v>0</v>
      </c>
      <c r="I400" s="19">
        <v>18400</v>
      </c>
      <c r="J400" s="20">
        <v>28067490</v>
      </c>
      <c r="K400" s="21" t="s">
        <v>34</v>
      </c>
      <c r="L400" s="16" t="s">
        <v>1039</v>
      </c>
      <c r="M400" s="1" t="str">
        <f ca="1">IFERROR(__xludf.DUMMYFUNCTION("REGEXEXTRACT(E400, ""ک\s(\d{16})"")
"),"6219861085062957")</f>
        <v>6219861085062957</v>
      </c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</row>
    <row r="401" spans="1:29" ht="25.5" customHeight="1">
      <c r="A401" s="15">
        <v>393</v>
      </c>
      <c r="B401" s="15" t="s">
        <v>1027</v>
      </c>
      <c r="C401" s="16" t="s">
        <v>1043</v>
      </c>
      <c r="D401" s="16" t="s">
        <v>32</v>
      </c>
      <c r="E401" s="16" t="s">
        <v>1059</v>
      </c>
      <c r="F401" s="16"/>
      <c r="G401" s="17" t="str">
        <f ca="1">VLOOKUP(M401, Cards!A:B, 2, FALSE)</f>
        <v>علي ابراهيميان</v>
      </c>
      <c r="H401" s="18">
        <v>0</v>
      </c>
      <c r="I401" s="19">
        <v>7200</v>
      </c>
      <c r="J401" s="20">
        <v>24008850</v>
      </c>
      <c r="K401" s="21" t="s">
        <v>34</v>
      </c>
      <c r="L401" s="16" t="s">
        <v>1045</v>
      </c>
      <c r="M401" s="1" t="str">
        <f ca="1">IFERROR(__xludf.DUMMYFUNCTION("REGEXEXTRACT(E401, ""ک\s(\d{16})"")
"),"6219861085062957")</f>
        <v>6219861085062957</v>
      </c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</row>
    <row r="402" spans="1:29" ht="25.5" customHeight="1">
      <c r="A402" s="15">
        <v>394</v>
      </c>
      <c r="B402" s="15" t="s">
        <v>1027</v>
      </c>
      <c r="C402" s="16" t="s">
        <v>1040</v>
      </c>
      <c r="D402" s="16" t="s">
        <v>32</v>
      </c>
      <c r="E402" s="16" t="s">
        <v>1060</v>
      </c>
      <c r="F402" s="16"/>
      <c r="G402" s="17" t="str">
        <f ca="1">VLOOKUP(M402, Cards!A:B, 2, FALSE)</f>
        <v>علي ابراهيميان</v>
      </c>
      <c r="H402" s="18">
        <v>0</v>
      </c>
      <c r="I402" s="19">
        <v>7200</v>
      </c>
      <c r="J402" s="20">
        <v>14381650</v>
      </c>
      <c r="K402" s="21" t="s">
        <v>34</v>
      </c>
      <c r="L402" s="16" t="s">
        <v>1042</v>
      </c>
      <c r="M402" s="1" t="str">
        <f ca="1">IFERROR(__xludf.DUMMYFUNCTION("REGEXEXTRACT(E402, ""ک\s(\d{16})"")
"),"6219861085062957")</f>
        <v>6219861085062957</v>
      </c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</row>
    <row r="403" spans="1:29" ht="25.5" customHeight="1">
      <c r="A403" s="15">
        <v>395</v>
      </c>
      <c r="B403" s="15" t="s">
        <v>1027</v>
      </c>
      <c r="C403" s="16" t="s">
        <v>1046</v>
      </c>
      <c r="D403" s="16" t="s">
        <v>32</v>
      </c>
      <c r="E403" s="16" t="s">
        <v>1061</v>
      </c>
      <c r="F403" s="16"/>
      <c r="G403" s="17" t="str">
        <f ca="1">VLOOKUP(M403, Cards!A:B, 2, FALSE)</f>
        <v>علي ابراهيميان</v>
      </c>
      <c r="H403" s="18">
        <v>0</v>
      </c>
      <c r="I403" s="19">
        <v>12800</v>
      </c>
      <c r="J403" s="20">
        <v>74885890</v>
      </c>
      <c r="K403" s="21" t="s">
        <v>34</v>
      </c>
      <c r="L403" s="16" t="s">
        <v>1048</v>
      </c>
      <c r="M403" s="1" t="str">
        <f ca="1">IFERROR(__xludf.DUMMYFUNCTION("REGEXEXTRACT(E403, ""ک\s(\d{16})"")
"),"6219861085062957")</f>
        <v>6219861085062957</v>
      </c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</row>
    <row r="404" spans="1:29" ht="25.5" customHeight="1">
      <c r="A404" s="15">
        <v>396</v>
      </c>
      <c r="B404" s="15" t="s">
        <v>1027</v>
      </c>
      <c r="C404" s="16" t="s">
        <v>1062</v>
      </c>
      <c r="D404" s="16" t="s">
        <v>71</v>
      </c>
      <c r="E404" s="16" t="s">
        <v>1063</v>
      </c>
      <c r="F404" s="16"/>
      <c r="G404" s="17" t="str">
        <f ca="1">VLOOKUP(M404, Cards!A:B, 2, FALSE)</f>
        <v>علي ابراهيميان</v>
      </c>
      <c r="H404" s="18">
        <v>0</v>
      </c>
      <c r="I404" s="19">
        <v>1440</v>
      </c>
      <c r="J404" s="20">
        <v>28066050</v>
      </c>
      <c r="K404" s="21" t="s">
        <v>34</v>
      </c>
      <c r="L404" s="16" t="s">
        <v>1064</v>
      </c>
      <c r="M404" s="1" t="str">
        <f ca="1">IFERROR(__xludf.DUMMYFUNCTION("REGEXEXTRACT(E404, ""ک\s(\d{16})"")
"),"6219861085062957")</f>
        <v>6219861085062957</v>
      </c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</row>
    <row r="405" spans="1:29" ht="25.5" customHeight="1">
      <c r="A405" s="15">
        <v>397</v>
      </c>
      <c r="B405" s="15" t="s">
        <v>1065</v>
      </c>
      <c r="C405" s="16" t="s">
        <v>1066</v>
      </c>
      <c r="D405" s="16" t="s">
        <v>32</v>
      </c>
      <c r="E405" s="16" t="s">
        <v>1067</v>
      </c>
      <c r="F405" s="16"/>
      <c r="G405" s="17" t="str">
        <f ca="1">VLOOKUP(M405, Cards!A:B, 2, FALSE)</f>
        <v>احمد زارعي</v>
      </c>
      <c r="H405" s="18">
        <v>550000</v>
      </c>
      <c r="I405" s="19">
        <v>0</v>
      </c>
      <c r="J405" s="20">
        <v>4892410</v>
      </c>
      <c r="K405" s="21" t="s">
        <v>34</v>
      </c>
      <c r="L405" s="16" t="s">
        <v>1068</v>
      </c>
      <c r="M405" s="1" t="str">
        <f ca="1">IFERROR(__xludf.DUMMYFUNCTION("REGEXEXTRACT(E405, ""ک\s(\d{16})"")
"),"6037691647225903")</f>
        <v>6037691647225903</v>
      </c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</row>
    <row r="406" spans="1:29" ht="25.5" customHeight="1">
      <c r="A406" s="15">
        <v>398</v>
      </c>
      <c r="B406" s="15" t="s">
        <v>1065</v>
      </c>
      <c r="C406" s="16" t="s">
        <v>1069</v>
      </c>
      <c r="D406" s="16" t="s">
        <v>32</v>
      </c>
      <c r="E406" s="16" t="s">
        <v>1070</v>
      </c>
      <c r="F406" s="16"/>
      <c r="G406" s="17" t="str">
        <f ca="1">VLOOKUP(M406, Cards!A:B, 2, FALSE)</f>
        <v>حسين ميربلوک</v>
      </c>
      <c r="H406" s="18">
        <v>800000</v>
      </c>
      <c r="I406" s="19">
        <v>0</v>
      </c>
      <c r="J406" s="20">
        <v>85441650</v>
      </c>
      <c r="K406" s="21" t="s">
        <v>34</v>
      </c>
      <c r="L406" s="16" t="s">
        <v>1071</v>
      </c>
      <c r="M406" s="1" t="str">
        <f ca="1">IFERROR(__xludf.DUMMYFUNCTION("REGEXEXTRACT(E406, ""ک\s(\d{16})"")
"),"6037697681149024")</f>
        <v>6037697681149024</v>
      </c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</row>
    <row r="407" spans="1:29" ht="25.5" customHeight="1">
      <c r="A407" s="15">
        <v>399</v>
      </c>
      <c r="B407" s="15" t="s">
        <v>1065</v>
      </c>
      <c r="C407" s="16" t="s">
        <v>1072</v>
      </c>
      <c r="D407" s="16" t="s">
        <v>32</v>
      </c>
      <c r="E407" s="16" t="s">
        <v>1073</v>
      </c>
      <c r="F407" s="16"/>
      <c r="G407" s="17">
        <f ca="1">VLOOKUP(M407, Cards!A:B, 2, FALSE)</f>
        <v>0</v>
      </c>
      <c r="H407" s="18">
        <v>1050000</v>
      </c>
      <c r="I407" s="19">
        <v>0</v>
      </c>
      <c r="J407" s="20">
        <v>86491650</v>
      </c>
      <c r="K407" s="21" t="s">
        <v>34</v>
      </c>
      <c r="L407" s="16" t="s">
        <v>1074</v>
      </c>
      <c r="M407" s="1" t="str">
        <f ca="1">IFERROR(__xludf.DUMMYFUNCTION("REGEXEXTRACT(E407, ""ک\s(\d{16})"")
"),"5892101396907889")</f>
        <v>5892101396907889</v>
      </c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</row>
    <row r="408" spans="1:29" ht="25.5" customHeight="1">
      <c r="A408" s="15">
        <v>400</v>
      </c>
      <c r="B408" s="15" t="s">
        <v>1065</v>
      </c>
      <c r="C408" s="16" t="s">
        <v>1075</v>
      </c>
      <c r="D408" s="16" t="s">
        <v>32</v>
      </c>
      <c r="E408" s="16" t="s">
        <v>1076</v>
      </c>
      <c r="F408" s="16"/>
      <c r="G408" s="17" t="str">
        <f ca="1">VLOOKUP(M408, Cards!A:B, 2, FALSE)</f>
        <v>محمد کريمي</v>
      </c>
      <c r="H408" s="18">
        <v>0</v>
      </c>
      <c r="I408" s="19">
        <v>47183800</v>
      </c>
      <c r="J408" s="20">
        <v>39306410</v>
      </c>
      <c r="K408" s="21" t="s">
        <v>34</v>
      </c>
      <c r="L408" s="16" t="s">
        <v>1077</v>
      </c>
      <c r="M408" s="1" t="str">
        <f ca="1">IFERROR(__xludf.DUMMYFUNCTION("REGEXEXTRACT(E408, ""ک\s(\d{16})"")
"),"5892101643117522")</f>
        <v>5892101643117522</v>
      </c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</row>
    <row r="409" spans="1:29" ht="25.5" customHeight="1">
      <c r="A409" s="15">
        <v>401</v>
      </c>
      <c r="B409" s="15" t="s">
        <v>1065</v>
      </c>
      <c r="C409" s="16" t="s">
        <v>1078</v>
      </c>
      <c r="D409" s="16" t="s">
        <v>32</v>
      </c>
      <c r="E409" s="16" t="s">
        <v>1079</v>
      </c>
      <c r="F409" s="16"/>
      <c r="G409" s="17" t="str">
        <f ca="1">VLOOKUP(M409, Cards!A:B, 2, FALSE)</f>
        <v>محسن خانگاه</v>
      </c>
      <c r="H409" s="18">
        <v>0</v>
      </c>
      <c r="I409" s="19">
        <v>34930000</v>
      </c>
      <c r="J409" s="20">
        <v>4358010</v>
      </c>
      <c r="K409" s="21" t="s">
        <v>34</v>
      </c>
      <c r="L409" s="16" t="s">
        <v>1080</v>
      </c>
      <c r="M409" s="1" t="str">
        <f ca="1">IFERROR(__xludf.DUMMYFUNCTION("REGEXEXTRACT(E409, ""ک\s(\d{16})"")
"),"6274121208660688")</f>
        <v>6274121208660688</v>
      </c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</row>
    <row r="410" spans="1:29" ht="25.5" customHeight="1">
      <c r="A410" s="15">
        <v>402</v>
      </c>
      <c r="B410" s="15" t="s">
        <v>1065</v>
      </c>
      <c r="C410" s="16" t="s">
        <v>1081</v>
      </c>
      <c r="D410" s="16" t="s">
        <v>32</v>
      </c>
      <c r="E410" s="16" t="s">
        <v>1082</v>
      </c>
      <c r="F410" s="16"/>
      <c r="G410" s="17" t="str">
        <f ca="1">VLOOKUP(M410, Cards!A:B, 2, FALSE)</f>
        <v>محمد مومني</v>
      </c>
      <c r="H410" s="18">
        <v>0</v>
      </c>
      <c r="I410" s="19">
        <v>3500000</v>
      </c>
      <c r="J410" s="20">
        <v>1390970</v>
      </c>
      <c r="K410" s="21" t="s">
        <v>34</v>
      </c>
      <c r="L410" s="16" t="s">
        <v>1083</v>
      </c>
      <c r="M410" s="1" t="str">
        <f ca="1">IFERROR(__xludf.DUMMYFUNCTION("REGEXEXTRACT(E410, ""ک\s(\d{16})"")
"),"6362141055049986")</f>
        <v>6362141055049986</v>
      </c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</row>
    <row r="411" spans="1:29" ht="25.5" customHeight="1">
      <c r="A411" s="15">
        <v>403</v>
      </c>
      <c r="B411" s="15" t="s">
        <v>1065</v>
      </c>
      <c r="C411" s="16" t="s">
        <v>1084</v>
      </c>
      <c r="D411" s="16" t="s">
        <v>52</v>
      </c>
      <c r="E411" s="16" t="s">
        <v>1085</v>
      </c>
      <c r="F411" s="16"/>
      <c r="G411" s="1" t="e">
        <f ca="1">VLOOKUP(M411, Cards!A:B, 2, FALSE)</f>
        <v>#N/A</v>
      </c>
      <c r="H411" s="18">
        <v>26000000</v>
      </c>
      <c r="I411" s="19">
        <v>0</v>
      </c>
      <c r="J411" s="20">
        <v>40381650</v>
      </c>
      <c r="K411" s="21" t="s">
        <v>54</v>
      </c>
      <c r="L411" s="16" t="s">
        <v>1086</v>
      </c>
      <c r="M411" s="1" t="str">
        <f ca="1">IFERROR(__xludf.DUMMYFUNCTION("REGEXEXTRACT(E411, ""ک\s(\d{16})"")
"),"#N/A")</f>
        <v>#N/A</v>
      </c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</row>
    <row r="412" spans="1:29" ht="25.5" customHeight="1">
      <c r="A412" s="15">
        <v>404</v>
      </c>
      <c r="B412" s="15" t="s">
        <v>1065</v>
      </c>
      <c r="C412" s="16" t="s">
        <v>1087</v>
      </c>
      <c r="D412" s="16" t="s">
        <v>52</v>
      </c>
      <c r="E412" s="16" t="s">
        <v>1088</v>
      </c>
      <c r="F412" s="16"/>
      <c r="G412" s="1" t="e">
        <f ca="1">VLOOKUP(M412, Cards!A:B, 2, FALSE)</f>
        <v>#N/A</v>
      </c>
      <c r="H412" s="18">
        <v>84000000</v>
      </c>
      <c r="I412" s="19">
        <v>0</v>
      </c>
      <c r="J412" s="20">
        <v>124381650</v>
      </c>
      <c r="K412" s="21" t="s">
        <v>54</v>
      </c>
      <c r="L412" s="16" t="s">
        <v>1089</v>
      </c>
      <c r="M412" s="1" t="str">
        <f ca="1">IFERROR(__xludf.DUMMYFUNCTION("REGEXEXTRACT(E412, ""ک\s(\d{16})"")
"),"#N/A")</f>
        <v>#N/A</v>
      </c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</row>
    <row r="413" spans="1:29" ht="25.5" customHeight="1">
      <c r="A413" s="15">
        <v>405</v>
      </c>
      <c r="B413" s="15" t="s">
        <v>1065</v>
      </c>
      <c r="C413" s="16" t="s">
        <v>1090</v>
      </c>
      <c r="D413" s="16" t="s">
        <v>60</v>
      </c>
      <c r="E413" s="16" t="s">
        <v>1091</v>
      </c>
      <c r="F413" s="16"/>
      <c r="G413" s="17" t="str">
        <f ca="1">VLOOKUP(M413, Cards!A:B, 2, FALSE)</f>
        <v>علي ابراهيميان</v>
      </c>
      <c r="H413" s="18">
        <v>0</v>
      </c>
      <c r="I413" s="19">
        <v>16500000</v>
      </c>
      <c r="J413" s="20">
        <v>84641650</v>
      </c>
      <c r="K413" s="21" t="s">
        <v>34</v>
      </c>
      <c r="L413" s="16" t="s">
        <v>1092</v>
      </c>
      <c r="M413" s="1" t="str">
        <f ca="1">IFERROR(__xludf.DUMMYFUNCTION("REGEXEXTRACT(E413, ""ک\s(\d{16})"")
"),"6219861085062957")</f>
        <v>6219861085062957</v>
      </c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</row>
    <row r="414" spans="1:29" ht="25.5" customHeight="1">
      <c r="A414" s="15">
        <v>406</v>
      </c>
      <c r="B414" s="15" t="s">
        <v>1065</v>
      </c>
      <c r="C414" s="16" t="s">
        <v>1093</v>
      </c>
      <c r="D414" s="16" t="s">
        <v>60</v>
      </c>
      <c r="E414" s="16" t="s">
        <v>1094</v>
      </c>
      <c r="F414" s="16"/>
      <c r="G414" s="17" t="str">
        <f ca="1">VLOOKUP(M414, Cards!A:B, 2, FALSE)</f>
        <v>علي ابراهيميان</v>
      </c>
      <c r="H414" s="18">
        <v>0</v>
      </c>
      <c r="I414" s="19">
        <v>11640000</v>
      </c>
      <c r="J414" s="20">
        <v>112741650</v>
      </c>
      <c r="K414" s="21" t="s">
        <v>34</v>
      </c>
      <c r="L414" s="16" t="s">
        <v>1095</v>
      </c>
      <c r="M414" s="1" t="str">
        <f ca="1">IFERROR(__xludf.DUMMYFUNCTION("REGEXEXTRACT(E414, ""ک\s(\d{16})"")
"),"6219861085062957")</f>
        <v>6219861085062957</v>
      </c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</row>
    <row r="415" spans="1:29" ht="25.5" customHeight="1">
      <c r="A415" s="15">
        <v>407</v>
      </c>
      <c r="B415" s="15" t="s">
        <v>1065</v>
      </c>
      <c r="C415" s="16" t="s">
        <v>1096</v>
      </c>
      <c r="D415" s="16" t="s">
        <v>60</v>
      </c>
      <c r="E415" s="16" t="s">
        <v>1097</v>
      </c>
      <c r="F415" s="16"/>
      <c r="G415" s="17" t="str">
        <f ca="1">VLOOKUP(M415, Cards!A:B, 2, FALSE)</f>
        <v>علي ابراهيميان</v>
      </c>
      <c r="H415" s="18">
        <v>0</v>
      </c>
      <c r="I415" s="19">
        <v>11600000</v>
      </c>
      <c r="J415" s="20">
        <v>101141650</v>
      </c>
      <c r="K415" s="21" t="s">
        <v>34</v>
      </c>
      <c r="L415" s="16" t="s">
        <v>1098</v>
      </c>
      <c r="M415" s="1" t="str">
        <f ca="1">IFERROR(__xludf.DUMMYFUNCTION("REGEXEXTRACT(E415, ""ک\s(\d{16})"")
"),"6219861085062957")</f>
        <v>6219861085062957</v>
      </c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</row>
    <row r="416" spans="1:29" ht="25.5" customHeight="1">
      <c r="A416" s="15">
        <v>408</v>
      </c>
      <c r="B416" s="15" t="s">
        <v>1065</v>
      </c>
      <c r="C416" s="16" t="s">
        <v>1075</v>
      </c>
      <c r="D416" s="16" t="s">
        <v>32</v>
      </c>
      <c r="E416" s="16" t="s">
        <v>1099</v>
      </c>
      <c r="F416" s="16"/>
      <c r="G416" s="17" t="str">
        <f ca="1">VLOOKUP(M416, Cards!A:B, 2, FALSE)</f>
        <v>علي ابراهيميان</v>
      </c>
      <c r="H416" s="18">
        <v>0</v>
      </c>
      <c r="I416" s="19">
        <v>18400</v>
      </c>
      <c r="J416" s="20">
        <v>39288010</v>
      </c>
      <c r="K416" s="21" t="s">
        <v>34</v>
      </c>
      <c r="L416" s="16" t="s">
        <v>1077</v>
      </c>
      <c r="M416" s="1" t="str">
        <f ca="1">IFERROR(__xludf.DUMMYFUNCTION("REGEXEXTRACT(E416, ""ک\s(\d{16})"")
"),"6219861085062957")</f>
        <v>6219861085062957</v>
      </c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</row>
    <row r="417" spans="1:29" ht="25.5" customHeight="1">
      <c r="A417" s="15">
        <v>409</v>
      </c>
      <c r="B417" s="15" t="s">
        <v>1065</v>
      </c>
      <c r="C417" s="16" t="s">
        <v>1078</v>
      </c>
      <c r="D417" s="16" t="s">
        <v>32</v>
      </c>
      <c r="E417" s="16" t="s">
        <v>1100</v>
      </c>
      <c r="F417" s="16"/>
      <c r="G417" s="17" t="str">
        <f ca="1">VLOOKUP(M417, Cards!A:B, 2, FALSE)</f>
        <v>علي ابراهيميان</v>
      </c>
      <c r="H417" s="18">
        <v>0</v>
      </c>
      <c r="I417" s="19">
        <v>15600</v>
      </c>
      <c r="J417" s="20">
        <v>4342410</v>
      </c>
      <c r="K417" s="21" t="s">
        <v>34</v>
      </c>
      <c r="L417" s="16" t="s">
        <v>1080</v>
      </c>
      <c r="M417" s="1" t="str">
        <f ca="1">IFERROR(__xludf.DUMMYFUNCTION("REGEXEXTRACT(E417, ""ک\s(\d{16})"")
"),"6219861085062957")</f>
        <v>6219861085062957</v>
      </c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</row>
    <row r="418" spans="1:29" ht="25.5" customHeight="1">
      <c r="A418" s="15">
        <v>410</v>
      </c>
      <c r="B418" s="15" t="s">
        <v>1065</v>
      </c>
      <c r="C418" s="16" t="s">
        <v>1081</v>
      </c>
      <c r="D418" s="16" t="s">
        <v>32</v>
      </c>
      <c r="E418" s="16" t="s">
        <v>1101</v>
      </c>
      <c r="F418" s="16"/>
      <c r="G418" s="17" t="str">
        <f ca="1">VLOOKUP(M418, Cards!A:B, 2, FALSE)</f>
        <v>علي ابراهيميان</v>
      </c>
      <c r="H418" s="18">
        <v>0</v>
      </c>
      <c r="I418" s="19">
        <v>7200</v>
      </c>
      <c r="J418" s="20">
        <v>1383770</v>
      </c>
      <c r="K418" s="21" t="s">
        <v>34</v>
      </c>
      <c r="L418" s="16" t="s">
        <v>1083</v>
      </c>
      <c r="M418" s="1" t="str">
        <f ca="1">IFERROR(__xludf.DUMMYFUNCTION("REGEXEXTRACT(E418, ""ک\s(\d{16})"")
"),"6219861085062957")</f>
        <v>6219861085062957</v>
      </c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</row>
    <row r="419" spans="1:29" ht="25.5" customHeight="1">
      <c r="A419" s="15">
        <v>411</v>
      </c>
      <c r="B419" s="15" t="s">
        <v>1065</v>
      </c>
      <c r="C419" s="16" t="s">
        <v>1102</v>
      </c>
      <c r="D419" s="16" t="s">
        <v>71</v>
      </c>
      <c r="E419" s="16" t="s">
        <v>1103</v>
      </c>
      <c r="F419" s="16"/>
      <c r="G419" s="17" t="str">
        <f ca="1">VLOOKUP(M419, Cards!A:B, 2, FALSE)</f>
        <v>علي ابراهيميان</v>
      </c>
      <c r="H419" s="18">
        <v>0</v>
      </c>
      <c r="I419" s="19">
        <v>1440</v>
      </c>
      <c r="J419" s="20">
        <v>86490210</v>
      </c>
      <c r="K419" s="21" t="s">
        <v>34</v>
      </c>
      <c r="L419" s="16" t="s">
        <v>1104</v>
      </c>
      <c r="M419" s="1" t="str">
        <f ca="1">IFERROR(__xludf.DUMMYFUNCTION("REGEXEXTRACT(E419, ""ک\s(\d{16})"")
"),"6219861085062957")</f>
        <v>6219861085062957</v>
      </c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</row>
    <row r="420" spans="1:29" ht="25.5" customHeight="1">
      <c r="A420" s="15">
        <v>412</v>
      </c>
      <c r="B420" s="15" t="s">
        <v>1065</v>
      </c>
      <c r="C420" s="16" t="s">
        <v>1105</v>
      </c>
      <c r="D420" s="16" t="s">
        <v>71</v>
      </c>
      <c r="E420" s="16" t="s">
        <v>1106</v>
      </c>
      <c r="F420" s="16"/>
      <c r="G420" s="17" t="str">
        <f ca="1">VLOOKUP(M420, Cards!A:B, 2, FALSE)</f>
        <v>علي ابراهيميان</v>
      </c>
      <c r="H420" s="18">
        <v>0</v>
      </c>
      <c r="I420" s="19">
        <v>1440</v>
      </c>
      <c r="J420" s="20">
        <v>4890970</v>
      </c>
      <c r="K420" s="21" t="s">
        <v>34</v>
      </c>
      <c r="L420" s="16" t="s">
        <v>1107</v>
      </c>
      <c r="M420" s="1" t="str">
        <f ca="1">IFERROR(__xludf.DUMMYFUNCTION("REGEXEXTRACT(E420, ""ک\s(\d{16})"")
"),"6219861085062957")</f>
        <v>6219861085062957</v>
      </c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</row>
    <row r="421" spans="1:29" ht="11.25" customHeight="1">
      <c r="A421" s="22"/>
      <c r="B421" s="22"/>
      <c r="C421" s="22"/>
      <c r="D421" s="22"/>
      <c r="E421" s="24" t="s">
        <v>1108</v>
      </c>
      <c r="F421" s="24"/>
      <c r="G421" s="1"/>
      <c r="H421" s="25">
        <f t="shared" ref="H421:I421" si="0">SUM(H9:H420)</f>
        <v>2983490000</v>
      </c>
      <c r="I421" s="25">
        <f t="shared" si="0"/>
        <v>2985494170</v>
      </c>
      <c r="J421" s="22"/>
      <c r="K421" s="22"/>
      <c r="L421" s="22"/>
      <c r="M421" s="1" t="str">
        <f ca="1">IFERROR(__xludf.DUMMYFUNCTION("REGEXEXTRACT(E421, ""ک\s(\d{16})"")
"),"#N/A")</f>
        <v>#N/A</v>
      </c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</row>
    <row r="422" spans="1:29" ht="11.25" customHeight="1">
      <c r="A422" s="22"/>
      <c r="B422" s="22"/>
      <c r="C422" s="22"/>
      <c r="D422" s="22"/>
      <c r="E422" s="22"/>
      <c r="F422" s="22"/>
      <c r="G422" s="1"/>
      <c r="H422" s="22"/>
      <c r="I422" s="22"/>
      <c r="J422" s="22"/>
      <c r="K422" s="22"/>
      <c r="L422" s="22"/>
      <c r="M422" s="1" t="str">
        <f ca="1">IFERROR(__xludf.DUMMYFUNCTION("REGEXEXTRACT(E422, ""ک\s(\d{16})"")
"),"#N/A")</f>
        <v>#N/A</v>
      </c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</row>
    <row r="423" spans="1:29" ht="18.75" customHeight="1">
      <c r="A423" s="26"/>
      <c r="B423" s="22"/>
      <c r="C423" s="22"/>
      <c r="D423" s="22"/>
      <c r="E423" s="27"/>
      <c r="F423" s="22"/>
      <c r="G423" s="1"/>
      <c r="H423" s="28"/>
      <c r="I423" s="29"/>
      <c r="J423" s="22"/>
      <c r="K423" s="22"/>
      <c r="L423" s="22"/>
      <c r="M423" s="1" t="str">
        <f ca="1">IFERROR(__xludf.DUMMYFUNCTION("REGEXEXTRACT(E423, ""ک\s(\d{16})"")
"),"#N/A")</f>
        <v>#N/A</v>
      </c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</row>
    <row r="424" spans="1:29" ht="11.25" customHeight="1">
      <c r="A424" s="22"/>
      <c r="B424" s="22"/>
      <c r="C424" s="22"/>
      <c r="D424" s="22"/>
      <c r="E424" s="22"/>
      <c r="F424" s="22"/>
      <c r="G424" s="1"/>
      <c r="H424" s="22"/>
      <c r="I424" s="22"/>
      <c r="J424" s="22"/>
      <c r="K424" s="22"/>
      <c r="L424" s="22"/>
      <c r="M424" s="1" t="str">
        <f ca="1">IFERROR(__xludf.DUMMYFUNCTION("REGEXEXTRACT(E424, ""ک\s(\d{16})"")
"),"#N/A")</f>
        <v>#N/A</v>
      </c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</row>
    <row r="425" spans="1:29" ht="11.25" customHeight="1">
      <c r="A425" s="22"/>
      <c r="B425" s="22"/>
      <c r="C425" s="22"/>
      <c r="D425" s="22"/>
      <c r="E425" s="22"/>
      <c r="F425" s="22"/>
      <c r="G425" s="1"/>
      <c r="H425" s="22"/>
      <c r="I425" s="22"/>
      <c r="J425" s="22"/>
      <c r="K425" s="22"/>
      <c r="L425" s="22"/>
      <c r="M425" s="1" t="str">
        <f ca="1">IFERROR(__xludf.DUMMYFUNCTION("REGEXEXTRACT(E425, ""ک\s(\d{16})"")
"),"#N/A")</f>
        <v>#N/A</v>
      </c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</row>
    <row r="426" spans="1:29" ht="11.25" customHeight="1">
      <c r="A426" s="22"/>
      <c r="B426" s="22"/>
      <c r="C426" s="22"/>
      <c r="D426" s="22"/>
      <c r="E426" s="22"/>
      <c r="F426" s="22"/>
      <c r="G426" s="1"/>
      <c r="H426" s="22"/>
      <c r="I426" s="22"/>
      <c r="J426" s="22"/>
      <c r="K426" s="22"/>
      <c r="L426" s="22"/>
      <c r="M426" s="1" t="str">
        <f ca="1">IFERROR(__xludf.DUMMYFUNCTION("REGEXEXTRACT(E426, ""ک\s(\d{16})"")
"),"#N/A")</f>
        <v>#N/A</v>
      </c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</row>
    <row r="427" spans="1:29" ht="11.25" customHeight="1">
      <c r="A427" s="22"/>
      <c r="B427" s="22"/>
      <c r="C427" s="22"/>
      <c r="D427" s="22"/>
      <c r="E427" s="22"/>
      <c r="F427" s="22"/>
      <c r="G427" s="1"/>
      <c r="H427" s="22"/>
      <c r="I427" s="22"/>
      <c r="J427" s="22"/>
      <c r="K427" s="22"/>
      <c r="L427" s="22"/>
      <c r="M427" s="1" t="str">
        <f ca="1">IFERROR(__xludf.DUMMYFUNCTION("REGEXEXTRACT(E427, ""ک\s(\d{16})"")
"),"#N/A")</f>
        <v>#N/A</v>
      </c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</row>
    <row r="428" spans="1:29" ht="11.25" customHeight="1">
      <c r="A428" s="22"/>
      <c r="B428" s="22"/>
      <c r="C428" s="22"/>
      <c r="D428" s="22"/>
      <c r="E428" s="22"/>
      <c r="F428" s="22"/>
      <c r="G428" s="1"/>
      <c r="H428" s="22"/>
      <c r="I428" s="22"/>
      <c r="J428" s="22"/>
      <c r="K428" s="22"/>
      <c r="L428" s="22"/>
      <c r="M428" s="1" t="str">
        <f ca="1">IFERROR(__xludf.DUMMYFUNCTION("REGEXEXTRACT(E428, ""ک\s(\d{16})"")
"),"#N/A")</f>
        <v>#N/A</v>
      </c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</row>
    <row r="429" spans="1:29" ht="11.25" customHeight="1">
      <c r="A429" s="22"/>
      <c r="B429" s="22"/>
      <c r="C429" s="22"/>
      <c r="D429" s="22"/>
      <c r="E429" s="22"/>
      <c r="F429" s="22"/>
      <c r="G429" s="1"/>
      <c r="H429" s="22"/>
      <c r="I429" s="22"/>
      <c r="J429" s="22"/>
      <c r="K429" s="22"/>
      <c r="L429" s="22"/>
      <c r="M429" s="1" t="str">
        <f ca="1">IFERROR(__xludf.DUMMYFUNCTION("REGEXEXTRACT(E429, ""ک\s(\d{16})"")
"),"#N/A")</f>
        <v>#N/A</v>
      </c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</row>
    <row r="430" spans="1:29" ht="11.25" customHeight="1">
      <c r="A430" s="22"/>
      <c r="B430" s="22"/>
      <c r="C430" s="22"/>
      <c r="D430" s="22"/>
      <c r="E430" s="22"/>
      <c r="F430" s="22"/>
      <c r="G430" s="1"/>
      <c r="H430" s="22"/>
      <c r="I430" s="22"/>
      <c r="J430" s="22"/>
      <c r="K430" s="22"/>
      <c r="L430" s="22"/>
      <c r="M430" s="1" t="str">
        <f ca="1">IFERROR(__xludf.DUMMYFUNCTION("REGEXEXTRACT(E430, ""ک\s(\d{16})"")
"),"#N/A")</f>
        <v>#N/A</v>
      </c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</row>
    <row r="431" spans="1:29" ht="11.25" customHeight="1">
      <c r="A431" s="22"/>
      <c r="B431" s="22"/>
      <c r="C431" s="22"/>
      <c r="D431" s="22"/>
      <c r="E431" s="22"/>
      <c r="F431" s="22"/>
      <c r="G431" s="1"/>
      <c r="H431" s="22"/>
      <c r="I431" s="22"/>
      <c r="J431" s="22"/>
      <c r="K431" s="22"/>
      <c r="L431" s="22"/>
      <c r="M431" s="1" t="str">
        <f ca="1">IFERROR(__xludf.DUMMYFUNCTION("REGEXEXTRACT(E431, ""ک\s(\d{16})"")
"),"#N/A")</f>
        <v>#N/A</v>
      </c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</row>
    <row r="432" spans="1:29" ht="11.25" customHeight="1">
      <c r="A432" s="22"/>
      <c r="B432" s="22"/>
      <c r="C432" s="22"/>
      <c r="D432" s="22"/>
      <c r="E432" s="22"/>
      <c r="F432" s="22"/>
      <c r="G432" s="1"/>
      <c r="H432" s="22"/>
      <c r="I432" s="22"/>
      <c r="J432" s="22"/>
      <c r="K432" s="22"/>
      <c r="L432" s="22"/>
      <c r="M432" s="1" t="str">
        <f ca="1">IFERROR(__xludf.DUMMYFUNCTION("REGEXEXTRACT(E432, ""ک\s(\d{16})"")
"),"#N/A")</f>
        <v>#N/A</v>
      </c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</row>
    <row r="433" spans="1:29" ht="11.25" customHeight="1">
      <c r="A433" s="22"/>
      <c r="B433" s="22"/>
      <c r="C433" s="22"/>
      <c r="D433" s="22"/>
      <c r="E433" s="22"/>
      <c r="F433" s="22"/>
      <c r="G433" s="1"/>
      <c r="H433" s="22"/>
      <c r="I433" s="22"/>
      <c r="J433" s="22"/>
      <c r="K433" s="22"/>
      <c r="L433" s="22"/>
      <c r="M433" s="1" t="str">
        <f ca="1">IFERROR(__xludf.DUMMYFUNCTION("REGEXEXTRACT(E433, ""ک\s(\d{16})"")
"),"#N/A")</f>
        <v>#N/A</v>
      </c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</row>
    <row r="434" spans="1:29" ht="11.25" customHeight="1">
      <c r="A434" s="22"/>
      <c r="B434" s="22"/>
      <c r="C434" s="22"/>
      <c r="D434" s="22"/>
      <c r="E434" s="22"/>
      <c r="F434" s="22"/>
      <c r="G434" s="1"/>
      <c r="H434" s="22"/>
      <c r="I434" s="22"/>
      <c r="J434" s="22"/>
      <c r="K434" s="22"/>
      <c r="L434" s="22"/>
      <c r="M434" s="1" t="str">
        <f ca="1">IFERROR(__xludf.DUMMYFUNCTION("REGEXEXTRACT(E434, ""ک\s(\d{16})"")
"),"#N/A")</f>
        <v>#N/A</v>
      </c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</row>
    <row r="435" spans="1:29" ht="11.25" customHeight="1">
      <c r="A435" s="22"/>
      <c r="B435" s="22"/>
      <c r="C435" s="22"/>
      <c r="D435" s="22"/>
      <c r="E435" s="22"/>
      <c r="F435" s="22"/>
      <c r="G435" s="1"/>
      <c r="H435" s="22"/>
      <c r="I435" s="22"/>
      <c r="J435" s="22"/>
      <c r="K435" s="22"/>
      <c r="L435" s="22"/>
      <c r="M435" s="1" t="str">
        <f ca="1">IFERROR(__xludf.DUMMYFUNCTION("REGEXEXTRACT(E435, ""ک\s(\d{16})"")
"),"#N/A")</f>
        <v>#N/A</v>
      </c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</row>
    <row r="436" spans="1:29" ht="11.25" customHeight="1">
      <c r="A436" s="22"/>
      <c r="B436" s="22"/>
      <c r="C436" s="22"/>
      <c r="D436" s="22"/>
      <c r="E436" s="22"/>
      <c r="F436" s="22"/>
      <c r="G436" s="1"/>
      <c r="H436" s="22"/>
      <c r="I436" s="22"/>
      <c r="J436" s="22"/>
      <c r="K436" s="22"/>
      <c r="L436" s="22"/>
      <c r="M436" s="1" t="str">
        <f ca="1">IFERROR(__xludf.DUMMYFUNCTION("REGEXEXTRACT(E436, ""ک\s(\d{16})"")
"),"#N/A")</f>
        <v>#N/A</v>
      </c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</row>
    <row r="437" spans="1:29" ht="11.25" customHeight="1">
      <c r="A437" s="22"/>
      <c r="B437" s="22"/>
      <c r="C437" s="22"/>
      <c r="D437" s="22"/>
      <c r="E437" s="22"/>
      <c r="F437" s="22"/>
      <c r="G437" s="1"/>
      <c r="H437" s="22"/>
      <c r="I437" s="22"/>
      <c r="J437" s="22"/>
      <c r="K437" s="22"/>
      <c r="L437" s="22"/>
      <c r="M437" s="1" t="str">
        <f ca="1">IFERROR(__xludf.DUMMYFUNCTION("REGEXEXTRACT(E437, ""ک\s(\d{16})"")
"),"#N/A")</f>
        <v>#N/A</v>
      </c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</row>
    <row r="438" spans="1:29" ht="11.25" customHeight="1">
      <c r="A438" s="22"/>
      <c r="B438" s="22"/>
      <c r="C438" s="22"/>
      <c r="D438" s="22"/>
      <c r="E438" s="22"/>
      <c r="F438" s="22"/>
      <c r="G438" s="1"/>
      <c r="H438" s="22"/>
      <c r="I438" s="22"/>
      <c r="J438" s="22"/>
      <c r="K438" s="22"/>
      <c r="L438" s="22"/>
      <c r="M438" s="1" t="str">
        <f ca="1">IFERROR(__xludf.DUMMYFUNCTION("REGEXEXTRACT(E438, ""ک\s(\d{16})"")
"),"#N/A")</f>
        <v>#N/A</v>
      </c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</row>
    <row r="439" spans="1:29" ht="11.25" customHeight="1">
      <c r="A439" s="22"/>
      <c r="B439" s="22"/>
      <c r="C439" s="22"/>
      <c r="D439" s="22"/>
      <c r="E439" s="22"/>
      <c r="F439" s="22"/>
      <c r="G439" s="1"/>
      <c r="H439" s="22"/>
      <c r="I439" s="22"/>
      <c r="J439" s="22"/>
      <c r="K439" s="22"/>
      <c r="L439" s="22"/>
      <c r="M439" s="1" t="str">
        <f ca="1">IFERROR(__xludf.DUMMYFUNCTION("REGEXEXTRACT(E439, ""ک\s(\d{16})"")
"),"#N/A")</f>
        <v>#N/A</v>
      </c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</row>
    <row r="440" spans="1:29" ht="11.25" customHeight="1">
      <c r="A440" s="22"/>
      <c r="B440" s="22"/>
      <c r="C440" s="22"/>
      <c r="D440" s="22"/>
      <c r="E440" s="22"/>
      <c r="F440" s="22"/>
      <c r="G440" s="1"/>
      <c r="H440" s="22"/>
      <c r="I440" s="22"/>
      <c r="J440" s="22"/>
      <c r="K440" s="22"/>
      <c r="L440" s="22"/>
      <c r="M440" s="1" t="str">
        <f ca="1">IFERROR(__xludf.DUMMYFUNCTION("REGEXEXTRACT(E440, ""ک\s(\d{16})"")
"),"#N/A")</f>
        <v>#N/A</v>
      </c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</row>
    <row r="441" spans="1:29" ht="11.25" customHeight="1">
      <c r="A441" s="22"/>
      <c r="B441" s="22"/>
      <c r="C441" s="22"/>
      <c r="D441" s="22"/>
      <c r="E441" s="22"/>
      <c r="F441" s="22"/>
      <c r="G441" s="1"/>
      <c r="H441" s="22"/>
      <c r="I441" s="22"/>
      <c r="J441" s="22"/>
      <c r="K441" s="22"/>
      <c r="L441" s="22"/>
      <c r="M441" s="1" t="str">
        <f ca="1">IFERROR(__xludf.DUMMYFUNCTION("REGEXEXTRACT(E441, ""ک\s(\d{16})"")
"),"#N/A")</f>
        <v>#N/A</v>
      </c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</row>
    <row r="442" spans="1:29" ht="11.25" customHeight="1">
      <c r="A442" s="22"/>
      <c r="B442" s="22"/>
      <c r="C442" s="22"/>
      <c r="D442" s="22"/>
      <c r="E442" s="22"/>
      <c r="F442" s="22"/>
      <c r="G442" s="1"/>
      <c r="H442" s="22"/>
      <c r="I442" s="22"/>
      <c r="J442" s="22"/>
      <c r="K442" s="22"/>
      <c r="L442" s="22"/>
      <c r="M442" s="1" t="str">
        <f ca="1">IFERROR(__xludf.DUMMYFUNCTION("REGEXEXTRACT(E442, ""ک\s(\d{16})"")
"),"#N/A")</f>
        <v>#N/A</v>
      </c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</row>
    <row r="443" spans="1:29" ht="11.25" customHeight="1">
      <c r="A443" s="22"/>
      <c r="B443" s="22"/>
      <c r="C443" s="22"/>
      <c r="D443" s="22"/>
      <c r="E443" s="22"/>
      <c r="F443" s="22"/>
      <c r="G443" s="1"/>
      <c r="H443" s="22"/>
      <c r="I443" s="22"/>
      <c r="J443" s="22"/>
      <c r="K443" s="22"/>
      <c r="L443" s="22"/>
      <c r="M443" s="1" t="str">
        <f ca="1">IFERROR(__xludf.DUMMYFUNCTION("REGEXEXTRACT(E443, ""ک\s(\d{16})"")
"),"#N/A")</f>
        <v>#N/A</v>
      </c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</row>
    <row r="444" spans="1:29" ht="11.25" customHeight="1">
      <c r="A444" s="22"/>
      <c r="B444" s="22"/>
      <c r="C444" s="22"/>
      <c r="D444" s="22"/>
      <c r="E444" s="22"/>
      <c r="F444" s="22"/>
      <c r="G444" s="1"/>
      <c r="H444" s="22"/>
      <c r="I444" s="22"/>
      <c r="J444" s="22"/>
      <c r="K444" s="22"/>
      <c r="L444" s="22"/>
      <c r="M444" s="1" t="str">
        <f ca="1">IFERROR(__xludf.DUMMYFUNCTION("REGEXEXTRACT(E444, ""ک\s(\d{16})"")
"),"#N/A")</f>
        <v>#N/A</v>
      </c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</row>
    <row r="445" spans="1:29" ht="11.25" customHeight="1">
      <c r="A445" s="22"/>
      <c r="B445" s="22"/>
      <c r="C445" s="22"/>
      <c r="D445" s="22"/>
      <c r="E445" s="22"/>
      <c r="F445" s="22"/>
      <c r="G445" s="1"/>
      <c r="H445" s="22"/>
      <c r="I445" s="22"/>
      <c r="J445" s="22"/>
      <c r="K445" s="22"/>
      <c r="L445" s="22"/>
      <c r="M445" s="1" t="str">
        <f ca="1">IFERROR(__xludf.DUMMYFUNCTION("REGEXEXTRACT(E445, ""ک\s(\d{16})"")
"),"#N/A")</f>
        <v>#N/A</v>
      </c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</row>
    <row r="446" spans="1:29" ht="11.25" customHeight="1">
      <c r="A446" s="22"/>
      <c r="B446" s="22"/>
      <c r="C446" s="22"/>
      <c r="D446" s="22"/>
      <c r="E446" s="22"/>
      <c r="F446" s="22"/>
      <c r="G446" s="1"/>
      <c r="H446" s="22"/>
      <c r="I446" s="22"/>
      <c r="J446" s="22"/>
      <c r="K446" s="22"/>
      <c r="L446" s="22"/>
      <c r="M446" s="1" t="str">
        <f ca="1">IFERROR(__xludf.DUMMYFUNCTION("REGEXEXTRACT(E446, ""ک\s(\d{16})"")
"),"#N/A")</f>
        <v>#N/A</v>
      </c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</row>
    <row r="447" spans="1:29" ht="11.25" customHeight="1">
      <c r="A447" s="22"/>
      <c r="B447" s="22"/>
      <c r="C447" s="22"/>
      <c r="D447" s="22"/>
      <c r="E447" s="22"/>
      <c r="F447" s="22"/>
      <c r="G447" s="1"/>
      <c r="H447" s="22"/>
      <c r="I447" s="22"/>
      <c r="J447" s="22"/>
      <c r="K447" s="22"/>
      <c r="L447" s="22"/>
      <c r="M447" s="1" t="str">
        <f ca="1">IFERROR(__xludf.DUMMYFUNCTION("REGEXEXTRACT(E447, ""ک\s(\d{16})"")
"),"#N/A")</f>
        <v>#N/A</v>
      </c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</row>
    <row r="448" spans="1:29" ht="11.25" customHeight="1">
      <c r="A448" s="22"/>
      <c r="B448" s="22"/>
      <c r="C448" s="22"/>
      <c r="D448" s="22"/>
      <c r="E448" s="22"/>
      <c r="F448" s="22"/>
      <c r="G448" s="1"/>
      <c r="H448" s="22"/>
      <c r="I448" s="22"/>
      <c r="J448" s="22"/>
      <c r="K448" s="22"/>
      <c r="L448" s="22"/>
      <c r="M448" s="1" t="str">
        <f ca="1">IFERROR(__xludf.DUMMYFUNCTION("REGEXEXTRACT(E448, ""ک\s(\d{16})"")
"),"#N/A")</f>
        <v>#N/A</v>
      </c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</row>
    <row r="449" spans="1:29" ht="11.25" customHeight="1">
      <c r="A449" s="22"/>
      <c r="B449" s="22"/>
      <c r="C449" s="22"/>
      <c r="D449" s="22"/>
      <c r="E449" s="22"/>
      <c r="F449" s="22"/>
      <c r="G449" s="1"/>
      <c r="H449" s="22"/>
      <c r="I449" s="22"/>
      <c r="J449" s="22"/>
      <c r="K449" s="22"/>
      <c r="L449" s="22"/>
      <c r="M449" s="1" t="str">
        <f ca="1">IFERROR(__xludf.DUMMYFUNCTION("REGEXEXTRACT(E449, ""ک\s(\d{16})"")
"),"#N/A")</f>
        <v>#N/A</v>
      </c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</row>
    <row r="450" spans="1:29" ht="11.25" customHeight="1">
      <c r="A450" s="22"/>
      <c r="B450" s="22"/>
      <c r="C450" s="22"/>
      <c r="D450" s="22"/>
      <c r="E450" s="22"/>
      <c r="F450" s="22"/>
      <c r="G450" s="1"/>
      <c r="H450" s="22"/>
      <c r="I450" s="22"/>
      <c r="J450" s="22"/>
      <c r="K450" s="22"/>
      <c r="L450" s="22"/>
      <c r="M450" s="1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</row>
    <row r="451" spans="1:29" ht="11.25" customHeight="1">
      <c r="A451" s="22"/>
      <c r="B451" s="22"/>
      <c r="C451" s="22"/>
      <c r="D451" s="22"/>
      <c r="E451" s="22"/>
      <c r="F451" s="22"/>
      <c r="G451" s="1"/>
      <c r="H451" s="22"/>
      <c r="I451" s="22"/>
      <c r="J451" s="22"/>
      <c r="K451" s="22"/>
      <c r="L451" s="22"/>
      <c r="M451" s="1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</row>
    <row r="452" spans="1:29" ht="11.25" customHeight="1">
      <c r="A452" s="22"/>
      <c r="B452" s="22"/>
      <c r="C452" s="22"/>
      <c r="D452" s="22"/>
      <c r="E452" s="22"/>
      <c r="F452" s="22"/>
      <c r="G452" s="1"/>
      <c r="H452" s="22"/>
      <c r="I452" s="22"/>
      <c r="J452" s="22"/>
      <c r="K452" s="22"/>
      <c r="L452" s="22"/>
      <c r="M452" s="1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</row>
    <row r="453" spans="1:29" ht="11.25" customHeight="1">
      <c r="A453" s="22"/>
      <c r="B453" s="22"/>
      <c r="C453" s="22"/>
      <c r="D453" s="22"/>
      <c r="E453" s="22"/>
      <c r="F453" s="22"/>
      <c r="G453" s="1"/>
      <c r="H453" s="22"/>
      <c r="I453" s="22"/>
      <c r="J453" s="22"/>
      <c r="K453" s="22"/>
      <c r="L453" s="22"/>
      <c r="M453" s="1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</row>
    <row r="454" spans="1:29" ht="11.25" customHeight="1">
      <c r="A454" s="22"/>
      <c r="B454" s="22"/>
      <c r="C454" s="22"/>
      <c r="D454" s="22"/>
      <c r="E454" s="22"/>
      <c r="F454" s="22"/>
      <c r="G454" s="1"/>
      <c r="H454" s="22"/>
      <c r="I454" s="22"/>
      <c r="J454" s="22"/>
      <c r="K454" s="22"/>
      <c r="L454" s="22"/>
      <c r="M454" s="1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</row>
    <row r="455" spans="1:29" ht="11.25" customHeight="1">
      <c r="A455" s="22"/>
      <c r="B455" s="22"/>
      <c r="C455" s="22"/>
      <c r="D455" s="22"/>
      <c r="E455" s="22"/>
      <c r="F455" s="22"/>
      <c r="G455" s="1"/>
      <c r="H455" s="22"/>
      <c r="I455" s="22"/>
      <c r="J455" s="22"/>
      <c r="K455" s="22"/>
      <c r="L455" s="22"/>
      <c r="M455" s="1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</row>
    <row r="456" spans="1:29" ht="11.25" customHeight="1">
      <c r="A456" s="22"/>
      <c r="B456" s="22"/>
      <c r="C456" s="22"/>
      <c r="D456" s="22"/>
      <c r="E456" s="22"/>
      <c r="F456" s="22"/>
      <c r="G456" s="1"/>
      <c r="H456" s="22"/>
      <c r="I456" s="22"/>
      <c r="J456" s="22"/>
      <c r="K456" s="22"/>
      <c r="L456" s="22"/>
      <c r="M456" s="1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</row>
    <row r="457" spans="1:29" ht="11.25" customHeight="1">
      <c r="A457" s="22"/>
      <c r="B457" s="22"/>
      <c r="C457" s="22"/>
      <c r="D457" s="22"/>
      <c r="E457" s="22"/>
      <c r="F457" s="22"/>
      <c r="G457" s="1"/>
      <c r="H457" s="22"/>
      <c r="I457" s="22"/>
      <c r="J457" s="22"/>
      <c r="K457" s="22"/>
      <c r="L457" s="22"/>
      <c r="M457" s="1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</row>
    <row r="458" spans="1:29" ht="11.25" customHeight="1">
      <c r="A458" s="22"/>
      <c r="B458" s="22"/>
      <c r="C458" s="22"/>
      <c r="D458" s="22"/>
      <c r="E458" s="22"/>
      <c r="F458" s="22"/>
      <c r="G458" s="1"/>
      <c r="H458" s="22"/>
      <c r="I458" s="22"/>
      <c r="J458" s="22"/>
      <c r="K458" s="22"/>
      <c r="L458" s="22"/>
      <c r="M458" s="1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</row>
    <row r="459" spans="1:29" ht="11.25" customHeight="1">
      <c r="A459" s="22"/>
      <c r="B459" s="22"/>
      <c r="C459" s="22"/>
      <c r="D459" s="22"/>
      <c r="E459" s="22"/>
      <c r="F459" s="22"/>
      <c r="G459" s="1"/>
      <c r="H459" s="22"/>
      <c r="I459" s="22"/>
      <c r="J459" s="22"/>
      <c r="K459" s="22"/>
      <c r="L459" s="22"/>
      <c r="M459" s="1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</row>
    <row r="460" spans="1:29" ht="11.25" customHeight="1">
      <c r="A460" s="22"/>
      <c r="B460" s="22"/>
      <c r="C460" s="22"/>
      <c r="D460" s="22"/>
      <c r="E460" s="22"/>
      <c r="F460" s="22"/>
      <c r="G460" s="1"/>
      <c r="H460" s="22"/>
      <c r="I460" s="22"/>
      <c r="J460" s="22"/>
      <c r="K460" s="22"/>
      <c r="L460" s="22"/>
      <c r="M460" s="1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</row>
    <row r="461" spans="1:29" ht="11.25" customHeight="1">
      <c r="A461" s="22"/>
      <c r="B461" s="22"/>
      <c r="C461" s="22"/>
      <c r="D461" s="22"/>
      <c r="E461" s="22"/>
      <c r="F461" s="22"/>
      <c r="G461" s="1"/>
      <c r="H461" s="22"/>
      <c r="I461" s="22"/>
      <c r="J461" s="22"/>
      <c r="K461" s="22"/>
      <c r="L461" s="22"/>
      <c r="M461" s="1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</row>
    <row r="462" spans="1:29" ht="11.25" customHeight="1">
      <c r="A462" s="22"/>
      <c r="B462" s="22"/>
      <c r="C462" s="22"/>
      <c r="D462" s="22"/>
      <c r="E462" s="22"/>
      <c r="F462" s="22"/>
      <c r="G462" s="1"/>
      <c r="H462" s="22"/>
      <c r="I462" s="22"/>
      <c r="J462" s="22"/>
      <c r="K462" s="22"/>
      <c r="L462" s="22"/>
      <c r="M462" s="1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</row>
    <row r="463" spans="1:29" ht="11.25" customHeight="1">
      <c r="A463" s="22"/>
      <c r="B463" s="22"/>
      <c r="C463" s="22"/>
      <c r="D463" s="22"/>
      <c r="E463" s="22"/>
      <c r="F463" s="22"/>
      <c r="G463" s="1"/>
      <c r="H463" s="22"/>
      <c r="I463" s="22"/>
      <c r="J463" s="22"/>
      <c r="K463" s="22"/>
      <c r="L463" s="22"/>
      <c r="M463" s="1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</row>
    <row r="464" spans="1:29" ht="11.25" customHeight="1">
      <c r="A464" s="22"/>
      <c r="B464" s="22"/>
      <c r="C464" s="22"/>
      <c r="D464" s="22"/>
      <c r="E464" s="22"/>
      <c r="F464" s="22"/>
      <c r="G464" s="1"/>
      <c r="H464" s="22"/>
      <c r="I464" s="22"/>
      <c r="J464" s="22"/>
      <c r="K464" s="22"/>
      <c r="L464" s="22"/>
      <c r="M464" s="1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</row>
    <row r="465" spans="1:29" ht="11.25" customHeight="1">
      <c r="A465" s="22"/>
      <c r="B465" s="22"/>
      <c r="C465" s="22"/>
      <c r="D465" s="22"/>
      <c r="E465" s="22"/>
      <c r="F465" s="22"/>
      <c r="G465" s="1"/>
      <c r="H465" s="22"/>
      <c r="I465" s="22"/>
      <c r="J465" s="22"/>
      <c r="K465" s="22"/>
      <c r="L465" s="22"/>
      <c r="M465" s="1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</row>
    <row r="466" spans="1:29" ht="11.25" customHeight="1">
      <c r="A466" s="22"/>
      <c r="B466" s="22"/>
      <c r="C466" s="22"/>
      <c r="D466" s="22"/>
      <c r="E466" s="22"/>
      <c r="F466" s="22"/>
      <c r="G466" s="1"/>
      <c r="H466" s="22"/>
      <c r="I466" s="22"/>
      <c r="J466" s="22"/>
      <c r="K466" s="22"/>
      <c r="L466" s="22"/>
      <c r="M466" s="1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</row>
    <row r="467" spans="1:29" ht="11.25" customHeight="1">
      <c r="A467" s="22"/>
      <c r="B467" s="22"/>
      <c r="C467" s="22"/>
      <c r="D467" s="22"/>
      <c r="E467" s="22"/>
      <c r="F467" s="22"/>
      <c r="G467" s="1"/>
      <c r="H467" s="22"/>
      <c r="I467" s="22"/>
      <c r="J467" s="22"/>
      <c r="K467" s="22"/>
      <c r="L467" s="22"/>
      <c r="M467" s="1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</row>
    <row r="468" spans="1:29" ht="11.25" customHeight="1">
      <c r="A468" s="22"/>
      <c r="B468" s="22"/>
      <c r="C468" s="22"/>
      <c r="D468" s="22"/>
      <c r="E468" s="22"/>
      <c r="F468" s="22"/>
      <c r="G468" s="1"/>
      <c r="H468" s="22"/>
      <c r="I468" s="22"/>
      <c r="J468" s="22"/>
      <c r="K468" s="22"/>
      <c r="L468" s="22"/>
      <c r="M468" s="1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</row>
    <row r="469" spans="1:29" ht="11.25" customHeight="1">
      <c r="A469" s="22"/>
      <c r="B469" s="22"/>
      <c r="C469" s="22"/>
      <c r="D469" s="22"/>
      <c r="E469" s="22"/>
      <c r="F469" s="22"/>
      <c r="G469" s="1"/>
      <c r="H469" s="22"/>
      <c r="I469" s="22"/>
      <c r="J469" s="22"/>
      <c r="K469" s="22"/>
      <c r="L469" s="22"/>
      <c r="M469" s="1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</row>
    <row r="470" spans="1:29" ht="11.25" customHeight="1">
      <c r="A470" s="22"/>
      <c r="B470" s="22"/>
      <c r="C470" s="22"/>
      <c r="D470" s="22"/>
      <c r="E470" s="22"/>
      <c r="F470" s="22"/>
      <c r="G470" s="1"/>
      <c r="H470" s="22"/>
      <c r="I470" s="22"/>
      <c r="J470" s="22"/>
      <c r="K470" s="22"/>
      <c r="L470" s="22"/>
      <c r="M470" s="1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</row>
    <row r="471" spans="1:29" ht="11.25" customHeight="1">
      <c r="A471" s="22"/>
      <c r="B471" s="22"/>
      <c r="C471" s="22"/>
      <c r="D471" s="22"/>
      <c r="E471" s="22"/>
      <c r="F471" s="22"/>
      <c r="G471" s="1"/>
      <c r="H471" s="22"/>
      <c r="I471" s="22"/>
      <c r="J471" s="22"/>
      <c r="K471" s="22"/>
      <c r="L471" s="22"/>
      <c r="M471" s="1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</row>
    <row r="472" spans="1:29" ht="11.25" customHeight="1">
      <c r="A472" s="22"/>
      <c r="B472" s="22"/>
      <c r="C472" s="22"/>
      <c r="D472" s="22"/>
      <c r="E472" s="22"/>
      <c r="F472" s="22"/>
      <c r="G472" s="1"/>
      <c r="H472" s="22"/>
      <c r="I472" s="22"/>
      <c r="J472" s="22"/>
      <c r="K472" s="22"/>
      <c r="L472" s="22"/>
      <c r="M472" s="1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</row>
    <row r="473" spans="1:29" ht="11.25" customHeight="1">
      <c r="A473" s="22"/>
      <c r="B473" s="22"/>
      <c r="C473" s="22"/>
      <c r="D473" s="22"/>
      <c r="E473" s="22"/>
      <c r="F473" s="22"/>
      <c r="G473" s="1"/>
      <c r="H473" s="22"/>
      <c r="I473" s="22"/>
      <c r="J473" s="22"/>
      <c r="K473" s="22"/>
      <c r="L473" s="22"/>
      <c r="M473" s="1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</row>
    <row r="474" spans="1:29" ht="11.25" customHeight="1">
      <c r="A474" s="22"/>
      <c r="B474" s="22"/>
      <c r="C474" s="22"/>
      <c r="D474" s="22"/>
      <c r="E474" s="22"/>
      <c r="F474" s="22"/>
      <c r="G474" s="1"/>
      <c r="H474" s="22"/>
      <c r="I474" s="22"/>
      <c r="J474" s="22"/>
      <c r="K474" s="22"/>
      <c r="L474" s="22"/>
      <c r="M474" s="1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</row>
    <row r="475" spans="1:29" ht="11.25" customHeight="1">
      <c r="A475" s="22"/>
      <c r="B475" s="22"/>
      <c r="C475" s="22"/>
      <c r="D475" s="22"/>
      <c r="E475" s="22"/>
      <c r="F475" s="22"/>
      <c r="G475" s="1"/>
      <c r="H475" s="22"/>
      <c r="I475" s="22"/>
      <c r="J475" s="22"/>
      <c r="K475" s="22"/>
      <c r="L475" s="22"/>
      <c r="M475" s="1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</row>
    <row r="476" spans="1:29" ht="11.25" customHeight="1">
      <c r="A476" s="22"/>
      <c r="B476" s="22"/>
      <c r="C476" s="22"/>
      <c r="D476" s="22"/>
      <c r="E476" s="22"/>
      <c r="F476" s="22"/>
      <c r="G476" s="1"/>
      <c r="H476" s="22"/>
      <c r="I476" s="22"/>
      <c r="J476" s="22"/>
      <c r="K476" s="22"/>
      <c r="L476" s="22"/>
      <c r="M476" s="1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</row>
    <row r="477" spans="1:29" ht="11.25" customHeight="1">
      <c r="A477" s="22"/>
      <c r="B477" s="22"/>
      <c r="C477" s="22"/>
      <c r="D477" s="22"/>
      <c r="E477" s="22"/>
      <c r="F477" s="22"/>
      <c r="G477" s="1"/>
      <c r="H477" s="22"/>
      <c r="I477" s="22"/>
      <c r="J477" s="22"/>
      <c r="K477" s="22"/>
      <c r="L477" s="22"/>
      <c r="M477" s="1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</row>
    <row r="478" spans="1:29" ht="11.25" customHeight="1">
      <c r="A478" s="22"/>
      <c r="B478" s="22"/>
      <c r="C478" s="22"/>
      <c r="D478" s="22"/>
      <c r="E478" s="22"/>
      <c r="F478" s="22"/>
      <c r="G478" s="1"/>
      <c r="H478" s="22"/>
      <c r="I478" s="22"/>
      <c r="J478" s="22"/>
      <c r="K478" s="22"/>
      <c r="L478" s="22"/>
      <c r="M478" s="1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</row>
    <row r="479" spans="1:29" ht="11.25" customHeight="1">
      <c r="A479" s="22"/>
      <c r="B479" s="22"/>
      <c r="C479" s="22"/>
      <c r="D479" s="22"/>
      <c r="E479" s="22"/>
      <c r="F479" s="22"/>
      <c r="G479" s="1"/>
      <c r="H479" s="22"/>
      <c r="I479" s="22"/>
      <c r="J479" s="22"/>
      <c r="K479" s="22"/>
      <c r="L479" s="22"/>
      <c r="M479" s="1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</row>
    <row r="480" spans="1:29" ht="11.25" customHeight="1">
      <c r="A480" s="22"/>
      <c r="B480" s="22"/>
      <c r="C480" s="22"/>
      <c r="D480" s="22"/>
      <c r="E480" s="22"/>
      <c r="F480" s="22"/>
      <c r="G480" s="1"/>
      <c r="H480" s="22"/>
      <c r="I480" s="22"/>
      <c r="J480" s="22"/>
      <c r="K480" s="22"/>
      <c r="L480" s="22"/>
      <c r="M480" s="1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</row>
    <row r="481" spans="1:29" ht="11.25" customHeight="1">
      <c r="A481" s="22"/>
      <c r="B481" s="22"/>
      <c r="C481" s="22"/>
      <c r="D481" s="22"/>
      <c r="E481" s="22"/>
      <c r="F481" s="22"/>
      <c r="G481" s="1"/>
      <c r="H481" s="22"/>
      <c r="I481" s="22"/>
      <c r="J481" s="22"/>
      <c r="K481" s="22"/>
      <c r="L481" s="22"/>
      <c r="M481" s="1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</row>
    <row r="482" spans="1:29" ht="11.25" customHeight="1">
      <c r="A482" s="22"/>
      <c r="B482" s="22"/>
      <c r="C482" s="22"/>
      <c r="D482" s="22"/>
      <c r="E482" s="22"/>
      <c r="F482" s="22"/>
      <c r="G482" s="1"/>
      <c r="H482" s="22"/>
      <c r="I482" s="22"/>
      <c r="J482" s="22"/>
      <c r="K482" s="22"/>
      <c r="L482" s="22"/>
      <c r="M482" s="1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</row>
    <row r="483" spans="1:29" ht="11.25" customHeight="1">
      <c r="A483" s="22"/>
      <c r="B483" s="22"/>
      <c r="C483" s="22"/>
      <c r="D483" s="22"/>
      <c r="E483" s="22"/>
      <c r="F483" s="22"/>
      <c r="G483" s="1"/>
      <c r="H483" s="22"/>
      <c r="I483" s="22"/>
      <c r="J483" s="22"/>
      <c r="K483" s="22"/>
      <c r="L483" s="22"/>
      <c r="M483" s="1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</row>
    <row r="484" spans="1:29" ht="11.25" customHeight="1">
      <c r="A484" s="22"/>
      <c r="B484" s="22"/>
      <c r="C484" s="22"/>
      <c r="D484" s="22"/>
      <c r="E484" s="22"/>
      <c r="F484" s="22"/>
      <c r="G484" s="1"/>
      <c r="H484" s="22"/>
      <c r="I484" s="22"/>
      <c r="J484" s="22"/>
      <c r="K484" s="22"/>
      <c r="L484" s="22"/>
      <c r="M484" s="1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</row>
    <row r="485" spans="1:29" ht="11.25" customHeight="1">
      <c r="A485" s="22"/>
      <c r="B485" s="22"/>
      <c r="C485" s="22"/>
      <c r="D485" s="22"/>
      <c r="E485" s="22"/>
      <c r="F485" s="22"/>
      <c r="G485" s="1"/>
      <c r="H485" s="22"/>
      <c r="I485" s="22"/>
      <c r="J485" s="22"/>
      <c r="K485" s="22"/>
      <c r="L485" s="22"/>
      <c r="M485" s="1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</row>
    <row r="486" spans="1:29" ht="11.25" customHeight="1">
      <c r="A486" s="22"/>
      <c r="B486" s="22"/>
      <c r="C486" s="22"/>
      <c r="D486" s="22"/>
      <c r="E486" s="22"/>
      <c r="F486" s="22"/>
      <c r="G486" s="1"/>
      <c r="H486" s="22"/>
      <c r="I486" s="22"/>
      <c r="J486" s="22"/>
      <c r="K486" s="22"/>
      <c r="L486" s="22"/>
      <c r="M486" s="1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</row>
    <row r="487" spans="1:29" ht="11.25" customHeight="1">
      <c r="A487" s="22"/>
      <c r="B487" s="22"/>
      <c r="C487" s="22"/>
      <c r="D487" s="22"/>
      <c r="E487" s="22"/>
      <c r="F487" s="22"/>
      <c r="G487" s="1"/>
      <c r="H487" s="22"/>
      <c r="I487" s="22"/>
      <c r="J487" s="22"/>
      <c r="K487" s="22"/>
      <c r="L487" s="22"/>
      <c r="M487" s="1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</row>
    <row r="488" spans="1:29" ht="11.25" customHeight="1">
      <c r="A488" s="22"/>
      <c r="B488" s="22"/>
      <c r="C488" s="22"/>
      <c r="D488" s="22"/>
      <c r="E488" s="22"/>
      <c r="F488" s="22"/>
      <c r="G488" s="1"/>
      <c r="H488" s="22"/>
      <c r="I488" s="22"/>
      <c r="J488" s="22"/>
      <c r="K488" s="22"/>
      <c r="L488" s="22"/>
      <c r="M488" s="1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</row>
    <row r="489" spans="1:29" ht="11.25" customHeight="1">
      <c r="A489" s="22"/>
      <c r="B489" s="22"/>
      <c r="C489" s="22"/>
      <c r="D489" s="22"/>
      <c r="E489" s="22"/>
      <c r="F489" s="22"/>
      <c r="G489" s="1"/>
      <c r="H489" s="22"/>
      <c r="I489" s="22"/>
      <c r="J489" s="22"/>
      <c r="K489" s="22"/>
      <c r="L489" s="22"/>
      <c r="M489" s="1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</row>
    <row r="490" spans="1:29" ht="11.25" customHeight="1">
      <c r="A490" s="22"/>
      <c r="B490" s="22"/>
      <c r="C490" s="22"/>
      <c r="D490" s="22"/>
      <c r="E490" s="22"/>
      <c r="F490" s="22"/>
      <c r="G490" s="1"/>
      <c r="H490" s="22"/>
      <c r="I490" s="22"/>
      <c r="J490" s="22"/>
      <c r="K490" s="22"/>
      <c r="L490" s="22"/>
      <c r="M490" s="1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</row>
    <row r="491" spans="1:29" ht="11.25" customHeight="1">
      <c r="A491" s="22"/>
      <c r="B491" s="22"/>
      <c r="C491" s="22"/>
      <c r="D491" s="22"/>
      <c r="E491" s="22"/>
      <c r="F491" s="22"/>
      <c r="G491" s="1"/>
      <c r="H491" s="22"/>
      <c r="I491" s="22"/>
      <c r="J491" s="22"/>
      <c r="K491" s="22"/>
      <c r="L491" s="22"/>
      <c r="M491" s="1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</row>
    <row r="492" spans="1:29" ht="11.25" customHeight="1">
      <c r="A492" s="22"/>
      <c r="B492" s="22"/>
      <c r="C492" s="22"/>
      <c r="D492" s="22"/>
      <c r="E492" s="22"/>
      <c r="F492" s="22"/>
      <c r="G492" s="1"/>
      <c r="H492" s="22"/>
      <c r="I492" s="22"/>
      <c r="J492" s="22"/>
      <c r="K492" s="22"/>
      <c r="L492" s="22"/>
      <c r="M492" s="1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</row>
    <row r="493" spans="1:29" ht="11.25" customHeight="1">
      <c r="A493" s="22"/>
      <c r="B493" s="22"/>
      <c r="C493" s="22"/>
      <c r="D493" s="22"/>
      <c r="E493" s="22"/>
      <c r="F493" s="22"/>
      <c r="G493" s="1"/>
      <c r="H493" s="22"/>
      <c r="I493" s="22"/>
      <c r="J493" s="22"/>
      <c r="K493" s="22"/>
      <c r="L493" s="22"/>
      <c r="M493" s="1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</row>
    <row r="494" spans="1:29" ht="11.25" customHeight="1">
      <c r="A494" s="22"/>
      <c r="B494" s="22"/>
      <c r="C494" s="22"/>
      <c r="D494" s="22"/>
      <c r="E494" s="22"/>
      <c r="F494" s="22"/>
      <c r="G494" s="1"/>
      <c r="H494" s="22"/>
      <c r="I494" s="22"/>
      <c r="J494" s="22"/>
      <c r="K494" s="22"/>
      <c r="L494" s="22"/>
      <c r="M494" s="1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</row>
    <row r="495" spans="1:29" ht="11.25" customHeight="1">
      <c r="A495" s="22"/>
      <c r="B495" s="22"/>
      <c r="C495" s="22"/>
      <c r="D495" s="22"/>
      <c r="E495" s="22"/>
      <c r="F495" s="22"/>
      <c r="G495" s="1"/>
      <c r="H495" s="22"/>
      <c r="I495" s="22"/>
      <c r="J495" s="22"/>
      <c r="K495" s="22"/>
      <c r="L495" s="22"/>
      <c r="M495" s="1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</row>
    <row r="496" spans="1:29" ht="11.25" customHeight="1">
      <c r="A496" s="22"/>
      <c r="B496" s="22"/>
      <c r="C496" s="22"/>
      <c r="D496" s="22"/>
      <c r="E496" s="22"/>
      <c r="F496" s="22"/>
      <c r="G496" s="1"/>
      <c r="H496" s="22"/>
      <c r="I496" s="22"/>
      <c r="J496" s="22"/>
      <c r="K496" s="22"/>
      <c r="L496" s="22"/>
      <c r="M496" s="1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</row>
    <row r="497" spans="1:29" ht="11.25" customHeight="1">
      <c r="A497" s="22"/>
      <c r="B497" s="22"/>
      <c r="C497" s="22"/>
      <c r="D497" s="22"/>
      <c r="E497" s="22"/>
      <c r="F497" s="22"/>
      <c r="G497" s="1"/>
      <c r="H497" s="22"/>
      <c r="I497" s="22"/>
      <c r="J497" s="22"/>
      <c r="K497" s="22"/>
      <c r="L497" s="22"/>
      <c r="M497" s="1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</row>
    <row r="498" spans="1:29" ht="11.25" customHeight="1">
      <c r="A498" s="22"/>
      <c r="B498" s="22"/>
      <c r="C498" s="22"/>
      <c r="D498" s="22"/>
      <c r="E498" s="22"/>
      <c r="F498" s="22"/>
      <c r="G498" s="1"/>
      <c r="H498" s="22"/>
      <c r="I498" s="22"/>
      <c r="J498" s="22"/>
      <c r="K498" s="22"/>
      <c r="L498" s="22"/>
      <c r="M498" s="1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</row>
    <row r="499" spans="1:29" ht="11.25" customHeight="1">
      <c r="A499" s="22"/>
      <c r="B499" s="22"/>
      <c r="C499" s="22"/>
      <c r="D499" s="22"/>
      <c r="E499" s="22"/>
      <c r="F499" s="22"/>
      <c r="G499" s="1"/>
      <c r="H499" s="22"/>
      <c r="I499" s="22"/>
      <c r="J499" s="22"/>
      <c r="K499" s="22"/>
      <c r="L499" s="22"/>
      <c r="M499" s="1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</row>
    <row r="500" spans="1:29" ht="11.25" customHeight="1">
      <c r="A500" s="22"/>
      <c r="B500" s="22"/>
      <c r="C500" s="22"/>
      <c r="D500" s="22"/>
      <c r="E500" s="22"/>
      <c r="F500" s="22"/>
      <c r="G500" s="1"/>
      <c r="H500" s="22"/>
      <c r="I500" s="22"/>
      <c r="J500" s="22"/>
      <c r="K500" s="22"/>
      <c r="L500" s="22"/>
      <c r="M500" s="1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</row>
    <row r="501" spans="1:29" ht="11.25" customHeight="1">
      <c r="A501" s="22"/>
      <c r="B501" s="22"/>
      <c r="C501" s="22"/>
      <c r="D501" s="22"/>
      <c r="E501" s="22"/>
      <c r="F501" s="22"/>
      <c r="G501" s="1"/>
      <c r="H501" s="22"/>
      <c r="I501" s="22"/>
      <c r="J501" s="22"/>
      <c r="K501" s="22"/>
      <c r="L501" s="22"/>
      <c r="M501" s="1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</row>
    <row r="502" spans="1:29" ht="11.25" customHeight="1">
      <c r="A502" s="22"/>
      <c r="B502" s="22"/>
      <c r="C502" s="22"/>
      <c r="D502" s="22"/>
      <c r="E502" s="22"/>
      <c r="F502" s="22"/>
      <c r="G502" s="1"/>
      <c r="H502" s="22"/>
      <c r="I502" s="22"/>
      <c r="J502" s="22"/>
      <c r="K502" s="22"/>
      <c r="L502" s="22"/>
      <c r="M502" s="1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</row>
    <row r="503" spans="1:29" ht="11.25" customHeight="1">
      <c r="A503" s="22"/>
      <c r="B503" s="22"/>
      <c r="C503" s="22"/>
      <c r="D503" s="22"/>
      <c r="E503" s="22"/>
      <c r="F503" s="22"/>
      <c r="G503" s="1"/>
      <c r="H503" s="22"/>
      <c r="I503" s="22"/>
      <c r="J503" s="22"/>
      <c r="K503" s="22"/>
      <c r="L503" s="22"/>
      <c r="M503" s="1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</row>
    <row r="504" spans="1:29" ht="11.25" customHeight="1">
      <c r="A504" s="22"/>
      <c r="B504" s="22"/>
      <c r="C504" s="22"/>
      <c r="D504" s="22"/>
      <c r="E504" s="22"/>
      <c r="F504" s="22"/>
      <c r="G504" s="1"/>
      <c r="H504" s="22"/>
      <c r="I504" s="22"/>
      <c r="J504" s="22"/>
      <c r="K504" s="22"/>
      <c r="L504" s="22"/>
      <c r="M504" s="1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</row>
    <row r="505" spans="1:29" ht="11.25" customHeight="1">
      <c r="A505" s="22"/>
      <c r="B505" s="22"/>
      <c r="C505" s="22"/>
      <c r="D505" s="22"/>
      <c r="E505" s="22"/>
      <c r="F505" s="22"/>
      <c r="G505" s="1"/>
      <c r="H505" s="22"/>
      <c r="I505" s="22"/>
      <c r="J505" s="22"/>
      <c r="K505" s="22"/>
      <c r="L505" s="22"/>
      <c r="M505" s="1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</row>
    <row r="506" spans="1:29" ht="11.25" customHeight="1">
      <c r="A506" s="22"/>
      <c r="B506" s="22"/>
      <c r="C506" s="22"/>
      <c r="D506" s="22"/>
      <c r="E506" s="22"/>
      <c r="F506" s="22"/>
      <c r="G506" s="1"/>
      <c r="H506" s="22"/>
      <c r="I506" s="22"/>
      <c r="J506" s="22"/>
      <c r="K506" s="22"/>
      <c r="L506" s="22"/>
      <c r="M506" s="1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</row>
    <row r="507" spans="1:29" ht="11.25" customHeight="1">
      <c r="A507" s="22"/>
      <c r="B507" s="22"/>
      <c r="C507" s="22"/>
      <c r="D507" s="22"/>
      <c r="E507" s="22"/>
      <c r="F507" s="22"/>
      <c r="G507" s="1"/>
      <c r="H507" s="22"/>
      <c r="I507" s="22"/>
      <c r="J507" s="22"/>
      <c r="K507" s="22"/>
      <c r="L507" s="22"/>
      <c r="M507" s="1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</row>
    <row r="508" spans="1:29" ht="11.25" customHeight="1">
      <c r="A508" s="22"/>
      <c r="B508" s="22"/>
      <c r="C508" s="22"/>
      <c r="D508" s="22"/>
      <c r="E508" s="22"/>
      <c r="F508" s="22"/>
      <c r="G508" s="1"/>
      <c r="H508" s="22"/>
      <c r="I508" s="22"/>
      <c r="J508" s="22"/>
      <c r="K508" s="22"/>
      <c r="L508" s="22"/>
      <c r="M508" s="1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</row>
    <row r="509" spans="1:29" ht="11.25" customHeight="1">
      <c r="A509" s="22"/>
      <c r="B509" s="22"/>
      <c r="C509" s="22"/>
      <c r="D509" s="22"/>
      <c r="E509" s="22"/>
      <c r="F509" s="22"/>
      <c r="G509" s="1"/>
      <c r="H509" s="22"/>
      <c r="I509" s="22"/>
      <c r="J509" s="22"/>
      <c r="K509" s="22"/>
      <c r="L509" s="22"/>
      <c r="M509" s="1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</row>
    <row r="510" spans="1:29" ht="11.25" customHeight="1">
      <c r="A510" s="22"/>
      <c r="B510" s="22"/>
      <c r="C510" s="22"/>
      <c r="D510" s="22"/>
      <c r="E510" s="22"/>
      <c r="F510" s="22"/>
      <c r="G510" s="1"/>
      <c r="H510" s="22"/>
      <c r="I510" s="22"/>
      <c r="J510" s="22"/>
      <c r="K510" s="22"/>
      <c r="L510" s="22"/>
      <c r="M510" s="1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</row>
    <row r="511" spans="1:29" ht="11.25" customHeight="1">
      <c r="A511" s="22"/>
      <c r="B511" s="22"/>
      <c r="C511" s="22"/>
      <c r="D511" s="22"/>
      <c r="E511" s="22"/>
      <c r="F511" s="22"/>
      <c r="G511" s="1"/>
      <c r="H511" s="22"/>
      <c r="I511" s="22"/>
      <c r="J511" s="22"/>
      <c r="K511" s="22"/>
      <c r="L511" s="22"/>
      <c r="M511" s="1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</row>
    <row r="512" spans="1:29" ht="11.25" customHeight="1">
      <c r="A512" s="22"/>
      <c r="B512" s="22"/>
      <c r="C512" s="22"/>
      <c r="D512" s="22"/>
      <c r="E512" s="22"/>
      <c r="F512" s="22"/>
      <c r="G512" s="1"/>
      <c r="H512" s="22"/>
      <c r="I512" s="22"/>
      <c r="J512" s="22"/>
      <c r="K512" s="22"/>
      <c r="L512" s="22"/>
      <c r="M512" s="1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</row>
    <row r="513" spans="1:29" ht="11.25" customHeight="1">
      <c r="A513" s="22"/>
      <c r="B513" s="22"/>
      <c r="C513" s="22"/>
      <c r="D513" s="22"/>
      <c r="E513" s="22"/>
      <c r="F513" s="22"/>
      <c r="G513" s="1"/>
      <c r="H513" s="22"/>
      <c r="I513" s="22"/>
      <c r="J513" s="22"/>
      <c r="K513" s="22"/>
      <c r="L513" s="22"/>
      <c r="M513" s="1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</row>
    <row r="514" spans="1:29" ht="11.25" customHeight="1">
      <c r="A514" s="22"/>
      <c r="B514" s="22"/>
      <c r="C514" s="22"/>
      <c r="D514" s="22"/>
      <c r="E514" s="22"/>
      <c r="F514" s="22"/>
      <c r="G514" s="1"/>
      <c r="H514" s="22"/>
      <c r="I514" s="22"/>
      <c r="J514" s="22"/>
      <c r="K514" s="22"/>
      <c r="L514" s="22"/>
      <c r="M514" s="1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</row>
    <row r="515" spans="1:29" ht="11.25" customHeight="1">
      <c r="A515" s="22"/>
      <c r="B515" s="22"/>
      <c r="C515" s="22"/>
      <c r="D515" s="22"/>
      <c r="E515" s="22"/>
      <c r="F515" s="22"/>
      <c r="G515" s="1"/>
      <c r="H515" s="22"/>
      <c r="I515" s="22"/>
      <c r="J515" s="22"/>
      <c r="K515" s="22"/>
      <c r="L515" s="22"/>
      <c r="M515" s="1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</row>
    <row r="516" spans="1:29" ht="11.25" customHeight="1">
      <c r="A516" s="22"/>
      <c r="B516" s="22"/>
      <c r="C516" s="22"/>
      <c r="D516" s="22"/>
      <c r="E516" s="22"/>
      <c r="F516" s="22"/>
      <c r="G516" s="1"/>
      <c r="H516" s="22"/>
      <c r="I516" s="22"/>
      <c r="J516" s="22"/>
      <c r="K516" s="22"/>
      <c r="L516" s="22"/>
      <c r="M516" s="1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</row>
    <row r="517" spans="1:29" ht="11.25" customHeight="1">
      <c r="A517" s="22"/>
      <c r="B517" s="22"/>
      <c r="C517" s="22"/>
      <c r="D517" s="22"/>
      <c r="E517" s="22"/>
      <c r="F517" s="22"/>
      <c r="G517" s="1"/>
      <c r="H517" s="22"/>
      <c r="I517" s="22"/>
      <c r="J517" s="22"/>
      <c r="K517" s="22"/>
      <c r="L517" s="22"/>
      <c r="M517" s="1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</row>
    <row r="518" spans="1:29" ht="11.25" customHeight="1">
      <c r="A518" s="22"/>
      <c r="B518" s="22"/>
      <c r="C518" s="22"/>
      <c r="D518" s="22"/>
      <c r="E518" s="22"/>
      <c r="F518" s="22"/>
      <c r="G518" s="1"/>
      <c r="H518" s="22"/>
      <c r="I518" s="22"/>
      <c r="J518" s="22"/>
      <c r="K518" s="22"/>
      <c r="L518" s="22"/>
      <c r="M518" s="1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</row>
    <row r="519" spans="1:29" ht="11.25" customHeight="1">
      <c r="A519" s="22"/>
      <c r="B519" s="22"/>
      <c r="C519" s="22"/>
      <c r="D519" s="22"/>
      <c r="E519" s="22"/>
      <c r="F519" s="22"/>
      <c r="G519" s="1"/>
      <c r="H519" s="22"/>
      <c r="I519" s="22"/>
      <c r="J519" s="22"/>
      <c r="K519" s="22"/>
      <c r="L519" s="22"/>
      <c r="M519" s="1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</row>
    <row r="520" spans="1:29" ht="11.25" customHeight="1">
      <c r="A520" s="22"/>
      <c r="B520" s="22"/>
      <c r="C520" s="22"/>
      <c r="D520" s="22"/>
      <c r="E520" s="22"/>
      <c r="F520" s="22"/>
      <c r="G520" s="1"/>
      <c r="H520" s="22"/>
      <c r="I520" s="22"/>
      <c r="J520" s="22"/>
      <c r="K520" s="22"/>
      <c r="L520" s="22"/>
      <c r="M520" s="1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</row>
    <row r="521" spans="1:29" ht="11.25" customHeight="1">
      <c r="A521" s="22"/>
      <c r="B521" s="22"/>
      <c r="C521" s="22"/>
      <c r="D521" s="22"/>
      <c r="E521" s="22"/>
      <c r="F521" s="22"/>
      <c r="G521" s="1"/>
      <c r="H521" s="22"/>
      <c r="I521" s="22"/>
      <c r="J521" s="22"/>
      <c r="K521" s="22"/>
      <c r="L521" s="22"/>
      <c r="M521" s="1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</row>
    <row r="522" spans="1:29" ht="11.25" customHeight="1">
      <c r="A522" s="22"/>
      <c r="B522" s="22"/>
      <c r="C522" s="22"/>
      <c r="D522" s="22"/>
      <c r="E522" s="22"/>
      <c r="F522" s="22"/>
      <c r="G522" s="1"/>
      <c r="H522" s="22"/>
      <c r="I522" s="22"/>
      <c r="J522" s="22"/>
      <c r="K522" s="22"/>
      <c r="L522" s="22"/>
      <c r="M522" s="1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</row>
    <row r="523" spans="1:29" ht="11.25" customHeight="1">
      <c r="A523" s="22"/>
      <c r="B523" s="22"/>
      <c r="C523" s="22"/>
      <c r="D523" s="22"/>
      <c r="E523" s="22"/>
      <c r="F523" s="22"/>
      <c r="G523" s="1"/>
      <c r="H523" s="22"/>
      <c r="I523" s="22"/>
      <c r="J523" s="22"/>
      <c r="K523" s="22"/>
      <c r="L523" s="22"/>
      <c r="M523" s="1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</row>
    <row r="524" spans="1:29" ht="11.25" customHeight="1">
      <c r="A524" s="22"/>
      <c r="B524" s="22"/>
      <c r="C524" s="22"/>
      <c r="D524" s="22"/>
      <c r="E524" s="22"/>
      <c r="F524" s="22"/>
      <c r="G524" s="1"/>
      <c r="H524" s="22"/>
      <c r="I524" s="22"/>
      <c r="J524" s="22"/>
      <c r="K524" s="22"/>
      <c r="L524" s="22"/>
      <c r="M524" s="1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</row>
    <row r="525" spans="1:29" ht="11.25" customHeight="1">
      <c r="A525" s="22"/>
      <c r="B525" s="22"/>
      <c r="C525" s="22"/>
      <c r="D525" s="22"/>
      <c r="E525" s="22"/>
      <c r="F525" s="22"/>
      <c r="G525" s="1"/>
      <c r="H525" s="22"/>
      <c r="I525" s="22"/>
      <c r="J525" s="22"/>
      <c r="K525" s="22"/>
      <c r="L525" s="22"/>
      <c r="M525" s="1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</row>
    <row r="526" spans="1:29" ht="11.25" customHeight="1">
      <c r="A526" s="22"/>
      <c r="B526" s="22"/>
      <c r="C526" s="22"/>
      <c r="D526" s="22"/>
      <c r="E526" s="22"/>
      <c r="F526" s="22"/>
      <c r="G526" s="1"/>
      <c r="H526" s="22"/>
      <c r="I526" s="22"/>
      <c r="J526" s="22"/>
      <c r="K526" s="22"/>
      <c r="L526" s="22"/>
      <c r="M526" s="1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</row>
    <row r="527" spans="1:29" ht="11.25" customHeight="1">
      <c r="A527" s="22"/>
      <c r="B527" s="22"/>
      <c r="C527" s="22"/>
      <c r="D527" s="22"/>
      <c r="E527" s="22"/>
      <c r="F527" s="22"/>
      <c r="G527" s="1"/>
      <c r="H527" s="22"/>
      <c r="I527" s="22"/>
      <c r="J527" s="22"/>
      <c r="K527" s="22"/>
      <c r="L527" s="22"/>
      <c r="M527" s="1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</row>
    <row r="528" spans="1:29" ht="11.25" customHeight="1">
      <c r="A528" s="22"/>
      <c r="B528" s="22"/>
      <c r="C528" s="22"/>
      <c r="D528" s="22"/>
      <c r="E528" s="22"/>
      <c r="F528" s="22"/>
      <c r="G528" s="1"/>
      <c r="H528" s="22"/>
      <c r="I528" s="22"/>
      <c r="J528" s="22"/>
      <c r="K528" s="22"/>
      <c r="L528" s="22"/>
      <c r="M528" s="1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</row>
    <row r="529" spans="1:29" ht="11.25" customHeight="1">
      <c r="A529" s="22"/>
      <c r="B529" s="22"/>
      <c r="C529" s="22"/>
      <c r="D529" s="22"/>
      <c r="E529" s="22"/>
      <c r="F529" s="22"/>
      <c r="G529" s="1"/>
      <c r="H529" s="22"/>
      <c r="I529" s="22"/>
      <c r="J529" s="22"/>
      <c r="K529" s="22"/>
      <c r="L529" s="22"/>
      <c r="M529" s="1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</row>
    <row r="530" spans="1:29" ht="11.25" customHeight="1">
      <c r="A530" s="22"/>
      <c r="B530" s="22"/>
      <c r="C530" s="22"/>
      <c r="D530" s="22"/>
      <c r="E530" s="22"/>
      <c r="F530" s="22"/>
      <c r="G530" s="1"/>
      <c r="H530" s="22"/>
      <c r="I530" s="22"/>
      <c r="J530" s="22"/>
      <c r="K530" s="22"/>
      <c r="L530" s="22"/>
      <c r="M530" s="1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</row>
    <row r="531" spans="1:29" ht="11.25" customHeight="1">
      <c r="A531" s="22"/>
      <c r="B531" s="22"/>
      <c r="C531" s="22"/>
      <c r="D531" s="22"/>
      <c r="E531" s="22"/>
      <c r="F531" s="22"/>
      <c r="G531" s="1"/>
      <c r="H531" s="22"/>
      <c r="I531" s="22"/>
      <c r="J531" s="22"/>
      <c r="K531" s="22"/>
      <c r="L531" s="22"/>
      <c r="M531" s="1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</row>
    <row r="532" spans="1:29" ht="11.25" customHeight="1">
      <c r="A532" s="22"/>
      <c r="B532" s="22"/>
      <c r="C532" s="22"/>
      <c r="D532" s="22"/>
      <c r="E532" s="22"/>
      <c r="F532" s="22"/>
      <c r="G532" s="1"/>
      <c r="H532" s="22"/>
      <c r="I532" s="22"/>
      <c r="J532" s="22"/>
      <c r="K532" s="22"/>
      <c r="L532" s="22"/>
      <c r="M532" s="1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</row>
    <row r="533" spans="1:29" ht="11.25" customHeight="1">
      <c r="A533" s="22"/>
      <c r="B533" s="22"/>
      <c r="C533" s="22"/>
      <c r="D533" s="22"/>
      <c r="E533" s="22"/>
      <c r="F533" s="22"/>
      <c r="G533" s="1"/>
      <c r="H533" s="22"/>
      <c r="I533" s="22"/>
      <c r="J533" s="22"/>
      <c r="K533" s="22"/>
      <c r="L533" s="22"/>
      <c r="M533" s="1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</row>
    <row r="534" spans="1:29" ht="11.25" customHeight="1">
      <c r="A534" s="22"/>
      <c r="B534" s="22"/>
      <c r="C534" s="22"/>
      <c r="D534" s="22"/>
      <c r="E534" s="22"/>
      <c r="F534" s="22"/>
      <c r="G534" s="1"/>
      <c r="H534" s="22"/>
      <c r="I534" s="22"/>
      <c r="J534" s="22"/>
      <c r="K534" s="22"/>
      <c r="L534" s="22"/>
      <c r="M534" s="1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</row>
    <row r="535" spans="1:29" ht="11.25" customHeight="1">
      <c r="A535" s="22"/>
      <c r="B535" s="22"/>
      <c r="C535" s="22"/>
      <c r="D535" s="22"/>
      <c r="E535" s="22"/>
      <c r="F535" s="22"/>
      <c r="G535" s="1"/>
      <c r="H535" s="22"/>
      <c r="I535" s="22"/>
      <c r="J535" s="22"/>
      <c r="K535" s="22"/>
      <c r="L535" s="22"/>
      <c r="M535" s="1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</row>
    <row r="536" spans="1:29" ht="11.25" customHeight="1">
      <c r="A536" s="22"/>
      <c r="B536" s="22"/>
      <c r="C536" s="22"/>
      <c r="D536" s="22"/>
      <c r="E536" s="22"/>
      <c r="F536" s="22"/>
      <c r="G536" s="1"/>
      <c r="H536" s="22"/>
      <c r="I536" s="22"/>
      <c r="J536" s="22"/>
      <c r="K536" s="22"/>
      <c r="L536" s="22"/>
      <c r="M536" s="1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</row>
    <row r="537" spans="1:29" ht="11.25" customHeight="1">
      <c r="A537" s="22"/>
      <c r="B537" s="22"/>
      <c r="C537" s="22"/>
      <c r="D537" s="22"/>
      <c r="E537" s="22"/>
      <c r="F537" s="22"/>
      <c r="G537" s="1"/>
      <c r="H537" s="22"/>
      <c r="I537" s="22"/>
      <c r="J537" s="22"/>
      <c r="K537" s="22"/>
      <c r="L537" s="22"/>
      <c r="M537" s="1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</row>
    <row r="538" spans="1:29" ht="11.25" customHeight="1">
      <c r="A538" s="22"/>
      <c r="B538" s="22"/>
      <c r="C538" s="22"/>
      <c r="D538" s="22"/>
      <c r="E538" s="22"/>
      <c r="F538" s="22"/>
      <c r="G538" s="1"/>
      <c r="H538" s="22"/>
      <c r="I538" s="22"/>
      <c r="J538" s="22"/>
      <c r="K538" s="22"/>
      <c r="L538" s="22"/>
      <c r="M538" s="1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</row>
    <row r="539" spans="1:29" ht="11.25" customHeight="1">
      <c r="A539" s="22"/>
      <c r="B539" s="22"/>
      <c r="C539" s="22"/>
      <c r="D539" s="22"/>
      <c r="E539" s="22"/>
      <c r="F539" s="22"/>
      <c r="G539" s="1"/>
      <c r="H539" s="22"/>
      <c r="I539" s="22"/>
      <c r="J539" s="22"/>
      <c r="K539" s="22"/>
      <c r="L539" s="22"/>
      <c r="M539" s="1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</row>
    <row r="540" spans="1:29" ht="11.25" customHeight="1">
      <c r="A540" s="22"/>
      <c r="B540" s="22"/>
      <c r="C540" s="22"/>
      <c r="D540" s="22"/>
      <c r="E540" s="22"/>
      <c r="F540" s="22"/>
      <c r="G540" s="1"/>
      <c r="H540" s="22"/>
      <c r="I540" s="22"/>
      <c r="J540" s="22"/>
      <c r="K540" s="22"/>
      <c r="L540" s="22"/>
      <c r="M540" s="1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</row>
    <row r="541" spans="1:29" ht="11.25" customHeight="1">
      <c r="A541" s="22"/>
      <c r="B541" s="22"/>
      <c r="C541" s="22"/>
      <c r="D541" s="22"/>
      <c r="E541" s="22"/>
      <c r="F541" s="22"/>
      <c r="G541" s="1"/>
      <c r="H541" s="22"/>
      <c r="I541" s="22"/>
      <c r="J541" s="22"/>
      <c r="K541" s="22"/>
      <c r="L541" s="22"/>
      <c r="M541" s="1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</row>
    <row r="542" spans="1:29" ht="11.25" customHeight="1">
      <c r="A542" s="22"/>
      <c r="B542" s="22"/>
      <c r="C542" s="22"/>
      <c r="D542" s="22"/>
      <c r="E542" s="22"/>
      <c r="F542" s="22"/>
      <c r="G542" s="1"/>
      <c r="H542" s="22"/>
      <c r="I542" s="22"/>
      <c r="J542" s="22"/>
      <c r="K542" s="22"/>
      <c r="L542" s="22"/>
      <c r="M542" s="1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</row>
    <row r="543" spans="1:29" ht="11.25" customHeight="1">
      <c r="A543" s="22"/>
      <c r="B543" s="22"/>
      <c r="C543" s="22"/>
      <c r="D543" s="22"/>
      <c r="E543" s="22"/>
      <c r="F543" s="22"/>
      <c r="G543" s="1"/>
      <c r="H543" s="22"/>
      <c r="I543" s="22"/>
      <c r="J543" s="22"/>
      <c r="K543" s="22"/>
      <c r="L543" s="22"/>
      <c r="M543" s="1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</row>
    <row r="544" spans="1:29" ht="11.25" customHeight="1">
      <c r="A544" s="22"/>
      <c r="B544" s="22"/>
      <c r="C544" s="22"/>
      <c r="D544" s="22"/>
      <c r="E544" s="22"/>
      <c r="F544" s="22"/>
      <c r="G544" s="1"/>
      <c r="H544" s="22"/>
      <c r="I544" s="22"/>
      <c r="J544" s="22"/>
      <c r="K544" s="22"/>
      <c r="L544" s="22"/>
      <c r="M544" s="1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</row>
    <row r="545" spans="1:29" ht="11.25" customHeight="1">
      <c r="A545" s="22"/>
      <c r="B545" s="22"/>
      <c r="C545" s="22"/>
      <c r="D545" s="22"/>
      <c r="E545" s="22"/>
      <c r="F545" s="22"/>
      <c r="G545" s="1"/>
      <c r="H545" s="22"/>
      <c r="I545" s="22"/>
      <c r="J545" s="22"/>
      <c r="K545" s="22"/>
      <c r="L545" s="22"/>
      <c r="M545" s="1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</row>
    <row r="546" spans="1:29" ht="11.25" customHeight="1">
      <c r="A546" s="22"/>
      <c r="B546" s="22"/>
      <c r="C546" s="22"/>
      <c r="D546" s="22"/>
      <c r="E546" s="22"/>
      <c r="F546" s="22"/>
      <c r="G546" s="1"/>
      <c r="H546" s="22"/>
      <c r="I546" s="22"/>
      <c r="J546" s="22"/>
      <c r="K546" s="22"/>
      <c r="L546" s="22"/>
      <c r="M546" s="1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</row>
    <row r="547" spans="1:29" ht="11.25" customHeight="1">
      <c r="A547" s="22"/>
      <c r="B547" s="22"/>
      <c r="C547" s="22"/>
      <c r="D547" s="22"/>
      <c r="E547" s="22"/>
      <c r="F547" s="22"/>
      <c r="G547" s="1"/>
      <c r="H547" s="22"/>
      <c r="I547" s="22"/>
      <c r="J547" s="22"/>
      <c r="K547" s="22"/>
      <c r="L547" s="22"/>
      <c r="M547" s="1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</row>
    <row r="548" spans="1:29" ht="11.25" customHeight="1">
      <c r="A548" s="22"/>
      <c r="B548" s="22"/>
      <c r="C548" s="22"/>
      <c r="D548" s="22"/>
      <c r="E548" s="22"/>
      <c r="F548" s="22"/>
      <c r="G548" s="1"/>
      <c r="H548" s="22"/>
      <c r="I548" s="22"/>
      <c r="J548" s="22"/>
      <c r="K548" s="22"/>
      <c r="L548" s="22"/>
      <c r="M548" s="1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</row>
    <row r="549" spans="1:29" ht="11.25" customHeight="1">
      <c r="A549" s="22"/>
      <c r="B549" s="22"/>
      <c r="C549" s="22"/>
      <c r="D549" s="22"/>
      <c r="E549" s="22"/>
      <c r="F549" s="22"/>
      <c r="G549" s="1"/>
      <c r="H549" s="22"/>
      <c r="I549" s="22"/>
      <c r="J549" s="22"/>
      <c r="K549" s="22"/>
      <c r="L549" s="22"/>
      <c r="M549" s="1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</row>
    <row r="550" spans="1:29" ht="11.25" customHeight="1">
      <c r="A550" s="22"/>
      <c r="B550" s="22"/>
      <c r="C550" s="22"/>
      <c r="D550" s="22"/>
      <c r="E550" s="22"/>
      <c r="F550" s="22"/>
      <c r="G550" s="1"/>
      <c r="H550" s="22"/>
      <c r="I550" s="22"/>
      <c r="J550" s="22"/>
      <c r="K550" s="22"/>
      <c r="L550" s="22"/>
      <c r="M550" s="1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</row>
    <row r="551" spans="1:29" ht="11.25" customHeight="1">
      <c r="A551" s="22"/>
      <c r="B551" s="22"/>
      <c r="C551" s="22"/>
      <c r="D551" s="22"/>
      <c r="E551" s="22"/>
      <c r="F551" s="22"/>
      <c r="G551" s="1"/>
      <c r="H551" s="22"/>
      <c r="I551" s="22"/>
      <c r="J551" s="22"/>
      <c r="K551" s="22"/>
      <c r="L551" s="22"/>
      <c r="M551" s="1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</row>
    <row r="552" spans="1:29" ht="11.25" customHeight="1">
      <c r="A552" s="22"/>
      <c r="B552" s="22"/>
      <c r="C552" s="22"/>
      <c r="D552" s="22"/>
      <c r="E552" s="22"/>
      <c r="F552" s="22"/>
      <c r="G552" s="1"/>
      <c r="H552" s="22"/>
      <c r="I552" s="22"/>
      <c r="J552" s="22"/>
      <c r="K552" s="22"/>
      <c r="L552" s="22"/>
      <c r="M552" s="1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</row>
    <row r="553" spans="1:29" ht="11.25" customHeight="1">
      <c r="A553" s="22"/>
      <c r="B553" s="22"/>
      <c r="C553" s="22"/>
      <c r="D553" s="22"/>
      <c r="E553" s="22"/>
      <c r="F553" s="22"/>
      <c r="G553" s="1"/>
      <c r="H553" s="22"/>
      <c r="I553" s="22"/>
      <c r="J553" s="22"/>
      <c r="K553" s="22"/>
      <c r="L553" s="22"/>
      <c r="M553" s="1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</row>
    <row r="554" spans="1:29" ht="11.25" customHeight="1">
      <c r="A554" s="22"/>
      <c r="B554" s="22"/>
      <c r="C554" s="22"/>
      <c r="D554" s="22"/>
      <c r="E554" s="22"/>
      <c r="F554" s="22"/>
      <c r="G554" s="1"/>
      <c r="H554" s="22"/>
      <c r="I554" s="22"/>
      <c r="J554" s="22"/>
      <c r="K554" s="22"/>
      <c r="L554" s="22"/>
      <c r="M554" s="1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</row>
    <row r="555" spans="1:29" ht="11.25" customHeight="1">
      <c r="A555" s="22"/>
      <c r="B555" s="22"/>
      <c r="C555" s="22"/>
      <c r="D555" s="22"/>
      <c r="E555" s="22"/>
      <c r="F555" s="22"/>
      <c r="G555" s="1"/>
      <c r="H555" s="22"/>
      <c r="I555" s="22"/>
      <c r="J555" s="22"/>
      <c r="K555" s="22"/>
      <c r="L555" s="22"/>
      <c r="M555" s="1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</row>
    <row r="556" spans="1:29" ht="11.25" customHeight="1">
      <c r="A556" s="22"/>
      <c r="B556" s="22"/>
      <c r="C556" s="22"/>
      <c r="D556" s="22"/>
      <c r="E556" s="22"/>
      <c r="F556" s="22"/>
      <c r="G556" s="1"/>
      <c r="H556" s="22"/>
      <c r="I556" s="22"/>
      <c r="J556" s="22"/>
      <c r="K556" s="22"/>
      <c r="L556" s="22"/>
      <c r="M556" s="1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</row>
    <row r="557" spans="1:29" ht="11.25" customHeight="1">
      <c r="A557" s="22"/>
      <c r="B557" s="22"/>
      <c r="C557" s="22"/>
      <c r="D557" s="22"/>
      <c r="E557" s="22"/>
      <c r="F557" s="22"/>
      <c r="G557" s="1"/>
      <c r="H557" s="22"/>
      <c r="I557" s="22"/>
      <c r="J557" s="22"/>
      <c r="K557" s="22"/>
      <c r="L557" s="22"/>
      <c r="M557" s="1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</row>
    <row r="558" spans="1:29" ht="11.25" customHeight="1">
      <c r="A558" s="22"/>
      <c r="B558" s="22"/>
      <c r="C558" s="22"/>
      <c r="D558" s="22"/>
      <c r="E558" s="22"/>
      <c r="F558" s="22"/>
      <c r="G558" s="1"/>
      <c r="H558" s="22"/>
      <c r="I558" s="22"/>
      <c r="J558" s="22"/>
      <c r="K558" s="22"/>
      <c r="L558" s="22"/>
      <c r="M558" s="1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</row>
    <row r="559" spans="1:29" ht="11.25" customHeight="1">
      <c r="A559" s="22"/>
      <c r="B559" s="22"/>
      <c r="C559" s="22"/>
      <c r="D559" s="22"/>
      <c r="E559" s="22"/>
      <c r="F559" s="22"/>
      <c r="G559" s="1"/>
      <c r="H559" s="22"/>
      <c r="I559" s="22"/>
      <c r="J559" s="22"/>
      <c r="K559" s="22"/>
      <c r="L559" s="22"/>
      <c r="M559" s="1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</row>
    <row r="560" spans="1:29" ht="11.25" customHeight="1">
      <c r="A560" s="22"/>
      <c r="B560" s="22"/>
      <c r="C560" s="22"/>
      <c r="D560" s="22"/>
      <c r="E560" s="22"/>
      <c r="F560" s="22"/>
      <c r="G560" s="1"/>
      <c r="H560" s="22"/>
      <c r="I560" s="22"/>
      <c r="J560" s="22"/>
      <c r="K560" s="22"/>
      <c r="L560" s="22"/>
      <c r="M560" s="1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</row>
    <row r="561" spans="1:29" ht="11.25" customHeight="1">
      <c r="A561" s="22"/>
      <c r="B561" s="22"/>
      <c r="C561" s="22"/>
      <c r="D561" s="22"/>
      <c r="E561" s="22"/>
      <c r="F561" s="22"/>
      <c r="G561" s="1"/>
      <c r="H561" s="22"/>
      <c r="I561" s="22"/>
      <c r="J561" s="22"/>
      <c r="K561" s="22"/>
      <c r="L561" s="22"/>
      <c r="M561" s="1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</row>
    <row r="562" spans="1:29" ht="11.25" customHeight="1">
      <c r="A562" s="22"/>
      <c r="B562" s="22"/>
      <c r="C562" s="22"/>
      <c r="D562" s="22"/>
      <c r="E562" s="22"/>
      <c r="F562" s="22"/>
      <c r="G562" s="1"/>
      <c r="H562" s="22"/>
      <c r="I562" s="22"/>
      <c r="J562" s="22"/>
      <c r="K562" s="22"/>
      <c r="L562" s="22"/>
      <c r="M562" s="1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</row>
    <row r="563" spans="1:29" ht="11.25" customHeight="1">
      <c r="A563" s="22"/>
      <c r="B563" s="22"/>
      <c r="C563" s="22"/>
      <c r="D563" s="22"/>
      <c r="E563" s="22"/>
      <c r="F563" s="22"/>
      <c r="G563" s="1"/>
      <c r="H563" s="22"/>
      <c r="I563" s="22"/>
      <c r="J563" s="22"/>
      <c r="K563" s="22"/>
      <c r="L563" s="22"/>
      <c r="M563" s="1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</row>
    <row r="564" spans="1:29" ht="11.25" customHeight="1">
      <c r="A564" s="22"/>
      <c r="B564" s="22"/>
      <c r="C564" s="22"/>
      <c r="D564" s="22"/>
      <c r="E564" s="22"/>
      <c r="F564" s="22"/>
      <c r="G564" s="1"/>
      <c r="H564" s="22"/>
      <c r="I564" s="22"/>
      <c r="J564" s="22"/>
      <c r="K564" s="22"/>
      <c r="L564" s="22"/>
      <c r="M564" s="1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</row>
    <row r="565" spans="1:29" ht="11.25" customHeight="1">
      <c r="A565" s="22"/>
      <c r="B565" s="22"/>
      <c r="C565" s="22"/>
      <c r="D565" s="22"/>
      <c r="E565" s="22"/>
      <c r="F565" s="22"/>
      <c r="G565" s="1"/>
      <c r="H565" s="22"/>
      <c r="I565" s="22"/>
      <c r="J565" s="22"/>
      <c r="K565" s="22"/>
      <c r="L565" s="22"/>
      <c r="M565" s="1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</row>
    <row r="566" spans="1:29" ht="11.25" customHeight="1">
      <c r="A566" s="22"/>
      <c r="B566" s="22"/>
      <c r="C566" s="22"/>
      <c r="D566" s="22"/>
      <c r="E566" s="22"/>
      <c r="F566" s="22"/>
      <c r="G566" s="1"/>
      <c r="H566" s="22"/>
      <c r="I566" s="22"/>
      <c r="J566" s="22"/>
      <c r="K566" s="22"/>
      <c r="L566" s="22"/>
      <c r="M566" s="1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</row>
    <row r="567" spans="1:29" ht="11.25" customHeight="1">
      <c r="A567" s="22"/>
      <c r="B567" s="22"/>
      <c r="C567" s="22"/>
      <c r="D567" s="22"/>
      <c r="E567" s="22"/>
      <c r="F567" s="22"/>
      <c r="G567" s="1"/>
      <c r="H567" s="22"/>
      <c r="I567" s="22"/>
      <c r="J567" s="22"/>
      <c r="K567" s="22"/>
      <c r="L567" s="22"/>
      <c r="M567" s="1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</row>
    <row r="568" spans="1:29" ht="11.25" customHeight="1">
      <c r="A568" s="22"/>
      <c r="B568" s="22"/>
      <c r="C568" s="22"/>
      <c r="D568" s="22"/>
      <c r="E568" s="22"/>
      <c r="F568" s="22"/>
      <c r="G568" s="1"/>
      <c r="H568" s="22"/>
      <c r="I568" s="22"/>
      <c r="J568" s="22"/>
      <c r="K568" s="22"/>
      <c r="L568" s="22"/>
      <c r="M568" s="1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</row>
    <row r="569" spans="1:29" ht="11.25" customHeight="1">
      <c r="A569" s="22"/>
      <c r="B569" s="22"/>
      <c r="C569" s="22"/>
      <c r="D569" s="22"/>
      <c r="E569" s="22"/>
      <c r="F569" s="22"/>
      <c r="G569" s="1"/>
      <c r="H569" s="22"/>
      <c r="I569" s="22"/>
      <c r="J569" s="22"/>
      <c r="K569" s="22"/>
      <c r="L569" s="22"/>
      <c r="M569" s="1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</row>
    <row r="570" spans="1:29" ht="11.25" customHeight="1">
      <c r="A570" s="22"/>
      <c r="B570" s="22"/>
      <c r="C570" s="22"/>
      <c r="D570" s="22"/>
      <c r="E570" s="22"/>
      <c r="F570" s="22"/>
      <c r="G570" s="1"/>
      <c r="H570" s="22"/>
      <c r="I570" s="22"/>
      <c r="J570" s="22"/>
      <c r="K570" s="22"/>
      <c r="L570" s="22"/>
      <c r="M570" s="1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</row>
    <row r="571" spans="1:29" ht="11.25" customHeight="1">
      <c r="A571" s="22"/>
      <c r="B571" s="22"/>
      <c r="C571" s="22"/>
      <c r="D571" s="22"/>
      <c r="E571" s="22"/>
      <c r="F571" s="22"/>
      <c r="G571" s="1"/>
      <c r="H571" s="22"/>
      <c r="I571" s="22"/>
      <c r="J571" s="22"/>
      <c r="K571" s="22"/>
      <c r="L571" s="22"/>
      <c r="M571" s="1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</row>
    <row r="572" spans="1:29" ht="11.25" customHeight="1">
      <c r="A572" s="22"/>
      <c r="B572" s="22"/>
      <c r="C572" s="22"/>
      <c r="D572" s="22"/>
      <c r="E572" s="22"/>
      <c r="F572" s="22"/>
      <c r="G572" s="1"/>
      <c r="H572" s="22"/>
      <c r="I572" s="22"/>
      <c r="J572" s="22"/>
      <c r="K572" s="22"/>
      <c r="L572" s="22"/>
      <c r="M572" s="1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</row>
    <row r="573" spans="1:29" ht="11.25" customHeight="1">
      <c r="A573" s="22"/>
      <c r="B573" s="22"/>
      <c r="C573" s="22"/>
      <c r="D573" s="22"/>
      <c r="E573" s="22"/>
      <c r="F573" s="22"/>
      <c r="G573" s="1"/>
      <c r="H573" s="22"/>
      <c r="I573" s="22"/>
      <c r="J573" s="22"/>
      <c r="K573" s="22"/>
      <c r="L573" s="22"/>
      <c r="M573" s="1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</row>
    <row r="574" spans="1:29" ht="11.25" customHeight="1">
      <c r="A574" s="22"/>
      <c r="B574" s="22"/>
      <c r="C574" s="22"/>
      <c r="D574" s="22"/>
      <c r="E574" s="22"/>
      <c r="F574" s="22"/>
      <c r="G574" s="1"/>
      <c r="H574" s="22"/>
      <c r="I574" s="22"/>
      <c r="J574" s="22"/>
      <c r="K574" s="22"/>
      <c r="L574" s="22"/>
      <c r="M574" s="1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</row>
    <row r="575" spans="1:29" ht="11.25" customHeight="1">
      <c r="A575" s="22"/>
      <c r="B575" s="22"/>
      <c r="C575" s="22"/>
      <c r="D575" s="22"/>
      <c r="E575" s="22"/>
      <c r="F575" s="22"/>
      <c r="G575" s="1"/>
      <c r="H575" s="22"/>
      <c r="I575" s="22"/>
      <c r="J575" s="22"/>
      <c r="K575" s="22"/>
      <c r="L575" s="22"/>
      <c r="M575" s="1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</row>
    <row r="576" spans="1:29" ht="11.25" customHeight="1">
      <c r="A576" s="22"/>
      <c r="B576" s="22"/>
      <c r="C576" s="22"/>
      <c r="D576" s="22"/>
      <c r="E576" s="22"/>
      <c r="F576" s="22"/>
      <c r="G576" s="1"/>
      <c r="H576" s="22"/>
      <c r="I576" s="22"/>
      <c r="J576" s="22"/>
      <c r="K576" s="22"/>
      <c r="L576" s="22"/>
      <c r="M576" s="1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</row>
    <row r="577" spans="1:29" ht="11.25" customHeight="1">
      <c r="A577" s="22"/>
      <c r="B577" s="22"/>
      <c r="C577" s="22"/>
      <c r="D577" s="22"/>
      <c r="E577" s="22"/>
      <c r="F577" s="22"/>
      <c r="G577" s="1"/>
      <c r="H577" s="22"/>
      <c r="I577" s="22"/>
      <c r="J577" s="22"/>
      <c r="K577" s="22"/>
      <c r="L577" s="22"/>
      <c r="M577" s="1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</row>
    <row r="578" spans="1:29" ht="11.25" customHeight="1">
      <c r="A578" s="22"/>
      <c r="B578" s="22"/>
      <c r="C578" s="22"/>
      <c r="D578" s="22"/>
      <c r="E578" s="22"/>
      <c r="F578" s="22"/>
      <c r="G578" s="1"/>
      <c r="H578" s="22"/>
      <c r="I578" s="22"/>
      <c r="J578" s="22"/>
      <c r="K578" s="22"/>
      <c r="L578" s="22"/>
      <c r="M578" s="1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</row>
    <row r="579" spans="1:29" ht="11.25" customHeight="1">
      <c r="A579" s="22"/>
      <c r="B579" s="22"/>
      <c r="C579" s="22"/>
      <c r="D579" s="22"/>
      <c r="E579" s="22"/>
      <c r="F579" s="22"/>
      <c r="G579" s="1"/>
      <c r="H579" s="22"/>
      <c r="I579" s="22"/>
      <c r="J579" s="22"/>
      <c r="K579" s="22"/>
      <c r="L579" s="22"/>
      <c r="M579" s="1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</row>
    <row r="580" spans="1:29" ht="11.25" customHeight="1">
      <c r="A580" s="22"/>
      <c r="B580" s="22"/>
      <c r="C580" s="22"/>
      <c r="D580" s="22"/>
      <c r="E580" s="22"/>
      <c r="F580" s="22"/>
      <c r="G580" s="1"/>
      <c r="H580" s="22"/>
      <c r="I580" s="22"/>
      <c r="J580" s="22"/>
      <c r="K580" s="22"/>
      <c r="L580" s="22"/>
      <c r="M580" s="1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</row>
    <row r="581" spans="1:29" ht="11.25" customHeight="1">
      <c r="A581" s="22"/>
      <c r="B581" s="22"/>
      <c r="C581" s="22"/>
      <c r="D581" s="22"/>
      <c r="E581" s="22"/>
      <c r="F581" s="22"/>
      <c r="G581" s="1"/>
      <c r="H581" s="22"/>
      <c r="I581" s="22"/>
      <c r="J581" s="22"/>
      <c r="K581" s="22"/>
      <c r="L581" s="22"/>
      <c r="M581" s="1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</row>
    <row r="582" spans="1:29" ht="11.25" customHeight="1">
      <c r="A582" s="22"/>
      <c r="B582" s="22"/>
      <c r="C582" s="22"/>
      <c r="D582" s="22"/>
      <c r="E582" s="22"/>
      <c r="F582" s="22"/>
      <c r="G582" s="1"/>
      <c r="H582" s="22"/>
      <c r="I582" s="22"/>
      <c r="J582" s="22"/>
      <c r="K582" s="22"/>
      <c r="L582" s="22"/>
      <c r="M582" s="1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</row>
    <row r="583" spans="1:29" ht="11.25" customHeight="1">
      <c r="A583" s="22"/>
      <c r="B583" s="22"/>
      <c r="C583" s="22"/>
      <c r="D583" s="22"/>
      <c r="E583" s="22"/>
      <c r="F583" s="22"/>
      <c r="G583" s="1"/>
      <c r="H583" s="22"/>
      <c r="I583" s="22"/>
      <c r="J583" s="22"/>
      <c r="K583" s="22"/>
      <c r="L583" s="22"/>
      <c r="M583" s="1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</row>
    <row r="584" spans="1:29" ht="11.25" customHeight="1">
      <c r="A584" s="22"/>
      <c r="B584" s="22"/>
      <c r="C584" s="22"/>
      <c r="D584" s="22"/>
      <c r="E584" s="22"/>
      <c r="F584" s="22"/>
      <c r="G584" s="1"/>
      <c r="H584" s="22"/>
      <c r="I584" s="22"/>
      <c r="J584" s="22"/>
      <c r="K584" s="22"/>
      <c r="L584" s="22"/>
      <c r="M584" s="1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</row>
    <row r="585" spans="1:29" ht="11.25" customHeight="1">
      <c r="A585" s="22"/>
      <c r="B585" s="22"/>
      <c r="C585" s="22"/>
      <c r="D585" s="22"/>
      <c r="E585" s="22"/>
      <c r="F585" s="22"/>
      <c r="G585" s="1"/>
      <c r="H585" s="22"/>
      <c r="I585" s="22"/>
      <c r="J585" s="22"/>
      <c r="K585" s="22"/>
      <c r="L585" s="22"/>
      <c r="M585" s="1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</row>
    <row r="586" spans="1:29" ht="11.25" customHeight="1">
      <c r="A586" s="22"/>
      <c r="B586" s="22"/>
      <c r="C586" s="22"/>
      <c r="D586" s="22"/>
      <c r="E586" s="22"/>
      <c r="F586" s="22"/>
      <c r="G586" s="1"/>
      <c r="H586" s="22"/>
      <c r="I586" s="22"/>
      <c r="J586" s="22"/>
      <c r="K586" s="22"/>
      <c r="L586" s="22"/>
      <c r="M586" s="1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</row>
    <row r="587" spans="1:29" ht="11.25" customHeight="1">
      <c r="A587" s="22"/>
      <c r="B587" s="22"/>
      <c r="C587" s="22"/>
      <c r="D587" s="22"/>
      <c r="E587" s="22"/>
      <c r="F587" s="22"/>
      <c r="G587" s="1"/>
      <c r="H587" s="22"/>
      <c r="I587" s="22"/>
      <c r="J587" s="22"/>
      <c r="K587" s="22"/>
      <c r="L587" s="22"/>
      <c r="M587" s="1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</row>
    <row r="588" spans="1:29" ht="11.25" customHeight="1">
      <c r="A588" s="22"/>
      <c r="B588" s="22"/>
      <c r="C588" s="22"/>
      <c r="D588" s="22"/>
      <c r="E588" s="22"/>
      <c r="F588" s="22"/>
      <c r="G588" s="1"/>
      <c r="H588" s="22"/>
      <c r="I588" s="22"/>
      <c r="J588" s="22"/>
      <c r="K588" s="22"/>
      <c r="L588" s="22"/>
      <c r="M588" s="1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</row>
    <row r="589" spans="1:29" ht="11.25" customHeight="1">
      <c r="A589" s="22"/>
      <c r="B589" s="22"/>
      <c r="C589" s="22"/>
      <c r="D589" s="22"/>
      <c r="E589" s="22"/>
      <c r="F589" s="22"/>
      <c r="G589" s="1"/>
      <c r="H589" s="22"/>
      <c r="I589" s="22"/>
      <c r="J589" s="22"/>
      <c r="K589" s="22"/>
      <c r="L589" s="22"/>
      <c r="M589" s="1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</row>
    <row r="590" spans="1:29" ht="11.25" customHeight="1">
      <c r="A590" s="22"/>
      <c r="B590" s="22"/>
      <c r="C590" s="22"/>
      <c r="D590" s="22"/>
      <c r="E590" s="22"/>
      <c r="F590" s="22"/>
      <c r="G590" s="1"/>
      <c r="H590" s="22"/>
      <c r="I590" s="22"/>
      <c r="J590" s="22"/>
      <c r="K590" s="22"/>
      <c r="L590" s="22"/>
      <c r="M590" s="1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</row>
    <row r="591" spans="1:29" ht="11.25" customHeight="1">
      <c r="A591" s="22"/>
      <c r="B591" s="22"/>
      <c r="C591" s="22"/>
      <c r="D591" s="22"/>
      <c r="E591" s="22"/>
      <c r="F591" s="22"/>
      <c r="G591" s="1"/>
      <c r="H591" s="22"/>
      <c r="I591" s="22"/>
      <c r="J591" s="22"/>
      <c r="K591" s="22"/>
      <c r="L591" s="22"/>
      <c r="M591" s="1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</row>
    <row r="592" spans="1:29" ht="11.25" customHeight="1">
      <c r="A592" s="22"/>
      <c r="B592" s="22"/>
      <c r="C592" s="22"/>
      <c r="D592" s="22"/>
      <c r="E592" s="22"/>
      <c r="F592" s="22"/>
      <c r="G592" s="1"/>
      <c r="H592" s="22"/>
      <c r="I592" s="22"/>
      <c r="J592" s="22"/>
      <c r="K592" s="22"/>
      <c r="L592" s="22"/>
      <c r="M592" s="1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</row>
    <row r="593" spans="1:29" ht="11.25" customHeight="1">
      <c r="A593" s="22"/>
      <c r="B593" s="22"/>
      <c r="C593" s="22"/>
      <c r="D593" s="22"/>
      <c r="E593" s="22"/>
      <c r="F593" s="22"/>
      <c r="G593" s="1"/>
      <c r="H593" s="22"/>
      <c r="I593" s="22"/>
      <c r="J593" s="22"/>
      <c r="K593" s="22"/>
      <c r="L593" s="22"/>
      <c r="M593" s="1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</row>
    <row r="594" spans="1:29" ht="11.25" customHeight="1">
      <c r="A594" s="22"/>
      <c r="B594" s="22"/>
      <c r="C594" s="22"/>
      <c r="D594" s="22"/>
      <c r="E594" s="22"/>
      <c r="F594" s="22"/>
      <c r="G594" s="1"/>
      <c r="H594" s="22"/>
      <c r="I594" s="22"/>
      <c r="J594" s="22"/>
      <c r="K594" s="22"/>
      <c r="L594" s="22"/>
      <c r="M594" s="1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</row>
    <row r="595" spans="1:29" ht="11.25" customHeight="1">
      <c r="A595" s="22"/>
      <c r="B595" s="22"/>
      <c r="C595" s="22"/>
      <c r="D595" s="22"/>
      <c r="E595" s="22"/>
      <c r="F595" s="22"/>
      <c r="G595" s="1"/>
      <c r="H595" s="22"/>
      <c r="I595" s="22"/>
      <c r="J595" s="22"/>
      <c r="K595" s="22"/>
      <c r="L595" s="22"/>
      <c r="M595" s="1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</row>
    <row r="596" spans="1:29" ht="11.25" customHeight="1">
      <c r="A596" s="22"/>
      <c r="B596" s="22"/>
      <c r="C596" s="22"/>
      <c r="D596" s="22"/>
      <c r="E596" s="22"/>
      <c r="F596" s="22"/>
      <c r="G596" s="1"/>
      <c r="H596" s="22"/>
      <c r="I596" s="22"/>
      <c r="J596" s="22"/>
      <c r="K596" s="22"/>
      <c r="L596" s="22"/>
      <c r="M596" s="1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</row>
    <row r="597" spans="1:29" ht="11.25" customHeight="1">
      <c r="A597" s="22"/>
      <c r="B597" s="22"/>
      <c r="C597" s="22"/>
      <c r="D597" s="22"/>
      <c r="E597" s="22"/>
      <c r="F597" s="22"/>
      <c r="G597" s="1"/>
      <c r="H597" s="22"/>
      <c r="I597" s="22"/>
      <c r="J597" s="22"/>
      <c r="K597" s="22"/>
      <c r="L597" s="22"/>
      <c r="M597" s="1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</row>
    <row r="598" spans="1:29" ht="11.25" customHeight="1">
      <c r="A598" s="22"/>
      <c r="B598" s="22"/>
      <c r="C598" s="22"/>
      <c r="D598" s="22"/>
      <c r="E598" s="22"/>
      <c r="F598" s="22"/>
      <c r="G598" s="1"/>
      <c r="H598" s="22"/>
      <c r="I598" s="22"/>
      <c r="J598" s="22"/>
      <c r="K598" s="22"/>
      <c r="L598" s="22"/>
      <c r="M598" s="1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</row>
    <row r="599" spans="1:29" ht="11.25" customHeight="1">
      <c r="A599" s="22"/>
      <c r="B599" s="22"/>
      <c r="C599" s="22"/>
      <c r="D599" s="22"/>
      <c r="E599" s="22"/>
      <c r="F599" s="22"/>
      <c r="G599" s="1"/>
      <c r="H599" s="22"/>
      <c r="I599" s="22"/>
      <c r="J599" s="22"/>
      <c r="K599" s="22"/>
      <c r="L599" s="22"/>
      <c r="M599" s="1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</row>
    <row r="600" spans="1:29" ht="11.25" customHeight="1">
      <c r="A600" s="22"/>
      <c r="B600" s="22"/>
      <c r="C600" s="22"/>
      <c r="D600" s="22"/>
      <c r="E600" s="22"/>
      <c r="F600" s="22"/>
      <c r="G600" s="1"/>
      <c r="H600" s="22"/>
      <c r="I600" s="22"/>
      <c r="J600" s="22"/>
      <c r="K600" s="22"/>
      <c r="L600" s="22"/>
      <c r="M600" s="1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</row>
    <row r="601" spans="1:29" ht="11.25" customHeight="1">
      <c r="A601" s="22"/>
      <c r="B601" s="22"/>
      <c r="C601" s="22"/>
      <c r="D601" s="22"/>
      <c r="E601" s="22"/>
      <c r="F601" s="22"/>
      <c r="G601" s="1"/>
      <c r="H601" s="22"/>
      <c r="I601" s="22"/>
      <c r="J601" s="22"/>
      <c r="K601" s="22"/>
      <c r="L601" s="22"/>
      <c r="M601" s="1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</row>
    <row r="602" spans="1:29" ht="11.25" customHeight="1">
      <c r="A602" s="22"/>
      <c r="B602" s="22"/>
      <c r="C602" s="22"/>
      <c r="D602" s="22"/>
      <c r="E602" s="22"/>
      <c r="F602" s="22"/>
      <c r="G602" s="1"/>
      <c r="H602" s="22"/>
      <c r="I602" s="22"/>
      <c r="J602" s="22"/>
      <c r="K602" s="22"/>
      <c r="L602" s="22"/>
      <c r="M602" s="1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</row>
    <row r="603" spans="1:29" ht="11.25" customHeight="1">
      <c r="A603" s="22"/>
      <c r="B603" s="22"/>
      <c r="C603" s="22"/>
      <c r="D603" s="22"/>
      <c r="E603" s="22"/>
      <c r="F603" s="22"/>
      <c r="G603" s="1"/>
      <c r="H603" s="22"/>
      <c r="I603" s="22"/>
      <c r="J603" s="22"/>
      <c r="K603" s="22"/>
      <c r="L603" s="22"/>
      <c r="M603" s="1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</row>
    <row r="604" spans="1:29" ht="11.25" customHeight="1">
      <c r="A604" s="22"/>
      <c r="B604" s="22"/>
      <c r="C604" s="22"/>
      <c r="D604" s="22"/>
      <c r="E604" s="22"/>
      <c r="F604" s="22"/>
      <c r="G604" s="1"/>
      <c r="H604" s="22"/>
      <c r="I604" s="22"/>
      <c r="J604" s="22"/>
      <c r="K604" s="22"/>
      <c r="L604" s="22"/>
      <c r="M604" s="1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</row>
    <row r="605" spans="1:29" ht="11.25" customHeight="1">
      <c r="A605" s="22"/>
      <c r="B605" s="22"/>
      <c r="C605" s="22"/>
      <c r="D605" s="22"/>
      <c r="E605" s="22"/>
      <c r="F605" s="22"/>
      <c r="G605" s="1"/>
      <c r="H605" s="22"/>
      <c r="I605" s="22"/>
      <c r="J605" s="22"/>
      <c r="K605" s="22"/>
      <c r="L605" s="22"/>
      <c r="M605" s="1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</row>
    <row r="606" spans="1:29" ht="11.25" customHeight="1">
      <c r="A606" s="22"/>
      <c r="B606" s="22"/>
      <c r="C606" s="22"/>
      <c r="D606" s="22"/>
      <c r="E606" s="22"/>
      <c r="F606" s="22"/>
      <c r="G606" s="1"/>
      <c r="H606" s="22"/>
      <c r="I606" s="22"/>
      <c r="J606" s="22"/>
      <c r="K606" s="22"/>
      <c r="L606" s="22"/>
      <c r="M606" s="1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</row>
    <row r="607" spans="1:29" ht="11.25" customHeight="1">
      <c r="A607" s="22"/>
      <c r="B607" s="22"/>
      <c r="C607" s="22"/>
      <c r="D607" s="22"/>
      <c r="E607" s="22"/>
      <c r="F607" s="22"/>
      <c r="G607" s="1"/>
      <c r="H607" s="22"/>
      <c r="I607" s="22"/>
      <c r="J607" s="22"/>
      <c r="K607" s="22"/>
      <c r="L607" s="22"/>
      <c r="M607" s="1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</row>
    <row r="608" spans="1:29" ht="11.25" customHeight="1">
      <c r="A608" s="22"/>
      <c r="B608" s="22"/>
      <c r="C608" s="22"/>
      <c r="D608" s="22"/>
      <c r="E608" s="22"/>
      <c r="F608" s="22"/>
      <c r="G608" s="1"/>
      <c r="H608" s="22"/>
      <c r="I608" s="22"/>
      <c r="J608" s="22"/>
      <c r="K608" s="22"/>
      <c r="L608" s="22"/>
      <c r="M608" s="1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</row>
    <row r="609" spans="1:29" ht="11.25" customHeight="1">
      <c r="A609" s="22"/>
      <c r="B609" s="22"/>
      <c r="C609" s="22"/>
      <c r="D609" s="22"/>
      <c r="E609" s="22"/>
      <c r="F609" s="22"/>
      <c r="G609" s="1"/>
      <c r="H609" s="22"/>
      <c r="I609" s="22"/>
      <c r="J609" s="22"/>
      <c r="K609" s="22"/>
      <c r="L609" s="22"/>
      <c r="M609" s="1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</row>
    <row r="610" spans="1:29" ht="11.25" customHeight="1">
      <c r="A610" s="22"/>
      <c r="B610" s="22"/>
      <c r="C610" s="22"/>
      <c r="D610" s="22"/>
      <c r="E610" s="22"/>
      <c r="F610" s="22"/>
      <c r="G610" s="1"/>
      <c r="H610" s="22"/>
      <c r="I610" s="22"/>
      <c r="J610" s="22"/>
      <c r="K610" s="22"/>
      <c r="L610" s="22"/>
      <c r="M610" s="1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</row>
    <row r="611" spans="1:29" ht="11.25" customHeight="1">
      <c r="A611" s="22"/>
      <c r="B611" s="22"/>
      <c r="C611" s="22"/>
      <c r="D611" s="22"/>
      <c r="E611" s="22"/>
      <c r="F611" s="22"/>
      <c r="G611" s="1"/>
      <c r="H611" s="22"/>
      <c r="I611" s="22"/>
      <c r="J611" s="22"/>
      <c r="K611" s="22"/>
      <c r="L611" s="22"/>
      <c r="M611" s="1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</row>
    <row r="612" spans="1:29" ht="11.25" customHeight="1">
      <c r="A612" s="22"/>
      <c r="B612" s="22"/>
      <c r="C612" s="22"/>
      <c r="D612" s="22"/>
      <c r="E612" s="22"/>
      <c r="F612" s="22"/>
      <c r="G612" s="1"/>
      <c r="H612" s="22"/>
      <c r="I612" s="22"/>
      <c r="J612" s="22"/>
      <c r="K612" s="22"/>
      <c r="L612" s="22"/>
      <c r="M612" s="1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</row>
    <row r="613" spans="1:29" ht="11.25" customHeight="1">
      <c r="A613" s="22"/>
      <c r="B613" s="22"/>
      <c r="C613" s="22"/>
      <c r="D613" s="22"/>
      <c r="E613" s="22"/>
      <c r="F613" s="22"/>
      <c r="G613" s="1"/>
      <c r="H613" s="22"/>
      <c r="I613" s="22"/>
      <c r="J613" s="22"/>
      <c r="K613" s="22"/>
      <c r="L613" s="22"/>
      <c r="M613" s="1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</row>
    <row r="614" spans="1:29" ht="11.25" customHeight="1">
      <c r="A614" s="22"/>
      <c r="B614" s="22"/>
      <c r="C614" s="22"/>
      <c r="D614" s="22"/>
      <c r="E614" s="22"/>
      <c r="F614" s="22"/>
      <c r="G614" s="1"/>
      <c r="H614" s="22"/>
      <c r="I614" s="22"/>
      <c r="J614" s="22"/>
      <c r="K614" s="22"/>
      <c r="L614" s="22"/>
      <c r="M614" s="1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</row>
    <row r="615" spans="1:29" ht="11.25" customHeight="1">
      <c r="A615" s="22"/>
      <c r="B615" s="22"/>
      <c r="C615" s="22"/>
      <c r="D615" s="22"/>
      <c r="E615" s="22"/>
      <c r="F615" s="22"/>
      <c r="G615" s="1"/>
      <c r="H615" s="22"/>
      <c r="I615" s="22"/>
      <c r="J615" s="22"/>
      <c r="K615" s="22"/>
      <c r="L615" s="22"/>
      <c r="M615" s="1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</row>
    <row r="616" spans="1:29" ht="11.25" customHeight="1">
      <c r="A616" s="22"/>
      <c r="B616" s="22"/>
      <c r="C616" s="22"/>
      <c r="D616" s="22"/>
      <c r="E616" s="22"/>
      <c r="F616" s="22"/>
      <c r="G616" s="1"/>
      <c r="H616" s="22"/>
      <c r="I616" s="22"/>
      <c r="J616" s="22"/>
      <c r="K616" s="22"/>
      <c r="L616" s="22"/>
      <c r="M616" s="1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</row>
    <row r="617" spans="1:29" ht="11.25" customHeight="1">
      <c r="A617" s="22"/>
      <c r="B617" s="22"/>
      <c r="C617" s="22"/>
      <c r="D617" s="22"/>
      <c r="E617" s="22"/>
      <c r="F617" s="22"/>
      <c r="G617" s="1"/>
      <c r="H617" s="22"/>
      <c r="I617" s="22"/>
      <c r="J617" s="22"/>
      <c r="K617" s="22"/>
      <c r="L617" s="22"/>
      <c r="M617" s="1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</row>
    <row r="618" spans="1:29" ht="11.25" customHeight="1">
      <c r="A618" s="22"/>
      <c r="B618" s="22"/>
      <c r="C618" s="22"/>
      <c r="D618" s="22"/>
      <c r="E618" s="22"/>
      <c r="F618" s="22"/>
      <c r="G618" s="1"/>
      <c r="H618" s="22"/>
      <c r="I618" s="22"/>
      <c r="J618" s="22"/>
      <c r="K618" s="22"/>
      <c r="L618" s="22"/>
      <c r="M618" s="1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</row>
    <row r="619" spans="1:29" ht="11.25" customHeight="1">
      <c r="A619" s="22"/>
      <c r="B619" s="22"/>
      <c r="C619" s="22"/>
      <c r="D619" s="22"/>
      <c r="E619" s="22"/>
      <c r="F619" s="22"/>
      <c r="G619" s="1"/>
      <c r="H619" s="22"/>
      <c r="I619" s="22"/>
      <c r="J619" s="22"/>
      <c r="K619" s="22"/>
      <c r="L619" s="22"/>
      <c r="M619" s="1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</row>
    <row r="620" spans="1:29" ht="11.25" customHeight="1">
      <c r="A620" s="22"/>
      <c r="B620" s="22"/>
      <c r="C620" s="22"/>
      <c r="D620" s="22"/>
      <c r="E620" s="22"/>
      <c r="F620" s="22"/>
      <c r="G620" s="1"/>
      <c r="H620" s="22"/>
      <c r="I620" s="22"/>
      <c r="J620" s="22"/>
      <c r="K620" s="22"/>
      <c r="L620" s="22"/>
      <c r="M620" s="1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</row>
    <row r="621" spans="1:29" ht="11.25" customHeight="1">
      <c r="A621" s="22"/>
      <c r="B621" s="22"/>
      <c r="C621" s="22"/>
      <c r="D621" s="22"/>
      <c r="E621" s="22"/>
      <c r="F621" s="22"/>
      <c r="G621" s="1"/>
      <c r="H621" s="22"/>
      <c r="I621" s="22"/>
      <c r="J621" s="22"/>
      <c r="K621" s="22"/>
      <c r="L621" s="22"/>
      <c r="M621" s="1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</row>
    <row r="622" spans="1:29" ht="11.25" customHeight="1">
      <c r="A622" s="22"/>
      <c r="B622" s="22"/>
      <c r="C622" s="22"/>
      <c r="D622" s="22"/>
      <c r="E622" s="22"/>
      <c r="F622" s="22"/>
      <c r="G622" s="1"/>
      <c r="H622" s="22"/>
      <c r="I622" s="22"/>
      <c r="J622" s="22"/>
      <c r="K622" s="22"/>
      <c r="L622" s="22"/>
      <c r="M622" s="1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</row>
    <row r="623" spans="1:29" ht="11.25" customHeight="1">
      <c r="A623" s="22"/>
      <c r="B623" s="22"/>
      <c r="C623" s="22"/>
      <c r="D623" s="22"/>
      <c r="E623" s="22"/>
      <c r="F623" s="22"/>
      <c r="G623" s="1"/>
      <c r="H623" s="22"/>
      <c r="I623" s="22"/>
      <c r="J623" s="22"/>
      <c r="K623" s="22"/>
      <c r="L623" s="22"/>
      <c r="M623" s="1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</row>
    <row r="624" spans="1:29" ht="11.25" customHeight="1">
      <c r="A624" s="22"/>
      <c r="B624" s="22"/>
      <c r="C624" s="22"/>
      <c r="D624" s="22"/>
      <c r="E624" s="22"/>
      <c r="F624" s="22"/>
      <c r="G624" s="1"/>
      <c r="H624" s="22"/>
      <c r="I624" s="22"/>
      <c r="J624" s="22"/>
      <c r="K624" s="22"/>
      <c r="L624" s="22"/>
      <c r="M624" s="1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</row>
    <row r="625" spans="1:29" ht="11.25" customHeight="1">
      <c r="A625" s="22"/>
      <c r="B625" s="22"/>
      <c r="C625" s="22"/>
      <c r="D625" s="22"/>
      <c r="E625" s="22"/>
      <c r="F625" s="22"/>
      <c r="G625" s="1"/>
      <c r="H625" s="22"/>
      <c r="I625" s="22"/>
      <c r="J625" s="22"/>
      <c r="K625" s="22"/>
      <c r="L625" s="22"/>
      <c r="M625" s="1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</row>
    <row r="626" spans="1:29" ht="11.25" customHeight="1">
      <c r="A626" s="22"/>
      <c r="B626" s="22"/>
      <c r="C626" s="22"/>
      <c r="D626" s="22"/>
      <c r="E626" s="22"/>
      <c r="F626" s="22"/>
      <c r="G626" s="1"/>
      <c r="H626" s="22"/>
      <c r="I626" s="22"/>
      <c r="J626" s="22"/>
      <c r="K626" s="22"/>
      <c r="L626" s="22"/>
      <c r="M626" s="1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</row>
    <row r="627" spans="1:29" ht="11.25" customHeight="1">
      <c r="A627" s="22"/>
      <c r="B627" s="22"/>
      <c r="C627" s="22"/>
      <c r="D627" s="22"/>
      <c r="E627" s="22"/>
      <c r="F627" s="22"/>
      <c r="G627" s="1"/>
      <c r="H627" s="22"/>
      <c r="I627" s="22"/>
      <c r="J627" s="22"/>
      <c r="K627" s="22"/>
      <c r="L627" s="22"/>
      <c r="M627" s="1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</row>
    <row r="628" spans="1:29" ht="11.25" customHeight="1">
      <c r="A628" s="22"/>
      <c r="B628" s="22"/>
      <c r="C628" s="22"/>
      <c r="D628" s="22"/>
      <c r="E628" s="22"/>
      <c r="F628" s="22"/>
      <c r="G628" s="1"/>
      <c r="H628" s="22"/>
      <c r="I628" s="22"/>
      <c r="J628" s="22"/>
      <c r="K628" s="22"/>
      <c r="L628" s="22"/>
      <c r="M628" s="1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</row>
    <row r="629" spans="1:29" ht="11.25" customHeight="1">
      <c r="A629" s="22"/>
      <c r="B629" s="22"/>
      <c r="C629" s="22"/>
      <c r="D629" s="22"/>
      <c r="E629" s="22"/>
      <c r="F629" s="22"/>
      <c r="G629" s="1"/>
      <c r="H629" s="22"/>
      <c r="I629" s="22"/>
      <c r="J629" s="22"/>
      <c r="K629" s="22"/>
      <c r="L629" s="22"/>
      <c r="M629" s="1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</row>
    <row r="630" spans="1:29" ht="11.25" customHeight="1">
      <c r="A630" s="22"/>
      <c r="B630" s="22"/>
      <c r="C630" s="22"/>
      <c r="D630" s="22"/>
      <c r="E630" s="22"/>
      <c r="F630" s="22"/>
      <c r="G630" s="1"/>
      <c r="H630" s="22"/>
      <c r="I630" s="22"/>
      <c r="J630" s="22"/>
      <c r="K630" s="22"/>
      <c r="L630" s="22"/>
      <c r="M630" s="1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</row>
    <row r="631" spans="1:29" ht="11.25" customHeight="1">
      <c r="A631" s="22"/>
      <c r="B631" s="22"/>
      <c r="C631" s="22"/>
      <c r="D631" s="22"/>
      <c r="E631" s="22"/>
      <c r="F631" s="22"/>
      <c r="G631" s="1"/>
      <c r="H631" s="22"/>
      <c r="I631" s="22"/>
      <c r="J631" s="22"/>
      <c r="K631" s="22"/>
      <c r="L631" s="22"/>
      <c r="M631" s="1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</row>
    <row r="632" spans="1:29" ht="11.25" customHeight="1">
      <c r="A632" s="22"/>
      <c r="B632" s="22"/>
      <c r="C632" s="22"/>
      <c r="D632" s="22"/>
      <c r="E632" s="22"/>
      <c r="F632" s="22"/>
      <c r="G632" s="1"/>
      <c r="H632" s="22"/>
      <c r="I632" s="22"/>
      <c r="J632" s="22"/>
      <c r="K632" s="22"/>
      <c r="L632" s="22"/>
      <c r="M632" s="1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</row>
    <row r="633" spans="1:29" ht="11.25" customHeight="1">
      <c r="A633" s="22"/>
      <c r="B633" s="22"/>
      <c r="C633" s="22"/>
      <c r="D633" s="22"/>
      <c r="E633" s="22"/>
      <c r="F633" s="22"/>
      <c r="G633" s="1"/>
      <c r="H633" s="22"/>
      <c r="I633" s="22"/>
      <c r="J633" s="22"/>
      <c r="K633" s="22"/>
      <c r="L633" s="22"/>
      <c r="M633" s="1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</row>
    <row r="634" spans="1:29" ht="11.25" customHeight="1">
      <c r="A634" s="22"/>
      <c r="B634" s="22"/>
      <c r="C634" s="22"/>
      <c r="D634" s="22"/>
      <c r="E634" s="22"/>
      <c r="F634" s="22"/>
      <c r="G634" s="1"/>
      <c r="H634" s="22"/>
      <c r="I634" s="22"/>
      <c r="J634" s="22"/>
      <c r="K634" s="22"/>
      <c r="L634" s="22"/>
      <c r="M634" s="1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</row>
    <row r="635" spans="1:29" ht="11.25" customHeight="1">
      <c r="A635" s="22"/>
      <c r="B635" s="22"/>
      <c r="C635" s="22"/>
      <c r="D635" s="22"/>
      <c r="E635" s="22"/>
      <c r="F635" s="22"/>
      <c r="G635" s="1"/>
      <c r="H635" s="22"/>
      <c r="I635" s="22"/>
      <c r="J635" s="22"/>
      <c r="K635" s="22"/>
      <c r="L635" s="22"/>
      <c r="M635" s="1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</row>
    <row r="636" spans="1:29" ht="11.25" customHeight="1">
      <c r="A636" s="22"/>
      <c r="B636" s="22"/>
      <c r="C636" s="22"/>
      <c r="D636" s="22"/>
      <c r="E636" s="22"/>
      <c r="F636" s="22"/>
      <c r="G636" s="1"/>
      <c r="H636" s="22"/>
      <c r="I636" s="22"/>
      <c r="J636" s="22"/>
      <c r="K636" s="22"/>
      <c r="L636" s="22"/>
      <c r="M636" s="1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</row>
    <row r="637" spans="1:29" ht="11.25" customHeight="1">
      <c r="A637" s="22"/>
      <c r="B637" s="22"/>
      <c r="C637" s="22"/>
      <c r="D637" s="22"/>
      <c r="E637" s="22"/>
      <c r="F637" s="22"/>
      <c r="G637" s="1"/>
      <c r="H637" s="22"/>
      <c r="I637" s="22"/>
      <c r="J637" s="22"/>
      <c r="K637" s="22"/>
      <c r="L637" s="22"/>
      <c r="M637" s="1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</row>
    <row r="638" spans="1:29" ht="11.25" customHeight="1">
      <c r="A638" s="22"/>
      <c r="B638" s="22"/>
      <c r="C638" s="22"/>
      <c r="D638" s="22"/>
      <c r="E638" s="22"/>
      <c r="F638" s="22"/>
      <c r="G638" s="1"/>
      <c r="H638" s="22"/>
      <c r="I638" s="22"/>
      <c r="J638" s="22"/>
      <c r="K638" s="22"/>
      <c r="L638" s="22"/>
      <c r="M638" s="1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</row>
    <row r="639" spans="1:29" ht="11.25" customHeight="1">
      <c r="A639" s="22"/>
      <c r="B639" s="22"/>
      <c r="C639" s="22"/>
      <c r="D639" s="22"/>
      <c r="E639" s="22"/>
      <c r="F639" s="22"/>
      <c r="G639" s="1"/>
      <c r="H639" s="22"/>
      <c r="I639" s="22"/>
      <c r="J639" s="22"/>
      <c r="K639" s="22"/>
      <c r="L639" s="22"/>
      <c r="M639" s="1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</row>
    <row r="640" spans="1:29" ht="11.25" customHeight="1">
      <c r="A640" s="22"/>
      <c r="B640" s="22"/>
      <c r="C640" s="22"/>
      <c r="D640" s="22"/>
      <c r="E640" s="22"/>
      <c r="F640" s="22"/>
      <c r="G640" s="1"/>
      <c r="H640" s="22"/>
      <c r="I640" s="22"/>
      <c r="J640" s="22"/>
      <c r="K640" s="22"/>
      <c r="L640" s="22"/>
      <c r="M640" s="1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</row>
    <row r="641" spans="1:29" ht="11.25" customHeight="1">
      <c r="A641" s="22"/>
      <c r="B641" s="22"/>
      <c r="C641" s="22"/>
      <c r="D641" s="22"/>
      <c r="E641" s="22"/>
      <c r="F641" s="22"/>
      <c r="G641" s="1"/>
      <c r="H641" s="22"/>
      <c r="I641" s="22"/>
      <c r="J641" s="22"/>
      <c r="K641" s="22"/>
      <c r="L641" s="22"/>
      <c r="M641" s="1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</row>
    <row r="642" spans="1:29" ht="11.25" customHeight="1">
      <c r="A642" s="22"/>
      <c r="B642" s="22"/>
      <c r="C642" s="22"/>
      <c r="D642" s="22"/>
      <c r="E642" s="22"/>
      <c r="F642" s="22"/>
      <c r="G642" s="1"/>
      <c r="H642" s="22"/>
      <c r="I642" s="22"/>
      <c r="J642" s="22"/>
      <c r="K642" s="22"/>
      <c r="L642" s="22"/>
      <c r="M642" s="1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</row>
    <row r="643" spans="1:29" ht="11.25" customHeight="1">
      <c r="A643" s="22"/>
      <c r="B643" s="22"/>
      <c r="C643" s="22"/>
      <c r="D643" s="22"/>
      <c r="E643" s="22"/>
      <c r="F643" s="22"/>
      <c r="G643" s="1"/>
      <c r="H643" s="22"/>
      <c r="I643" s="22"/>
      <c r="J643" s="22"/>
      <c r="K643" s="22"/>
      <c r="L643" s="22"/>
      <c r="M643" s="1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</row>
    <row r="644" spans="1:29" ht="11.25" customHeight="1">
      <c r="A644" s="22"/>
      <c r="B644" s="22"/>
      <c r="C644" s="22"/>
      <c r="D644" s="22"/>
      <c r="E644" s="22"/>
      <c r="F644" s="22"/>
      <c r="G644" s="1"/>
      <c r="H644" s="22"/>
      <c r="I644" s="22"/>
      <c r="J644" s="22"/>
      <c r="K644" s="22"/>
      <c r="L644" s="22"/>
      <c r="M644" s="1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</row>
    <row r="645" spans="1:29" ht="11.25" customHeight="1">
      <c r="A645" s="22"/>
      <c r="B645" s="22"/>
      <c r="C645" s="22"/>
      <c r="D645" s="22"/>
      <c r="E645" s="22"/>
      <c r="F645" s="22"/>
      <c r="G645" s="1"/>
      <c r="H645" s="22"/>
      <c r="I645" s="22"/>
      <c r="J645" s="22"/>
      <c r="K645" s="22"/>
      <c r="L645" s="22"/>
      <c r="M645" s="1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</row>
    <row r="646" spans="1:29" ht="11.25" customHeight="1">
      <c r="A646" s="22"/>
      <c r="B646" s="22"/>
      <c r="C646" s="22"/>
      <c r="D646" s="22"/>
      <c r="E646" s="22"/>
      <c r="F646" s="22"/>
      <c r="G646" s="1"/>
      <c r="H646" s="22"/>
      <c r="I646" s="22"/>
      <c r="J646" s="22"/>
      <c r="K646" s="22"/>
      <c r="L646" s="22"/>
      <c r="M646" s="1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</row>
    <row r="647" spans="1:29" ht="11.25" customHeight="1">
      <c r="A647" s="22"/>
      <c r="B647" s="22"/>
      <c r="C647" s="22"/>
      <c r="D647" s="22"/>
      <c r="E647" s="22"/>
      <c r="F647" s="22"/>
      <c r="G647" s="1"/>
      <c r="H647" s="22"/>
      <c r="I647" s="22"/>
      <c r="J647" s="22"/>
      <c r="K647" s="22"/>
      <c r="L647" s="22"/>
      <c r="M647" s="1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</row>
    <row r="648" spans="1:29" ht="11.25" customHeight="1">
      <c r="A648" s="22"/>
      <c r="B648" s="22"/>
      <c r="C648" s="22"/>
      <c r="D648" s="22"/>
      <c r="E648" s="22"/>
      <c r="F648" s="22"/>
      <c r="G648" s="1"/>
      <c r="H648" s="22"/>
      <c r="I648" s="22"/>
      <c r="J648" s="22"/>
      <c r="K648" s="22"/>
      <c r="L648" s="22"/>
      <c r="M648" s="1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</row>
    <row r="649" spans="1:29" ht="11.25" customHeight="1">
      <c r="A649" s="22"/>
      <c r="B649" s="22"/>
      <c r="C649" s="22"/>
      <c r="D649" s="22"/>
      <c r="E649" s="22"/>
      <c r="F649" s="22"/>
      <c r="G649" s="1"/>
      <c r="H649" s="22"/>
      <c r="I649" s="22"/>
      <c r="J649" s="22"/>
      <c r="K649" s="22"/>
      <c r="L649" s="22"/>
      <c r="M649" s="1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</row>
    <row r="650" spans="1:29" ht="11.25" customHeight="1">
      <c r="A650" s="22"/>
      <c r="B650" s="22"/>
      <c r="C650" s="22"/>
      <c r="D650" s="22"/>
      <c r="E650" s="22"/>
      <c r="F650" s="22"/>
      <c r="G650" s="1"/>
      <c r="H650" s="22"/>
      <c r="I650" s="22"/>
      <c r="J650" s="22"/>
      <c r="K650" s="22"/>
      <c r="L650" s="22"/>
      <c r="M650" s="1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</row>
    <row r="651" spans="1:29" ht="11.25" customHeight="1">
      <c r="A651" s="22"/>
      <c r="B651" s="22"/>
      <c r="C651" s="22"/>
      <c r="D651" s="22"/>
      <c r="E651" s="22"/>
      <c r="F651" s="22"/>
      <c r="G651" s="1"/>
      <c r="H651" s="22"/>
      <c r="I651" s="22"/>
      <c r="J651" s="22"/>
      <c r="K651" s="22"/>
      <c r="L651" s="22"/>
      <c r="M651" s="1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</row>
    <row r="652" spans="1:29" ht="11.25" customHeight="1">
      <c r="A652" s="22"/>
      <c r="B652" s="22"/>
      <c r="C652" s="22"/>
      <c r="D652" s="22"/>
      <c r="E652" s="22"/>
      <c r="F652" s="22"/>
      <c r="G652" s="1"/>
      <c r="H652" s="22"/>
      <c r="I652" s="22"/>
      <c r="J652" s="22"/>
      <c r="K652" s="22"/>
      <c r="L652" s="22"/>
      <c r="M652" s="1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</row>
    <row r="653" spans="1:29" ht="11.25" customHeight="1">
      <c r="A653" s="22"/>
      <c r="B653" s="22"/>
      <c r="C653" s="22"/>
      <c r="D653" s="22"/>
      <c r="E653" s="22"/>
      <c r="F653" s="22"/>
      <c r="G653" s="1"/>
      <c r="H653" s="22"/>
      <c r="I653" s="22"/>
      <c r="J653" s="22"/>
      <c r="K653" s="22"/>
      <c r="L653" s="22"/>
      <c r="M653" s="1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</row>
    <row r="654" spans="1:29" ht="11.25" customHeight="1">
      <c r="A654" s="22"/>
      <c r="B654" s="22"/>
      <c r="C654" s="22"/>
      <c r="D654" s="22"/>
      <c r="E654" s="22"/>
      <c r="F654" s="22"/>
      <c r="G654" s="1"/>
      <c r="H654" s="22"/>
      <c r="I654" s="22"/>
      <c r="J654" s="22"/>
      <c r="K654" s="22"/>
      <c r="L654" s="22"/>
      <c r="M654" s="1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</row>
    <row r="655" spans="1:29" ht="11.25" customHeight="1">
      <c r="A655" s="22"/>
      <c r="B655" s="22"/>
      <c r="C655" s="22"/>
      <c r="D655" s="22"/>
      <c r="E655" s="22"/>
      <c r="F655" s="22"/>
      <c r="G655" s="1"/>
      <c r="H655" s="22"/>
      <c r="I655" s="22"/>
      <c r="J655" s="22"/>
      <c r="K655" s="22"/>
      <c r="L655" s="22"/>
      <c r="M655" s="1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</row>
    <row r="656" spans="1:29" ht="11.25" customHeight="1">
      <c r="A656" s="22"/>
      <c r="B656" s="22"/>
      <c r="C656" s="22"/>
      <c r="D656" s="22"/>
      <c r="E656" s="22"/>
      <c r="F656" s="22"/>
      <c r="G656" s="1"/>
      <c r="H656" s="22"/>
      <c r="I656" s="22"/>
      <c r="J656" s="22"/>
      <c r="K656" s="22"/>
      <c r="L656" s="22"/>
      <c r="M656" s="1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</row>
    <row r="657" spans="1:29" ht="11.25" customHeight="1">
      <c r="A657" s="22"/>
      <c r="B657" s="22"/>
      <c r="C657" s="22"/>
      <c r="D657" s="22"/>
      <c r="E657" s="22"/>
      <c r="F657" s="22"/>
      <c r="G657" s="1"/>
      <c r="H657" s="22"/>
      <c r="I657" s="22"/>
      <c r="J657" s="22"/>
      <c r="K657" s="22"/>
      <c r="L657" s="22"/>
      <c r="M657" s="1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</row>
    <row r="658" spans="1:29" ht="11.25" customHeight="1">
      <c r="A658" s="22"/>
      <c r="B658" s="22"/>
      <c r="C658" s="22"/>
      <c r="D658" s="22"/>
      <c r="E658" s="22"/>
      <c r="F658" s="22"/>
      <c r="G658" s="1"/>
      <c r="H658" s="22"/>
      <c r="I658" s="22"/>
      <c r="J658" s="22"/>
      <c r="K658" s="22"/>
      <c r="L658" s="22"/>
      <c r="M658" s="1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</row>
    <row r="659" spans="1:29" ht="11.25" customHeight="1">
      <c r="A659" s="22"/>
      <c r="B659" s="22"/>
      <c r="C659" s="22"/>
      <c r="D659" s="22"/>
      <c r="E659" s="22"/>
      <c r="F659" s="22"/>
      <c r="G659" s="1"/>
      <c r="H659" s="22"/>
      <c r="I659" s="22"/>
      <c r="J659" s="22"/>
      <c r="K659" s="22"/>
      <c r="L659" s="22"/>
      <c r="M659" s="1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</row>
    <row r="660" spans="1:29" ht="11.25" customHeight="1">
      <c r="A660" s="22"/>
      <c r="B660" s="22"/>
      <c r="C660" s="22"/>
      <c r="D660" s="22"/>
      <c r="E660" s="22"/>
      <c r="F660" s="22"/>
      <c r="G660" s="1"/>
      <c r="H660" s="22"/>
      <c r="I660" s="22"/>
      <c r="J660" s="22"/>
      <c r="K660" s="22"/>
      <c r="L660" s="22"/>
      <c r="M660" s="1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</row>
    <row r="661" spans="1:29" ht="11.25" customHeight="1">
      <c r="A661" s="22"/>
      <c r="B661" s="22"/>
      <c r="C661" s="22"/>
      <c r="D661" s="22"/>
      <c r="E661" s="22"/>
      <c r="F661" s="22"/>
      <c r="G661" s="1"/>
      <c r="H661" s="22"/>
      <c r="I661" s="22"/>
      <c r="J661" s="22"/>
      <c r="K661" s="22"/>
      <c r="L661" s="22"/>
      <c r="M661" s="1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</row>
    <row r="662" spans="1:29" ht="11.25" customHeight="1">
      <c r="A662" s="22"/>
      <c r="B662" s="22"/>
      <c r="C662" s="22"/>
      <c r="D662" s="22"/>
      <c r="E662" s="22"/>
      <c r="F662" s="22"/>
      <c r="G662" s="1"/>
      <c r="H662" s="22"/>
      <c r="I662" s="22"/>
      <c r="J662" s="22"/>
      <c r="K662" s="22"/>
      <c r="L662" s="22"/>
      <c r="M662" s="1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</row>
    <row r="663" spans="1:29" ht="11.25" customHeight="1">
      <c r="A663" s="22"/>
      <c r="B663" s="22"/>
      <c r="C663" s="22"/>
      <c r="D663" s="22"/>
      <c r="E663" s="22"/>
      <c r="F663" s="22"/>
      <c r="G663" s="1"/>
      <c r="H663" s="22"/>
      <c r="I663" s="22"/>
      <c r="J663" s="22"/>
      <c r="K663" s="22"/>
      <c r="L663" s="22"/>
      <c r="M663" s="1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</row>
    <row r="664" spans="1:29" ht="11.25" customHeight="1">
      <c r="A664" s="22"/>
      <c r="B664" s="22"/>
      <c r="C664" s="22"/>
      <c r="D664" s="22"/>
      <c r="E664" s="22"/>
      <c r="F664" s="22"/>
      <c r="G664" s="1"/>
      <c r="H664" s="22"/>
      <c r="I664" s="22"/>
      <c r="J664" s="22"/>
      <c r="K664" s="22"/>
      <c r="L664" s="22"/>
      <c r="M664" s="1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</row>
    <row r="665" spans="1:29" ht="11.25" customHeight="1">
      <c r="A665" s="22"/>
      <c r="B665" s="22"/>
      <c r="C665" s="22"/>
      <c r="D665" s="22"/>
      <c r="E665" s="22"/>
      <c r="F665" s="22"/>
      <c r="G665" s="1"/>
      <c r="H665" s="22"/>
      <c r="I665" s="22"/>
      <c r="J665" s="22"/>
      <c r="K665" s="22"/>
      <c r="L665" s="22"/>
      <c r="M665" s="1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</row>
    <row r="666" spans="1:29" ht="11.25" customHeight="1">
      <c r="A666" s="22"/>
      <c r="B666" s="22"/>
      <c r="C666" s="22"/>
      <c r="D666" s="22"/>
      <c r="E666" s="22"/>
      <c r="F666" s="22"/>
      <c r="G666" s="1"/>
      <c r="H666" s="22"/>
      <c r="I666" s="22"/>
      <c r="J666" s="22"/>
      <c r="K666" s="22"/>
      <c r="L666" s="22"/>
      <c r="M666" s="1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</row>
    <row r="667" spans="1:29" ht="11.25" customHeight="1">
      <c r="A667" s="22"/>
      <c r="B667" s="22"/>
      <c r="C667" s="22"/>
      <c r="D667" s="22"/>
      <c r="E667" s="22"/>
      <c r="F667" s="22"/>
      <c r="G667" s="1"/>
      <c r="H667" s="22"/>
      <c r="I667" s="22"/>
      <c r="J667" s="22"/>
      <c r="K667" s="22"/>
      <c r="L667" s="22"/>
      <c r="M667" s="1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</row>
    <row r="668" spans="1:29" ht="11.25" customHeight="1">
      <c r="A668" s="22"/>
      <c r="B668" s="22"/>
      <c r="C668" s="22"/>
      <c r="D668" s="22"/>
      <c r="E668" s="22"/>
      <c r="F668" s="22"/>
      <c r="G668" s="1"/>
      <c r="H668" s="22"/>
      <c r="I668" s="22"/>
      <c r="J668" s="22"/>
      <c r="K668" s="22"/>
      <c r="L668" s="22"/>
      <c r="M668" s="1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</row>
    <row r="669" spans="1:29" ht="11.25" customHeight="1">
      <c r="A669" s="22"/>
      <c r="B669" s="22"/>
      <c r="C669" s="22"/>
      <c r="D669" s="22"/>
      <c r="E669" s="22"/>
      <c r="F669" s="22"/>
      <c r="G669" s="1"/>
      <c r="H669" s="22"/>
      <c r="I669" s="22"/>
      <c r="J669" s="22"/>
      <c r="K669" s="22"/>
      <c r="L669" s="22"/>
      <c r="M669" s="1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</row>
    <row r="670" spans="1:29" ht="11.25" customHeight="1">
      <c r="A670" s="22"/>
      <c r="B670" s="22"/>
      <c r="C670" s="22"/>
      <c r="D670" s="22"/>
      <c r="E670" s="22"/>
      <c r="F670" s="22"/>
      <c r="G670" s="1"/>
      <c r="H670" s="22"/>
      <c r="I670" s="22"/>
      <c r="J670" s="22"/>
      <c r="K670" s="22"/>
      <c r="L670" s="22"/>
      <c r="M670" s="1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</row>
    <row r="671" spans="1:29" ht="11.25" customHeight="1">
      <c r="A671" s="22"/>
      <c r="B671" s="22"/>
      <c r="C671" s="22"/>
      <c r="D671" s="22"/>
      <c r="E671" s="22"/>
      <c r="F671" s="22"/>
      <c r="G671" s="1"/>
      <c r="H671" s="22"/>
      <c r="I671" s="22"/>
      <c r="J671" s="22"/>
      <c r="K671" s="22"/>
      <c r="L671" s="22"/>
      <c r="M671" s="1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</row>
    <row r="672" spans="1:29" ht="11.25" customHeight="1">
      <c r="A672" s="22"/>
      <c r="B672" s="22"/>
      <c r="C672" s="22"/>
      <c r="D672" s="22"/>
      <c r="E672" s="22"/>
      <c r="F672" s="22"/>
      <c r="G672" s="1"/>
      <c r="H672" s="22"/>
      <c r="I672" s="22"/>
      <c r="J672" s="22"/>
      <c r="K672" s="22"/>
      <c r="L672" s="22"/>
      <c r="M672" s="1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</row>
    <row r="673" spans="1:29" ht="11.25" customHeight="1">
      <c r="A673" s="22"/>
      <c r="B673" s="22"/>
      <c r="C673" s="22"/>
      <c r="D673" s="22"/>
      <c r="E673" s="22"/>
      <c r="F673" s="22"/>
      <c r="G673" s="1"/>
      <c r="H673" s="22"/>
      <c r="I673" s="22"/>
      <c r="J673" s="22"/>
      <c r="K673" s="22"/>
      <c r="L673" s="22"/>
      <c r="M673" s="1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</row>
    <row r="674" spans="1:29" ht="11.25" customHeight="1">
      <c r="A674" s="22"/>
      <c r="B674" s="22"/>
      <c r="C674" s="22"/>
      <c r="D674" s="22"/>
      <c r="E674" s="22"/>
      <c r="F674" s="22"/>
      <c r="G674" s="1"/>
      <c r="H674" s="22"/>
      <c r="I674" s="22"/>
      <c r="J674" s="22"/>
      <c r="K674" s="22"/>
      <c r="L674" s="22"/>
      <c r="M674" s="1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</row>
    <row r="675" spans="1:29" ht="11.25" customHeight="1">
      <c r="A675" s="22"/>
      <c r="B675" s="22"/>
      <c r="C675" s="22"/>
      <c r="D675" s="22"/>
      <c r="E675" s="22"/>
      <c r="F675" s="22"/>
      <c r="G675" s="1"/>
      <c r="H675" s="22"/>
      <c r="I675" s="22"/>
      <c r="J675" s="22"/>
      <c r="K675" s="22"/>
      <c r="L675" s="22"/>
      <c r="M675" s="1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</row>
    <row r="676" spans="1:29" ht="11.25" customHeight="1">
      <c r="A676" s="22"/>
      <c r="B676" s="22"/>
      <c r="C676" s="22"/>
      <c r="D676" s="22"/>
      <c r="E676" s="22"/>
      <c r="F676" s="22"/>
      <c r="G676" s="1"/>
      <c r="H676" s="22"/>
      <c r="I676" s="22"/>
      <c r="J676" s="22"/>
      <c r="K676" s="22"/>
      <c r="L676" s="22"/>
      <c r="M676" s="1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</row>
    <row r="677" spans="1:29" ht="11.25" customHeight="1">
      <c r="A677" s="22"/>
      <c r="B677" s="22"/>
      <c r="C677" s="22"/>
      <c r="D677" s="22"/>
      <c r="E677" s="22"/>
      <c r="F677" s="22"/>
      <c r="G677" s="1"/>
      <c r="H677" s="22"/>
      <c r="I677" s="22"/>
      <c r="J677" s="22"/>
      <c r="K677" s="22"/>
      <c r="L677" s="22"/>
      <c r="M677" s="1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</row>
    <row r="678" spans="1:29" ht="11.25" customHeight="1">
      <c r="A678" s="22"/>
      <c r="B678" s="22"/>
      <c r="C678" s="22"/>
      <c r="D678" s="22"/>
      <c r="E678" s="22"/>
      <c r="F678" s="22"/>
      <c r="G678" s="1"/>
      <c r="H678" s="22"/>
      <c r="I678" s="22"/>
      <c r="J678" s="22"/>
      <c r="K678" s="22"/>
      <c r="L678" s="22"/>
      <c r="M678" s="1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</row>
    <row r="679" spans="1:29" ht="11.25" customHeight="1">
      <c r="A679" s="22"/>
      <c r="B679" s="22"/>
      <c r="C679" s="22"/>
      <c r="D679" s="22"/>
      <c r="E679" s="22"/>
      <c r="F679" s="22"/>
      <c r="G679" s="1"/>
      <c r="H679" s="22"/>
      <c r="I679" s="22"/>
      <c r="J679" s="22"/>
      <c r="K679" s="22"/>
      <c r="L679" s="22"/>
      <c r="M679" s="1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</row>
    <row r="680" spans="1:29" ht="11.25" customHeight="1">
      <c r="A680" s="22"/>
      <c r="B680" s="22"/>
      <c r="C680" s="22"/>
      <c r="D680" s="22"/>
      <c r="E680" s="22"/>
      <c r="F680" s="22"/>
      <c r="G680" s="1"/>
      <c r="H680" s="22"/>
      <c r="I680" s="22"/>
      <c r="J680" s="22"/>
      <c r="K680" s="22"/>
      <c r="L680" s="22"/>
      <c r="M680" s="1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</row>
    <row r="681" spans="1:29" ht="11.25" customHeight="1">
      <c r="A681" s="22"/>
      <c r="B681" s="22"/>
      <c r="C681" s="22"/>
      <c r="D681" s="22"/>
      <c r="E681" s="22"/>
      <c r="F681" s="22"/>
      <c r="G681" s="1"/>
      <c r="H681" s="22"/>
      <c r="I681" s="22"/>
      <c r="J681" s="22"/>
      <c r="K681" s="22"/>
      <c r="L681" s="22"/>
      <c r="M681" s="1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</row>
    <row r="682" spans="1:29" ht="11.25" customHeight="1">
      <c r="A682" s="22"/>
      <c r="B682" s="22"/>
      <c r="C682" s="22"/>
      <c r="D682" s="22"/>
      <c r="E682" s="22"/>
      <c r="F682" s="22"/>
      <c r="G682" s="1"/>
      <c r="H682" s="22"/>
      <c r="I682" s="22"/>
      <c r="J682" s="22"/>
      <c r="K682" s="22"/>
      <c r="L682" s="22"/>
      <c r="M682" s="1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</row>
    <row r="683" spans="1:29" ht="11.25" customHeight="1">
      <c r="A683" s="22"/>
      <c r="B683" s="22"/>
      <c r="C683" s="22"/>
      <c r="D683" s="22"/>
      <c r="E683" s="22"/>
      <c r="F683" s="22"/>
      <c r="G683" s="1"/>
      <c r="H683" s="22"/>
      <c r="I683" s="22"/>
      <c r="J683" s="22"/>
      <c r="K683" s="22"/>
      <c r="L683" s="22"/>
      <c r="M683" s="1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</row>
    <row r="684" spans="1:29" ht="11.25" customHeight="1">
      <c r="A684" s="22"/>
      <c r="B684" s="22"/>
      <c r="C684" s="22"/>
      <c r="D684" s="22"/>
      <c r="E684" s="22"/>
      <c r="F684" s="22"/>
      <c r="G684" s="1"/>
      <c r="H684" s="22"/>
      <c r="I684" s="22"/>
      <c r="J684" s="22"/>
      <c r="K684" s="22"/>
      <c r="L684" s="22"/>
      <c r="M684" s="1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</row>
    <row r="685" spans="1:29" ht="11.25" customHeight="1">
      <c r="A685" s="22"/>
      <c r="B685" s="22"/>
      <c r="C685" s="22"/>
      <c r="D685" s="22"/>
      <c r="E685" s="22"/>
      <c r="F685" s="22"/>
      <c r="G685" s="1"/>
      <c r="H685" s="22"/>
      <c r="I685" s="22"/>
      <c r="J685" s="22"/>
      <c r="K685" s="22"/>
      <c r="L685" s="22"/>
      <c r="M685" s="1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</row>
    <row r="686" spans="1:29" ht="11.25" customHeight="1">
      <c r="A686" s="22"/>
      <c r="B686" s="22"/>
      <c r="C686" s="22"/>
      <c r="D686" s="22"/>
      <c r="E686" s="22"/>
      <c r="F686" s="22"/>
      <c r="G686" s="1"/>
      <c r="H686" s="22"/>
      <c r="I686" s="22"/>
      <c r="J686" s="22"/>
      <c r="K686" s="22"/>
      <c r="L686" s="22"/>
      <c r="M686" s="1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</row>
    <row r="687" spans="1:29" ht="11.25" customHeight="1">
      <c r="A687" s="22"/>
      <c r="B687" s="22"/>
      <c r="C687" s="22"/>
      <c r="D687" s="22"/>
      <c r="E687" s="22"/>
      <c r="F687" s="22"/>
      <c r="G687" s="1"/>
      <c r="H687" s="22"/>
      <c r="I687" s="22"/>
      <c r="J687" s="22"/>
      <c r="K687" s="22"/>
      <c r="L687" s="22"/>
      <c r="M687" s="1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</row>
    <row r="688" spans="1:29" ht="11.25" customHeight="1">
      <c r="A688" s="22"/>
      <c r="B688" s="22"/>
      <c r="C688" s="22"/>
      <c r="D688" s="22"/>
      <c r="E688" s="22"/>
      <c r="F688" s="22"/>
      <c r="G688" s="1"/>
      <c r="H688" s="22"/>
      <c r="I688" s="22"/>
      <c r="J688" s="22"/>
      <c r="K688" s="22"/>
      <c r="L688" s="22"/>
      <c r="M688" s="1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</row>
    <row r="689" spans="1:29" ht="11.25" customHeight="1">
      <c r="A689" s="22"/>
      <c r="B689" s="22"/>
      <c r="C689" s="22"/>
      <c r="D689" s="22"/>
      <c r="E689" s="22"/>
      <c r="F689" s="22"/>
      <c r="G689" s="1"/>
      <c r="H689" s="22"/>
      <c r="I689" s="22"/>
      <c r="J689" s="22"/>
      <c r="K689" s="22"/>
      <c r="L689" s="22"/>
      <c r="M689" s="1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</row>
    <row r="690" spans="1:29" ht="11.25" customHeight="1">
      <c r="A690" s="22"/>
      <c r="B690" s="22"/>
      <c r="C690" s="22"/>
      <c r="D690" s="22"/>
      <c r="E690" s="22"/>
      <c r="F690" s="22"/>
      <c r="G690" s="1"/>
      <c r="H690" s="22"/>
      <c r="I690" s="22"/>
      <c r="J690" s="22"/>
      <c r="K690" s="22"/>
      <c r="L690" s="22"/>
      <c r="M690" s="1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</row>
    <row r="691" spans="1:29" ht="11.25" customHeight="1">
      <c r="A691" s="22"/>
      <c r="B691" s="22"/>
      <c r="C691" s="22"/>
      <c r="D691" s="22"/>
      <c r="E691" s="22"/>
      <c r="F691" s="22"/>
      <c r="G691" s="1"/>
      <c r="H691" s="22"/>
      <c r="I691" s="22"/>
      <c r="J691" s="22"/>
      <c r="K691" s="22"/>
      <c r="L691" s="22"/>
      <c r="M691" s="1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</row>
    <row r="692" spans="1:29" ht="11.25" customHeight="1">
      <c r="A692" s="22"/>
      <c r="B692" s="22"/>
      <c r="C692" s="22"/>
      <c r="D692" s="22"/>
      <c r="E692" s="22"/>
      <c r="F692" s="22"/>
      <c r="G692" s="1"/>
      <c r="H692" s="22"/>
      <c r="I692" s="22"/>
      <c r="J692" s="22"/>
      <c r="K692" s="22"/>
      <c r="L692" s="22"/>
      <c r="M692" s="1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</row>
    <row r="693" spans="1:29" ht="11.25" customHeight="1">
      <c r="A693" s="22"/>
      <c r="B693" s="22"/>
      <c r="C693" s="22"/>
      <c r="D693" s="22"/>
      <c r="E693" s="22"/>
      <c r="F693" s="22"/>
      <c r="G693" s="1"/>
      <c r="H693" s="22"/>
      <c r="I693" s="22"/>
      <c r="J693" s="22"/>
      <c r="K693" s="22"/>
      <c r="L693" s="22"/>
      <c r="M693" s="1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</row>
    <row r="694" spans="1:29" ht="11.25" customHeight="1">
      <c r="A694" s="22"/>
      <c r="B694" s="22"/>
      <c r="C694" s="22"/>
      <c r="D694" s="22"/>
      <c r="E694" s="22"/>
      <c r="F694" s="22"/>
      <c r="G694" s="1"/>
      <c r="H694" s="22"/>
      <c r="I694" s="22"/>
      <c r="J694" s="22"/>
      <c r="K694" s="22"/>
      <c r="L694" s="22"/>
      <c r="M694" s="1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</row>
    <row r="695" spans="1:29" ht="11.25" customHeight="1">
      <c r="A695" s="22"/>
      <c r="B695" s="22"/>
      <c r="C695" s="22"/>
      <c r="D695" s="22"/>
      <c r="E695" s="22"/>
      <c r="F695" s="22"/>
      <c r="G695" s="1"/>
      <c r="H695" s="22"/>
      <c r="I695" s="22"/>
      <c r="J695" s="22"/>
      <c r="K695" s="22"/>
      <c r="L695" s="22"/>
      <c r="M695" s="1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</row>
    <row r="696" spans="1:29" ht="11.25" customHeight="1">
      <c r="A696" s="22"/>
      <c r="B696" s="22"/>
      <c r="C696" s="22"/>
      <c r="D696" s="22"/>
      <c r="E696" s="22"/>
      <c r="F696" s="22"/>
      <c r="G696" s="1"/>
      <c r="H696" s="22"/>
      <c r="I696" s="22"/>
      <c r="J696" s="22"/>
      <c r="K696" s="22"/>
      <c r="L696" s="22"/>
      <c r="M696" s="1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</row>
    <row r="697" spans="1:29" ht="11.25" customHeight="1">
      <c r="A697" s="22"/>
      <c r="B697" s="22"/>
      <c r="C697" s="22"/>
      <c r="D697" s="22"/>
      <c r="E697" s="22"/>
      <c r="F697" s="22"/>
      <c r="G697" s="1"/>
      <c r="H697" s="22"/>
      <c r="I697" s="22"/>
      <c r="J697" s="22"/>
      <c r="K697" s="22"/>
      <c r="L697" s="22"/>
      <c r="M697" s="1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</row>
    <row r="698" spans="1:29" ht="11.25" customHeight="1">
      <c r="A698" s="22"/>
      <c r="B698" s="22"/>
      <c r="C698" s="22"/>
      <c r="D698" s="22"/>
      <c r="E698" s="22"/>
      <c r="F698" s="22"/>
      <c r="G698" s="1"/>
      <c r="H698" s="22"/>
      <c r="I698" s="22"/>
      <c r="J698" s="22"/>
      <c r="K698" s="22"/>
      <c r="L698" s="22"/>
      <c r="M698" s="1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</row>
    <row r="699" spans="1:29" ht="11.25" customHeight="1">
      <c r="A699" s="22"/>
      <c r="B699" s="22"/>
      <c r="C699" s="22"/>
      <c r="D699" s="22"/>
      <c r="E699" s="22"/>
      <c r="F699" s="22"/>
      <c r="G699" s="1"/>
      <c r="H699" s="22"/>
      <c r="I699" s="22"/>
      <c r="J699" s="22"/>
      <c r="K699" s="22"/>
      <c r="L699" s="22"/>
      <c r="M699" s="1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</row>
    <row r="700" spans="1:29" ht="11.25" customHeight="1">
      <c r="A700" s="22"/>
      <c r="B700" s="22"/>
      <c r="C700" s="22"/>
      <c r="D700" s="22"/>
      <c r="E700" s="22"/>
      <c r="F700" s="22"/>
      <c r="G700" s="1"/>
      <c r="H700" s="22"/>
      <c r="I700" s="22"/>
      <c r="J700" s="22"/>
      <c r="K700" s="22"/>
      <c r="L700" s="22"/>
      <c r="M700" s="1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</row>
    <row r="701" spans="1:29" ht="11.25" customHeight="1">
      <c r="A701" s="22"/>
      <c r="B701" s="22"/>
      <c r="C701" s="22"/>
      <c r="D701" s="22"/>
      <c r="E701" s="22"/>
      <c r="F701" s="22"/>
      <c r="G701" s="1"/>
      <c r="H701" s="22"/>
      <c r="I701" s="22"/>
      <c r="J701" s="22"/>
      <c r="K701" s="22"/>
      <c r="L701" s="22"/>
      <c r="M701" s="1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</row>
    <row r="702" spans="1:29" ht="11.25" customHeight="1">
      <c r="A702" s="22"/>
      <c r="B702" s="22"/>
      <c r="C702" s="22"/>
      <c r="D702" s="22"/>
      <c r="E702" s="22"/>
      <c r="F702" s="22"/>
      <c r="G702" s="1"/>
      <c r="H702" s="22"/>
      <c r="I702" s="22"/>
      <c r="J702" s="22"/>
      <c r="K702" s="22"/>
      <c r="L702" s="22"/>
      <c r="M702" s="1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</row>
    <row r="703" spans="1:29" ht="11.25" customHeight="1">
      <c r="A703" s="22"/>
      <c r="B703" s="22"/>
      <c r="C703" s="22"/>
      <c r="D703" s="22"/>
      <c r="E703" s="22"/>
      <c r="F703" s="22"/>
      <c r="G703" s="1"/>
      <c r="H703" s="22"/>
      <c r="I703" s="22"/>
      <c r="J703" s="22"/>
      <c r="K703" s="22"/>
      <c r="L703" s="22"/>
      <c r="M703" s="1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</row>
    <row r="704" spans="1:29" ht="11.25" customHeight="1">
      <c r="A704" s="22"/>
      <c r="B704" s="22"/>
      <c r="C704" s="22"/>
      <c r="D704" s="22"/>
      <c r="E704" s="22"/>
      <c r="F704" s="22"/>
      <c r="G704" s="1"/>
      <c r="H704" s="22"/>
      <c r="I704" s="22"/>
      <c r="J704" s="22"/>
      <c r="K704" s="22"/>
      <c r="L704" s="22"/>
      <c r="M704" s="1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</row>
    <row r="705" spans="1:29" ht="11.25" customHeight="1">
      <c r="A705" s="22"/>
      <c r="B705" s="22"/>
      <c r="C705" s="22"/>
      <c r="D705" s="22"/>
      <c r="E705" s="22"/>
      <c r="F705" s="22"/>
      <c r="G705" s="1"/>
      <c r="H705" s="22"/>
      <c r="I705" s="22"/>
      <c r="J705" s="22"/>
      <c r="K705" s="22"/>
      <c r="L705" s="22"/>
      <c r="M705" s="1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</row>
    <row r="706" spans="1:29" ht="11.25" customHeight="1">
      <c r="A706" s="22"/>
      <c r="B706" s="22"/>
      <c r="C706" s="22"/>
      <c r="D706" s="22"/>
      <c r="E706" s="22"/>
      <c r="F706" s="22"/>
      <c r="G706" s="1"/>
      <c r="H706" s="22"/>
      <c r="I706" s="22"/>
      <c r="J706" s="22"/>
      <c r="K706" s="22"/>
      <c r="L706" s="22"/>
      <c r="M706" s="1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</row>
    <row r="707" spans="1:29" ht="11.25" customHeight="1">
      <c r="A707" s="22"/>
      <c r="B707" s="22"/>
      <c r="C707" s="22"/>
      <c r="D707" s="22"/>
      <c r="E707" s="22"/>
      <c r="F707" s="22"/>
      <c r="G707" s="1"/>
      <c r="H707" s="22"/>
      <c r="I707" s="22"/>
      <c r="J707" s="22"/>
      <c r="K707" s="22"/>
      <c r="L707" s="22"/>
      <c r="M707" s="1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</row>
    <row r="708" spans="1:29" ht="11.25" customHeight="1">
      <c r="A708" s="22"/>
      <c r="B708" s="22"/>
      <c r="C708" s="22"/>
      <c r="D708" s="22"/>
      <c r="E708" s="22"/>
      <c r="F708" s="22"/>
      <c r="G708" s="1"/>
      <c r="H708" s="22"/>
      <c r="I708" s="22"/>
      <c r="J708" s="22"/>
      <c r="K708" s="22"/>
      <c r="L708" s="22"/>
      <c r="M708" s="1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</row>
    <row r="709" spans="1:29" ht="11.25" customHeight="1">
      <c r="A709" s="22"/>
      <c r="B709" s="22"/>
      <c r="C709" s="22"/>
      <c r="D709" s="22"/>
      <c r="E709" s="22"/>
      <c r="F709" s="22"/>
      <c r="G709" s="1"/>
      <c r="H709" s="22"/>
      <c r="I709" s="22"/>
      <c r="J709" s="22"/>
      <c r="K709" s="22"/>
      <c r="L709" s="22"/>
      <c r="M709" s="1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</row>
    <row r="710" spans="1:29" ht="11.25" customHeight="1">
      <c r="A710" s="22"/>
      <c r="B710" s="22"/>
      <c r="C710" s="22"/>
      <c r="D710" s="22"/>
      <c r="E710" s="22"/>
      <c r="F710" s="22"/>
      <c r="G710" s="1"/>
      <c r="H710" s="22"/>
      <c r="I710" s="22"/>
      <c r="J710" s="22"/>
      <c r="K710" s="22"/>
      <c r="L710" s="22"/>
      <c r="M710" s="1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</row>
    <row r="711" spans="1:29" ht="11.25" customHeight="1">
      <c r="A711" s="22"/>
      <c r="B711" s="22"/>
      <c r="C711" s="22"/>
      <c r="D711" s="22"/>
      <c r="E711" s="22"/>
      <c r="F711" s="22"/>
      <c r="G711" s="1"/>
      <c r="H711" s="22"/>
      <c r="I711" s="22"/>
      <c r="J711" s="22"/>
      <c r="K711" s="22"/>
      <c r="L711" s="22"/>
      <c r="M711" s="1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</row>
    <row r="712" spans="1:29" ht="11.25" customHeight="1">
      <c r="A712" s="22"/>
      <c r="B712" s="22"/>
      <c r="C712" s="22"/>
      <c r="D712" s="22"/>
      <c r="E712" s="22"/>
      <c r="F712" s="22"/>
      <c r="G712" s="1"/>
      <c r="H712" s="22"/>
      <c r="I712" s="22"/>
      <c r="J712" s="22"/>
      <c r="K712" s="22"/>
      <c r="L712" s="22"/>
      <c r="M712" s="1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</row>
    <row r="713" spans="1:29" ht="11.25" customHeight="1">
      <c r="A713" s="22"/>
      <c r="B713" s="22"/>
      <c r="C713" s="22"/>
      <c r="D713" s="22"/>
      <c r="E713" s="22"/>
      <c r="F713" s="22"/>
      <c r="G713" s="1"/>
      <c r="H713" s="22"/>
      <c r="I713" s="22"/>
      <c r="J713" s="22"/>
      <c r="K713" s="22"/>
      <c r="L713" s="22"/>
      <c r="M713" s="1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</row>
    <row r="714" spans="1:29" ht="11.25" customHeight="1">
      <c r="A714" s="22"/>
      <c r="B714" s="22"/>
      <c r="C714" s="22"/>
      <c r="D714" s="22"/>
      <c r="E714" s="22"/>
      <c r="F714" s="22"/>
      <c r="G714" s="1"/>
      <c r="H714" s="22"/>
      <c r="I714" s="22"/>
      <c r="J714" s="22"/>
      <c r="K714" s="22"/>
      <c r="L714" s="22"/>
      <c r="M714" s="1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</row>
    <row r="715" spans="1:29" ht="11.25" customHeight="1">
      <c r="A715" s="22"/>
      <c r="B715" s="22"/>
      <c r="C715" s="22"/>
      <c r="D715" s="22"/>
      <c r="E715" s="22"/>
      <c r="F715" s="22"/>
      <c r="G715" s="1"/>
      <c r="H715" s="22"/>
      <c r="I715" s="22"/>
      <c r="J715" s="22"/>
      <c r="K715" s="22"/>
      <c r="L715" s="22"/>
      <c r="M715" s="1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</row>
    <row r="716" spans="1:29" ht="11.25" customHeight="1">
      <c r="A716" s="22"/>
      <c r="B716" s="22"/>
      <c r="C716" s="22"/>
      <c r="D716" s="22"/>
      <c r="E716" s="22"/>
      <c r="F716" s="22"/>
      <c r="G716" s="1"/>
      <c r="H716" s="22"/>
      <c r="I716" s="22"/>
      <c r="J716" s="22"/>
      <c r="K716" s="22"/>
      <c r="L716" s="22"/>
      <c r="M716" s="1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</row>
    <row r="717" spans="1:29" ht="11.25" customHeight="1">
      <c r="A717" s="22"/>
      <c r="B717" s="22"/>
      <c r="C717" s="22"/>
      <c r="D717" s="22"/>
      <c r="E717" s="22"/>
      <c r="F717" s="22"/>
      <c r="G717" s="1"/>
      <c r="H717" s="22"/>
      <c r="I717" s="22"/>
      <c r="J717" s="22"/>
      <c r="K717" s="22"/>
      <c r="L717" s="22"/>
      <c r="M717" s="1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</row>
    <row r="718" spans="1:29" ht="11.25" customHeight="1">
      <c r="A718" s="22"/>
      <c r="B718" s="22"/>
      <c r="C718" s="22"/>
      <c r="D718" s="22"/>
      <c r="E718" s="22"/>
      <c r="F718" s="22"/>
      <c r="G718" s="1"/>
      <c r="H718" s="22"/>
      <c r="I718" s="22"/>
      <c r="J718" s="22"/>
      <c r="K718" s="22"/>
      <c r="L718" s="22"/>
      <c r="M718" s="1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</row>
    <row r="719" spans="1:29" ht="11.25" customHeight="1">
      <c r="A719" s="22"/>
      <c r="B719" s="22"/>
      <c r="C719" s="22"/>
      <c r="D719" s="22"/>
      <c r="E719" s="22"/>
      <c r="F719" s="22"/>
      <c r="G719" s="1"/>
      <c r="H719" s="22"/>
      <c r="I719" s="22"/>
      <c r="J719" s="22"/>
      <c r="K719" s="22"/>
      <c r="L719" s="22"/>
      <c r="M719" s="1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</row>
    <row r="720" spans="1:29" ht="11.25" customHeight="1">
      <c r="A720" s="22"/>
      <c r="B720" s="22"/>
      <c r="C720" s="22"/>
      <c r="D720" s="22"/>
      <c r="E720" s="22"/>
      <c r="F720" s="22"/>
      <c r="G720" s="1"/>
      <c r="H720" s="22"/>
      <c r="I720" s="22"/>
      <c r="J720" s="22"/>
      <c r="K720" s="22"/>
      <c r="L720" s="22"/>
      <c r="M720" s="1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</row>
    <row r="721" spans="1:29" ht="11.25" customHeight="1">
      <c r="A721" s="22"/>
      <c r="B721" s="22"/>
      <c r="C721" s="22"/>
      <c r="D721" s="22"/>
      <c r="E721" s="22"/>
      <c r="F721" s="22"/>
      <c r="G721" s="1"/>
      <c r="H721" s="22"/>
      <c r="I721" s="22"/>
      <c r="J721" s="22"/>
      <c r="K721" s="22"/>
      <c r="L721" s="22"/>
      <c r="M721" s="1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</row>
    <row r="722" spans="1:29" ht="11.25" customHeight="1">
      <c r="A722" s="22"/>
      <c r="B722" s="22"/>
      <c r="C722" s="22"/>
      <c r="D722" s="22"/>
      <c r="E722" s="22"/>
      <c r="F722" s="22"/>
      <c r="G722" s="1"/>
      <c r="H722" s="22"/>
      <c r="I722" s="22"/>
      <c r="J722" s="22"/>
      <c r="K722" s="22"/>
      <c r="L722" s="22"/>
      <c r="M722" s="1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</row>
    <row r="723" spans="1:29" ht="11.25" customHeight="1">
      <c r="A723" s="22"/>
      <c r="B723" s="22"/>
      <c r="C723" s="22"/>
      <c r="D723" s="22"/>
      <c r="E723" s="22"/>
      <c r="F723" s="22"/>
      <c r="G723" s="1"/>
      <c r="H723" s="22"/>
      <c r="I723" s="22"/>
      <c r="J723" s="22"/>
      <c r="K723" s="22"/>
      <c r="L723" s="22"/>
      <c r="M723" s="1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</row>
    <row r="724" spans="1:29" ht="11.25" customHeight="1">
      <c r="A724" s="22"/>
      <c r="B724" s="22"/>
      <c r="C724" s="22"/>
      <c r="D724" s="22"/>
      <c r="E724" s="22"/>
      <c r="F724" s="22"/>
      <c r="G724" s="1"/>
      <c r="H724" s="22"/>
      <c r="I724" s="22"/>
      <c r="J724" s="22"/>
      <c r="K724" s="22"/>
      <c r="L724" s="22"/>
      <c r="M724" s="1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</row>
    <row r="725" spans="1:29" ht="11.25" customHeight="1">
      <c r="A725" s="22"/>
      <c r="B725" s="22"/>
      <c r="C725" s="22"/>
      <c r="D725" s="22"/>
      <c r="E725" s="22"/>
      <c r="F725" s="22"/>
      <c r="G725" s="1"/>
      <c r="H725" s="22"/>
      <c r="I725" s="22"/>
      <c r="J725" s="22"/>
      <c r="K725" s="22"/>
      <c r="L725" s="22"/>
      <c r="M725" s="1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</row>
    <row r="726" spans="1:29" ht="11.25" customHeight="1">
      <c r="A726" s="22"/>
      <c r="B726" s="22"/>
      <c r="C726" s="22"/>
      <c r="D726" s="22"/>
      <c r="E726" s="22"/>
      <c r="F726" s="22"/>
      <c r="G726" s="1"/>
      <c r="H726" s="22"/>
      <c r="I726" s="22"/>
      <c r="J726" s="22"/>
      <c r="K726" s="22"/>
      <c r="L726" s="22"/>
      <c r="M726" s="1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</row>
    <row r="727" spans="1:29" ht="11.25" customHeight="1">
      <c r="A727" s="22"/>
      <c r="B727" s="22"/>
      <c r="C727" s="22"/>
      <c r="D727" s="22"/>
      <c r="E727" s="22"/>
      <c r="F727" s="22"/>
      <c r="G727" s="1"/>
      <c r="H727" s="22"/>
      <c r="I727" s="22"/>
      <c r="J727" s="22"/>
      <c r="K727" s="22"/>
      <c r="L727" s="22"/>
      <c r="M727" s="1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</row>
    <row r="728" spans="1:29" ht="11.25" customHeight="1">
      <c r="A728" s="22"/>
      <c r="B728" s="22"/>
      <c r="C728" s="22"/>
      <c r="D728" s="22"/>
      <c r="E728" s="22"/>
      <c r="F728" s="22"/>
      <c r="G728" s="1"/>
      <c r="H728" s="22"/>
      <c r="I728" s="22"/>
      <c r="J728" s="22"/>
      <c r="K728" s="22"/>
      <c r="L728" s="22"/>
      <c r="M728" s="1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</row>
    <row r="729" spans="1:29" ht="11.25" customHeight="1">
      <c r="A729" s="22"/>
      <c r="B729" s="22"/>
      <c r="C729" s="22"/>
      <c r="D729" s="22"/>
      <c r="E729" s="22"/>
      <c r="F729" s="22"/>
      <c r="G729" s="1"/>
      <c r="H729" s="22"/>
      <c r="I729" s="22"/>
      <c r="J729" s="22"/>
      <c r="K729" s="22"/>
      <c r="L729" s="22"/>
      <c r="M729" s="1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</row>
    <row r="730" spans="1:29" ht="11.25" customHeight="1">
      <c r="A730" s="22"/>
      <c r="B730" s="22"/>
      <c r="C730" s="22"/>
      <c r="D730" s="22"/>
      <c r="E730" s="22"/>
      <c r="F730" s="22"/>
      <c r="G730" s="1"/>
      <c r="H730" s="22"/>
      <c r="I730" s="22"/>
      <c r="J730" s="22"/>
      <c r="K730" s="22"/>
      <c r="L730" s="22"/>
      <c r="M730" s="1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</row>
    <row r="731" spans="1:29" ht="11.25" customHeight="1">
      <c r="A731" s="22"/>
      <c r="B731" s="22"/>
      <c r="C731" s="22"/>
      <c r="D731" s="22"/>
      <c r="E731" s="22"/>
      <c r="F731" s="22"/>
      <c r="G731" s="1"/>
      <c r="H731" s="22"/>
      <c r="I731" s="22"/>
      <c r="J731" s="22"/>
      <c r="K731" s="22"/>
      <c r="L731" s="22"/>
      <c r="M731" s="1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</row>
    <row r="732" spans="1:29" ht="11.25" customHeight="1">
      <c r="A732" s="22"/>
      <c r="B732" s="22"/>
      <c r="C732" s="22"/>
      <c r="D732" s="22"/>
      <c r="E732" s="22"/>
      <c r="F732" s="22"/>
      <c r="G732" s="1"/>
      <c r="H732" s="22"/>
      <c r="I732" s="22"/>
      <c r="J732" s="22"/>
      <c r="K732" s="22"/>
      <c r="L732" s="22"/>
      <c r="M732" s="1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</row>
    <row r="733" spans="1:29" ht="11.25" customHeight="1">
      <c r="A733" s="22"/>
      <c r="B733" s="22"/>
      <c r="C733" s="22"/>
      <c r="D733" s="22"/>
      <c r="E733" s="22"/>
      <c r="F733" s="22"/>
      <c r="G733" s="1"/>
      <c r="H733" s="22"/>
      <c r="I733" s="22"/>
      <c r="J733" s="22"/>
      <c r="K733" s="22"/>
      <c r="L733" s="22"/>
      <c r="M733" s="1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</row>
    <row r="734" spans="1:29" ht="11.25" customHeight="1">
      <c r="A734" s="22"/>
      <c r="B734" s="22"/>
      <c r="C734" s="22"/>
      <c r="D734" s="22"/>
      <c r="E734" s="22"/>
      <c r="F734" s="22"/>
      <c r="G734" s="1"/>
      <c r="H734" s="22"/>
      <c r="I734" s="22"/>
      <c r="J734" s="22"/>
      <c r="K734" s="22"/>
      <c r="L734" s="22"/>
      <c r="M734" s="1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</row>
    <row r="735" spans="1:29" ht="11.25" customHeight="1">
      <c r="A735" s="22"/>
      <c r="B735" s="22"/>
      <c r="C735" s="22"/>
      <c r="D735" s="22"/>
      <c r="E735" s="22"/>
      <c r="F735" s="22"/>
      <c r="G735" s="1"/>
      <c r="H735" s="22"/>
      <c r="I735" s="22"/>
      <c r="J735" s="22"/>
      <c r="K735" s="22"/>
      <c r="L735" s="22"/>
      <c r="M735" s="1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</row>
    <row r="736" spans="1:29" ht="11.25" customHeight="1">
      <c r="A736" s="22"/>
      <c r="B736" s="22"/>
      <c r="C736" s="22"/>
      <c r="D736" s="22"/>
      <c r="E736" s="22"/>
      <c r="F736" s="22"/>
      <c r="G736" s="1"/>
      <c r="H736" s="22"/>
      <c r="I736" s="22"/>
      <c r="J736" s="22"/>
      <c r="K736" s="22"/>
      <c r="L736" s="22"/>
      <c r="M736" s="1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</row>
    <row r="737" spans="1:29" ht="11.25" customHeight="1">
      <c r="A737" s="22"/>
      <c r="B737" s="22"/>
      <c r="C737" s="22"/>
      <c r="D737" s="22"/>
      <c r="E737" s="22"/>
      <c r="F737" s="22"/>
      <c r="G737" s="1"/>
      <c r="H737" s="22"/>
      <c r="I737" s="22"/>
      <c r="J737" s="22"/>
      <c r="K737" s="22"/>
      <c r="L737" s="22"/>
      <c r="M737" s="1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</row>
    <row r="738" spans="1:29" ht="11.25" customHeight="1">
      <c r="A738" s="22"/>
      <c r="B738" s="22"/>
      <c r="C738" s="22"/>
      <c r="D738" s="22"/>
      <c r="E738" s="22"/>
      <c r="F738" s="22"/>
      <c r="G738" s="1"/>
      <c r="H738" s="22"/>
      <c r="I738" s="22"/>
      <c r="J738" s="22"/>
      <c r="K738" s="22"/>
      <c r="L738" s="22"/>
      <c r="M738" s="1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</row>
    <row r="739" spans="1:29" ht="11.25" customHeight="1">
      <c r="A739" s="22"/>
      <c r="B739" s="22"/>
      <c r="C739" s="22"/>
      <c r="D739" s="22"/>
      <c r="E739" s="22"/>
      <c r="F739" s="22"/>
      <c r="G739" s="1"/>
      <c r="H739" s="22"/>
      <c r="I739" s="22"/>
      <c r="J739" s="22"/>
      <c r="K739" s="22"/>
      <c r="L739" s="22"/>
      <c r="M739" s="1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</row>
    <row r="740" spans="1:29" ht="11.25" customHeight="1">
      <c r="A740" s="22"/>
      <c r="B740" s="22"/>
      <c r="C740" s="22"/>
      <c r="D740" s="22"/>
      <c r="E740" s="22"/>
      <c r="F740" s="22"/>
      <c r="G740" s="1"/>
      <c r="H740" s="22"/>
      <c r="I740" s="22"/>
      <c r="J740" s="22"/>
      <c r="K740" s="22"/>
      <c r="L740" s="22"/>
      <c r="M740" s="1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</row>
    <row r="741" spans="1:29" ht="11.25" customHeight="1">
      <c r="A741" s="22"/>
      <c r="B741" s="22"/>
      <c r="C741" s="22"/>
      <c r="D741" s="22"/>
      <c r="E741" s="22"/>
      <c r="F741" s="22"/>
      <c r="G741" s="1"/>
      <c r="H741" s="22"/>
      <c r="I741" s="22"/>
      <c r="J741" s="22"/>
      <c r="K741" s="22"/>
      <c r="L741" s="22"/>
      <c r="M741" s="1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</row>
    <row r="742" spans="1:29" ht="11.25" customHeight="1">
      <c r="A742" s="22"/>
      <c r="B742" s="22"/>
      <c r="C742" s="22"/>
      <c r="D742" s="22"/>
      <c r="E742" s="22"/>
      <c r="F742" s="22"/>
      <c r="G742" s="1"/>
      <c r="H742" s="22"/>
      <c r="I742" s="22"/>
      <c r="J742" s="22"/>
      <c r="K742" s="22"/>
      <c r="L742" s="22"/>
      <c r="M742" s="1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</row>
    <row r="743" spans="1:29" ht="11.25" customHeight="1">
      <c r="A743" s="22"/>
      <c r="B743" s="22"/>
      <c r="C743" s="22"/>
      <c r="D743" s="22"/>
      <c r="E743" s="22"/>
      <c r="F743" s="22"/>
      <c r="G743" s="1"/>
      <c r="H743" s="22"/>
      <c r="I743" s="22"/>
      <c r="J743" s="22"/>
      <c r="K743" s="22"/>
      <c r="L743" s="22"/>
      <c r="M743" s="1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</row>
    <row r="744" spans="1:29" ht="11.25" customHeight="1">
      <c r="A744" s="22"/>
      <c r="B744" s="22"/>
      <c r="C744" s="22"/>
      <c r="D744" s="22"/>
      <c r="E744" s="22"/>
      <c r="F744" s="22"/>
      <c r="G744" s="1"/>
      <c r="H744" s="22"/>
      <c r="I744" s="22"/>
      <c r="J744" s="22"/>
      <c r="K744" s="22"/>
      <c r="L744" s="22"/>
      <c r="M744" s="1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</row>
    <row r="745" spans="1:29" ht="11.25" customHeight="1">
      <c r="A745" s="22"/>
      <c r="B745" s="22"/>
      <c r="C745" s="22"/>
      <c r="D745" s="22"/>
      <c r="E745" s="22"/>
      <c r="F745" s="22"/>
      <c r="G745" s="1"/>
      <c r="H745" s="22"/>
      <c r="I745" s="22"/>
      <c r="J745" s="22"/>
      <c r="K745" s="22"/>
      <c r="L745" s="22"/>
      <c r="M745" s="1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</row>
    <row r="746" spans="1:29" ht="11.25" customHeight="1">
      <c r="A746" s="22"/>
      <c r="B746" s="22"/>
      <c r="C746" s="22"/>
      <c r="D746" s="22"/>
      <c r="E746" s="22"/>
      <c r="F746" s="22"/>
      <c r="G746" s="1"/>
      <c r="H746" s="22"/>
      <c r="I746" s="22"/>
      <c r="J746" s="22"/>
      <c r="K746" s="22"/>
      <c r="L746" s="22"/>
      <c r="M746" s="1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</row>
    <row r="747" spans="1:29" ht="11.25" customHeight="1">
      <c r="A747" s="22"/>
      <c r="B747" s="22"/>
      <c r="C747" s="22"/>
      <c r="D747" s="22"/>
      <c r="E747" s="22"/>
      <c r="F747" s="22"/>
      <c r="G747" s="1"/>
      <c r="H747" s="22"/>
      <c r="I747" s="22"/>
      <c r="J747" s="22"/>
      <c r="K747" s="22"/>
      <c r="L747" s="22"/>
      <c r="M747" s="1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</row>
    <row r="748" spans="1:29" ht="11.25" customHeight="1">
      <c r="A748" s="22"/>
      <c r="B748" s="22"/>
      <c r="C748" s="22"/>
      <c r="D748" s="22"/>
      <c r="E748" s="22"/>
      <c r="F748" s="22"/>
      <c r="G748" s="1"/>
      <c r="H748" s="22"/>
      <c r="I748" s="22"/>
      <c r="J748" s="22"/>
      <c r="K748" s="22"/>
      <c r="L748" s="22"/>
      <c r="M748" s="1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</row>
    <row r="749" spans="1:29" ht="11.25" customHeight="1">
      <c r="A749" s="22"/>
      <c r="B749" s="22"/>
      <c r="C749" s="22"/>
      <c r="D749" s="22"/>
      <c r="E749" s="22"/>
      <c r="F749" s="22"/>
      <c r="G749" s="1"/>
      <c r="H749" s="22"/>
      <c r="I749" s="22"/>
      <c r="J749" s="22"/>
      <c r="K749" s="22"/>
      <c r="L749" s="22"/>
      <c r="M749" s="1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</row>
    <row r="750" spans="1:29" ht="11.25" customHeight="1">
      <c r="A750" s="22"/>
      <c r="B750" s="22"/>
      <c r="C750" s="22"/>
      <c r="D750" s="22"/>
      <c r="E750" s="22"/>
      <c r="F750" s="22"/>
      <c r="G750" s="1"/>
      <c r="H750" s="22"/>
      <c r="I750" s="22"/>
      <c r="J750" s="22"/>
      <c r="K750" s="22"/>
      <c r="L750" s="22"/>
      <c r="M750" s="1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</row>
    <row r="751" spans="1:29" ht="11.25" customHeight="1">
      <c r="A751" s="22"/>
      <c r="B751" s="22"/>
      <c r="C751" s="22"/>
      <c r="D751" s="22"/>
      <c r="E751" s="22"/>
      <c r="F751" s="22"/>
      <c r="G751" s="1"/>
      <c r="H751" s="22"/>
      <c r="I751" s="22"/>
      <c r="J751" s="22"/>
      <c r="K751" s="22"/>
      <c r="L751" s="22"/>
      <c r="M751" s="1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</row>
    <row r="752" spans="1:29" ht="11.25" customHeight="1">
      <c r="A752" s="22"/>
      <c r="B752" s="22"/>
      <c r="C752" s="22"/>
      <c r="D752" s="22"/>
      <c r="E752" s="22"/>
      <c r="F752" s="22"/>
      <c r="G752" s="1"/>
      <c r="H752" s="22"/>
      <c r="I752" s="22"/>
      <c r="J752" s="22"/>
      <c r="K752" s="22"/>
      <c r="L752" s="22"/>
      <c r="M752" s="1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</row>
    <row r="753" spans="1:29" ht="11.25" customHeight="1">
      <c r="A753" s="22"/>
      <c r="B753" s="22"/>
      <c r="C753" s="22"/>
      <c r="D753" s="22"/>
      <c r="E753" s="22"/>
      <c r="F753" s="22"/>
      <c r="G753" s="1"/>
      <c r="H753" s="22"/>
      <c r="I753" s="22"/>
      <c r="J753" s="22"/>
      <c r="K753" s="22"/>
      <c r="L753" s="22"/>
      <c r="M753" s="1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</row>
    <row r="754" spans="1:29" ht="11.25" customHeight="1">
      <c r="A754" s="22"/>
      <c r="B754" s="22"/>
      <c r="C754" s="22"/>
      <c r="D754" s="22"/>
      <c r="E754" s="22"/>
      <c r="F754" s="22"/>
      <c r="G754" s="1"/>
      <c r="H754" s="22"/>
      <c r="I754" s="22"/>
      <c r="J754" s="22"/>
      <c r="K754" s="22"/>
      <c r="L754" s="22"/>
      <c r="M754" s="1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</row>
    <row r="755" spans="1:29" ht="11.25" customHeight="1">
      <c r="A755" s="22"/>
      <c r="B755" s="22"/>
      <c r="C755" s="22"/>
      <c r="D755" s="22"/>
      <c r="E755" s="22"/>
      <c r="F755" s="22"/>
      <c r="G755" s="1"/>
      <c r="H755" s="22"/>
      <c r="I755" s="22"/>
      <c r="J755" s="22"/>
      <c r="K755" s="22"/>
      <c r="L755" s="22"/>
      <c r="M755" s="1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</row>
    <row r="756" spans="1:29" ht="11.25" customHeight="1">
      <c r="A756" s="22"/>
      <c r="B756" s="22"/>
      <c r="C756" s="22"/>
      <c r="D756" s="22"/>
      <c r="E756" s="22"/>
      <c r="F756" s="22"/>
      <c r="G756" s="1"/>
      <c r="H756" s="22"/>
      <c r="I756" s="22"/>
      <c r="J756" s="22"/>
      <c r="K756" s="22"/>
      <c r="L756" s="22"/>
      <c r="M756" s="1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</row>
    <row r="757" spans="1:29" ht="11.25" customHeight="1">
      <c r="A757" s="22"/>
      <c r="B757" s="22"/>
      <c r="C757" s="22"/>
      <c r="D757" s="22"/>
      <c r="E757" s="22"/>
      <c r="F757" s="22"/>
      <c r="G757" s="1"/>
      <c r="H757" s="22"/>
      <c r="I757" s="22"/>
      <c r="J757" s="22"/>
      <c r="K757" s="22"/>
      <c r="L757" s="22"/>
      <c r="M757" s="1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</row>
    <row r="758" spans="1:29" ht="11.25" customHeight="1">
      <c r="A758" s="22"/>
      <c r="B758" s="22"/>
      <c r="C758" s="22"/>
      <c r="D758" s="22"/>
      <c r="E758" s="22"/>
      <c r="F758" s="22"/>
      <c r="G758" s="1"/>
      <c r="H758" s="22"/>
      <c r="I758" s="22"/>
      <c r="J758" s="22"/>
      <c r="K758" s="22"/>
      <c r="L758" s="22"/>
      <c r="M758" s="1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</row>
    <row r="759" spans="1:29" ht="11.25" customHeight="1">
      <c r="A759" s="22"/>
      <c r="B759" s="22"/>
      <c r="C759" s="22"/>
      <c r="D759" s="22"/>
      <c r="E759" s="22"/>
      <c r="F759" s="22"/>
      <c r="G759" s="1"/>
      <c r="H759" s="22"/>
      <c r="I759" s="22"/>
      <c r="J759" s="22"/>
      <c r="K759" s="22"/>
      <c r="L759" s="22"/>
      <c r="M759" s="1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</row>
    <row r="760" spans="1:29" ht="11.25" customHeight="1">
      <c r="A760" s="22"/>
      <c r="B760" s="22"/>
      <c r="C760" s="22"/>
      <c r="D760" s="22"/>
      <c r="E760" s="22"/>
      <c r="F760" s="22"/>
      <c r="G760" s="1"/>
      <c r="H760" s="22"/>
      <c r="I760" s="22"/>
      <c r="J760" s="22"/>
      <c r="K760" s="22"/>
      <c r="L760" s="22"/>
      <c r="M760" s="1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</row>
    <row r="761" spans="1:29" ht="11.25" customHeight="1">
      <c r="A761" s="22"/>
      <c r="B761" s="22"/>
      <c r="C761" s="22"/>
      <c r="D761" s="22"/>
      <c r="E761" s="22"/>
      <c r="F761" s="22"/>
      <c r="G761" s="1"/>
      <c r="H761" s="22"/>
      <c r="I761" s="22"/>
      <c r="J761" s="22"/>
      <c r="K761" s="22"/>
      <c r="L761" s="22"/>
      <c r="M761" s="1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</row>
    <row r="762" spans="1:29" ht="11.25" customHeight="1">
      <c r="A762" s="22"/>
      <c r="B762" s="22"/>
      <c r="C762" s="22"/>
      <c r="D762" s="22"/>
      <c r="E762" s="22"/>
      <c r="F762" s="22"/>
      <c r="G762" s="1"/>
      <c r="H762" s="22"/>
      <c r="I762" s="22"/>
      <c r="J762" s="22"/>
      <c r="K762" s="22"/>
      <c r="L762" s="22"/>
      <c r="M762" s="1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</row>
    <row r="763" spans="1:29" ht="11.25" customHeight="1">
      <c r="A763" s="22"/>
      <c r="B763" s="22"/>
      <c r="C763" s="22"/>
      <c r="D763" s="22"/>
      <c r="E763" s="22"/>
      <c r="F763" s="22"/>
      <c r="G763" s="1"/>
      <c r="H763" s="22"/>
      <c r="I763" s="22"/>
      <c r="J763" s="22"/>
      <c r="K763" s="22"/>
      <c r="L763" s="22"/>
      <c r="M763" s="1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</row>
    <row r="764" spans="1:29" ht="11.25" customHeight="1">
      <c r="A764" s="22"/>
      <c r="B764" s="22"/>
      <c r="C764" s="22"/>
      <c r="D764" s="22"/>
      <c r="E764" s="22"/>
      <c r="F764" s="22"/>
      <c r="G764" s="1"/>
      <c r="H764" s="22"/>
      <c r="I764" s="22"/>
      <c r="J764" s="22"/>
      <c r="K764" s="22"/>
      <c r="L764" s="22"/>
      <c r="M764" s="1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</row>
    <row r="765" spans="1:29" ht="11.25" customHeight="1">
      <c r="A765" s="22"/>
      <c r="B765" s="22"/>
      <c r="C765" s="22"/>
      <c r="D765" s="22"/>
      <c r="E765" s="22"/>
      <c r="F765" s="22"/>
      <c r="G765" s="1"/>
      <c r="H765" s="22"/>
      <c r="I765" s="22"/>
      <c r="J765" s="22"/>
      <c r="K765" s="22"/>
      <c r="L765" s="22"/>
      <c r="M765" s="1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</row>
    <row r="766" spans="1:29" ht="11.25" customHeight="1">
      <c r="A766" s="22"/>
      <c r="B766" s="22"/>
      <c r="C766" s="22"/>
      <c r="D766" s="22"/>
      <c r="E766" s="22"/>
      <c r="F766" s="22"/>
      <c r="G766" s="1"/>
      <c r="H766" s="22"/>
      <c r="I766" s="22"/>
      <c r="J766" s="22"/>
      <c r="K766" s="22"/>
      <c r="L766" s="22"/>
      <c r="M766" s="1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</row>
    <row r="767" spans="1:29" ht="11.25" customHeight="1">
      <c r="A767" s="22"/>
      <c r="B767" s="22"/>
      <c r="C767" s="22"/>
      <c r="D767" s="22"/>
      <c r="E767" s="22"/>
      <c r="F767" s="22"/>
      <c r="G767" s="1"/>
      <c r="H767" s="22"/>
      <c r="I767" s="22"/>
      <c r="J767" s="22"/>
      <c r="K767" s="22"/>
      <c r="L767" s="22"/>
      <c r="M767" s="1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</row>
    <row r="768" spans="1:29" ht="11.25" customHeight="1">
      <c r="A768" s="22"/>
      <c r="B768" s="22"/>
      <c r="C768" s="22"/>
      <c r="D768" s="22"/>
      <c r="E768" s="22"/>
      <c r="F768" s="22"/>
      <c r="G768" s="1"/>
      <c r="H768" s="22"/>
      <c r="I768" s="22"/>
      <c r="J768" s="22"/>
      <c r="K768" s="22"/>
      <c r="L768" s="22"/>
      <c r="M768" s="1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</row>
    <row r="769" spans="1:29" ht="11.25" customHeight="1">
      <c r="A769" s="22"/>
      <c r="B769" s="22"/>
      <c r="C769" s="22"/>
      <c r="D769" s="22"/>
      <c r="E769" s="22"/>
      <c r="F769" s="22"/>
      <c r="G769" s="1"/>
      <c r="H769" s="22"/>
      <c r="I769" s="22"/>
      <c r="J769" s="22"/>
      <c r="K769" s="22"/>
      <c r="L769" s="22"/>
      <c r="M769" s="1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</row>
    <row r="770" spans="1:29" ht="11.25" customHeight="1">
      <c r="A770" s="22"/>
      <c r="B770" s="22"/>
      <c r="C770" s="22"/>
      <c r="D770" s="22"/>
      <c r="E770" s="22"/>
      <c r="F770" s="22"/>
      <c r="G770" s="1"/>
      <c r="H770" s="22"/>
      <c r="I770" s="22"/>
      <c r="J770" s="22"/>
      <c r="K770" s="22"/>
      <c r="L770" s="22"/>
      <c r="M770" s="1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</row>
    <row r="771" spans="1:29" ht="11.25" customHeight="1">
      <c r="A771" s="22"/>
      <c r="B771" s="22"/>
      <c r="C771" s="22"/>
      <c r="D771" s="22"/>
      <c r="E771" s="22"/>
      <c r="F771" s="22"/>
      <c r="G771" s="1"/>
      <c r="H771" s="22"/>
      <c r="I771" s="22"/>
      <c r="J771" s="22"/>
      <c r="K771" s="22"/>
      <c r="L771" s="22"/>
      <c r="M771" s="1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</row>
    <row r="772" spans="1:29" ht="11.25" customHeight="1">
      <c r="A772" s="22"/>
      <c r="B772" s="22"/>
      <c r="C772" s="22"/>
      <c r="D772" s="22"/>
      <c r="E772" s="22"/>
      <c r="F772" s="22"/>
      <c r="G772" s="1"/>
      <c r="H772" s="22"/>
      <c r="I772" s="22"/>
      <c r="J772" s="22"/>
      <c r="K772" s="22"/>
      <c r="L772" s="22"/>
      <c r="M772" s="1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</row>
    <row r="773" spans="1:29" ht="11.25" customHeight="1">
      <c r="A773" s="22"/>
      <c r="B773" s="22"/>
      <c r="C773" s="22"/>
      <c r="D773" s="22"/>
      <c r="E773" s="22"/>
      <c r="F773" s="22"/>
      <c r="G773" s="1"/>
      <c r="H773" s="22"/>
      <c r="I773" s="22"/>
      <c r="J773" s="22"/>
      <c r="K773" s="22"/>
      <c r="L773" s="22"/>
      <c r="M773" s="1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</row>
    <row r="774" spans="1:29" ht="11.25" customHeight="1">
      <c r="A774" s="22"/>
      <c r="B774" s="22"/>
      <c r="C774" s="22"/>
      <c r="D774" s="22"/>
      <c r="E774" s="22"/>
      <c r="F774" s="22"/>
      <c r="G774" s="1"/>
      <c r="H774" s="22"/>
      <c r="I774" s="22"/>
      <c r="J774" s="22"/>
      <c r="K774" s="22"/>
      <c r="L774" s="22"/>
      <c r="M774" s="1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</row>
    <row r="775" spans="1:29" ht="11.25" customHeight="1">
      <c r="A775" s="22"/>
      <c r="B775" s="22"/>
      <c r="C775" s="22"/>
      <c r="D775" s="22"/>
      <c r="E775" s="22"/>
      <c r="F775" s="22"/>
      <c r="G775" s="1"/>
      <c r="H775" s="22"/>
      <c r="I775" s="22"/>
      <c r="J775" s="22"/>
      <c r="K775" s="22"/>
      <c r="L775" s="22"/>
      <c r="M775" s="1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</row>
    <row r="776" spans="1:29" ht="11.25" customHeight="1">
      <c r="A776" s="22"/>
      <c r="B776" s="22"/>
      <c r="C776" s="22"/>
      <c r="D776" s="22"/>
      <c r="E776" s="22"/>
      <c r="F776" s="22"/>
      <c r="G776" s="1"/>
      <c r="H776" s="22"/>
      <c r="I776" s="22"/>
      <c r="J776" s="22"/>
      <c r="K776" s="22"/>
      <c r="L776" s="22"/>
      <c r="M776" s="1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</row>
    <row r="777" spans="1:29" ht="11.25" customHeight="1">
      <c r="A777" s="22"/>
      <c r="B777" s="22"/>
      <c r="C777" s="22"/>
      <c r="D777" s="22"/>
      <c r="E777" s="22"/>
      <c r="F777" s="22"/>
      <c r="G777" s="1"/>
      <c r="H777" s="22"/>
      <c r="I777" s="22"/>
      <c r="J777" s="22"/>
      <c r="K777" s="22"/>
      <c r="L777" s="22"/>
      <c r="M777" s="1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</row>
    <row r="778" spans="1:29" ht="11.25" customHeight="1">
      <c r="A778" s="22"/>
      <c r="B778" s="22"/>
      <c r="C778" s="22"/>
      <c r="D778" s="22"/>
      <c r="E778" s="22"/>
      <c r="F778" s="22"/>
      <c r="G778" s="1"/>
      <c r="H778" s="22"/>
      <c r="I778" s="22"/>
      <c r="J778" s="22"/>
      <c r="K778" s="22"/>
      <c r="L778" s="22"/>
      <c r="M778" s="1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</row>
    <row r="779" spans="1:29" ht="11.25" customHeight="1">
      <c r="A779" s="22"/>
      <c r="B779" s="22"/>
      <c r="C779" s="22"/>
      <c r="D779" s="22"/>
      <c r="E779" s="22"/>
      <c r="F779" s="22"/>
      <c r="G779" s="1"/>
      <c r="H779" s="22"/>
      <c r="I779" s="22"/>
      <c r="J779" s="22"/>
      <c r="K779" s="22"/>
      <c r="L779" s="22"/>
      <c r="M779" s="1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</row>
    <row r="780" spans="1:29" ht="11.25" customHeight="1">
      <c r="A780" s="22"/>
      <c r="B780" s="22"/>
      <c r="C780" s="22"/>
      <c r="D780" s="22"/>
      <c r="E780" s="22"/>
      <c r="F780" s="22"/>
      <c r="G780" s="1"/>
      <c r="H780" s="22"/>
      <c r="I780" s="22"/>
      <c r="J780" s="22"/>
      <c r="K780" s="22"/>
      <c r="L780" s="22"/>
      <c r="M780" s="1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</row>
    <row r="781" spans="1:29" ht="11.25" customHeight="1">
      <c r="A781" s="22"/>
      <c r="B781" s="22"/>
      <c r="C781" s="22"/>
      <c r="D781" s="22"/>
      <c r="E781" s="22"/>
      <c r="F781" s="22"/>
      <c r="G781" s="1"/>
      <c r="H781" s="22"/>
      <c r="I781" s="22"/>
      <c r="J781" s="22"/>
      <c r="K781" s="22"/>
      <c r="L781" s="22"/>
      <c r="M781" s="1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</row>
    <row r="782" spans="1:29" ht="11.25" customHeight="1">
      <c r="A782" s="22"/>
      <c r="B782" s="22"/>
      <c r="C782" s="22"/>
      <c r="D782" s="22"/>
      <c r="E782" s="22"/>
      <c r="F782" s="22"/>
      <c r="G782" s="1"/>
      <c r="H782" s="22"/>
      <c r="I782" s="22"/>
      <c r="J782" s="22"/>
      <c r="K782" s="22"/>
      <c r="L782" s="22"/>
      <c r="M782" s="1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</row>
    <row r="783" spans="1:29" ht="11.25" customHeight="1">
      <c r="A783" s="22"/>
      <c r="B783" s="22"/>
      <c r="C783" s="22"/>
      <c r="D783" s="22"/>
      <c r="E783" s="22"/>
      <c r="F783" s="22"/>
      <c r="G783" s="1"/>
      <c r="H783" s="22"/>
      <c r="I783" s="22"/>
      <c r="J783" s="22"/>
      <c r="K783" s="22"/>
      <c r="L783" s="22"/>
      <c r="M783" s="1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</row>
    <row r="784" spans="1:29" ht="11.25" customHeight="1">
      <c r="A784" s="22"/>
      <c r="B784" s="22"/>
      <c r="C784" s="22"/>
      <c r="D784" s="22"/>
      <c r="E784" s="22"/>
      <c r="F784" s="22"/>
      <c r="G784" s="1"/>
      <c r="H784" s="22"/>
      <c r="I784" s="22"/>
      <c r="J784" s="22"/>
      <c r="K784" s="22"/>
      <c r="L784" s="22"/>
      <c r="M784" s="1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</row>
    <row r="785" spans="1:29" ht="11.25" customHeight="1">
      <c r="A785" s="22"/>
      <c r="B785" s="22"/>
      <c r="C785" s="22"/>
      <c r="D785" s="22"/>
      <c r="E785" s="22"/>
      <c r="F785" s="22"/>
      <c r="G785" s="1"/>
      <c r="H785" s="22"/>
      <c r="I785" s="22"/>
      <c r="J785" s="22"/>
      <c r="K785" s="22"/>
      <c r="L785" s="22"/>
      <c r="M785" s="1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</row>
    <row r="786" spans="1:29" ht="11.25" customHeight="1">
      <c r="A786" s="22"/>
      <c r="B786" s="22"/>
      <c r="C786" s="22"/>
      <c r="D786" s="22"/>
      <c r="E786" s="22"/>
      <c r="F786" s="22"/>
      <c r="G786" s="1"/>
      <c r="H786" s="22"/>
      <c r="I786" s="22"/>
      <c r="J786" s="22"/>
      <c r="K786" s="22"/>
      <c r="L786" s="22"/>
      <c r="M786" s="1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</row>
    <row r="787" spans="1:29" ht="11.25" customHeight="1">
      <c r="A787" s="22"/>
      <c r="B787" s="22"/>
      <c r="C787" s="22"/>
      <c r="D787" s="22"/>
      <c r="E787" s="22"/>
      <c r="F787" s="22"/>
      <c r="G787" s="1"/>
      <c r="H787" s="22"/>
      <c r="I787" s="22"/>
      <c r="J787" s="22"/>
      <c r="K787" s="22"/>
      <c r="L787" s="22"/>
      <c r="M787" s="1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</row>
    <row r="788" spans="1:29" ht="11.25" customHeight="1">
      <c r="A788" s="22"/>
      <c r="B788" s="22"/>
      <c r="C788" s="22"/>
      <c r="D788" s="22"/>
      <c r="E788" s="22"/>
      <c r="F788" s="22"/>
      <c r="G788" s="1"/>
      <c r="H788" s="22"/>
      <c r="I788" s="22"/>
      <c r="J788" s="22"/>
      <c r="K788" s="22"/>
      <c r="L788" s="22"/>
      <c r="M788" s="1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</row>
    <row r="789" spans="1:29" ht="11.25" customHeight="1">
      <c r="A789" s="22"/>
      <c r="B789" s="22"/>
      <c r="C789" s="22"/>
      <c r="D789" s="22"/>
      <c r="E789" s="22"/>
      <c r="F789" s="22"/>
      <c r="G789" s="1"/>
      <c r="H789" s="22"/>
      <c r="I789" s="22"/>
      <c r="J789" s="22"/>
      <c r="K789" s="22"/>
      <c r="L789" s="22"/>
      <c r="M789" s="1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</row>
    <row r="790" spans="1:29" ht="11.25" customHeight="1">
      <c r="A790" s="22"/>
      <c r="B790" s="22"/>
      <c r="C790" s="22"/>
      <c r="D790" s="22"/>
      <c r="E790" s="22"/>
      <c r="F790" s="22"/>
      <c r="G790" s="1"/>
      <c r="H790" s="22"/>
      <c r="I790" s="22"/>
      <c r="J790" s="22"/>
      <c r="K790" s="22"/>
      <c r="L790" s="22"/>
      <c r="M790" s="1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</row>
    <row r="791" spans="1:29" ht="11.25" customHeight="1">
      <c r="A791" s="22"/>
      <c r="B791" s="22"/>
      <c r="C791" s="22"/>
      <c r="D791" s="22"/>
      <c r="E791" s="22"/>
      <c r="F791" s="22"/>
      <c r="G791" s="1"/>
      <c r="H791" s="22"/>
      <c r="I791" s="22"/>
      <c r="J791" s="22"/>
      <c r="K791" s="22"/>
      <c r="L791" s="22"/>
      <c r="M791" s="1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</row>
    <row r="792" spans="1:29" ht="11.25" customHeight="1">
      <c r="A792" s="22"/>
      <c r="B792" s="22"/>
      <c r="C792" s="22"/>
      <c r="D792" s="22"/>
      <c r="E792" s="22"/>
      <c r="F792" s="22"/>
      <c r="G792" s="1"/>
      <c r="H792" s="22"/>
      <c r="I792" s="22"/>
      <c r="J792" s="22"/>
      <c r="K792" s="22"/>
      <c r="L792" s="22"/>
      <c r="M792" s="1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</row>
    <row r="793" spans="1:29" ht="11.25" customHeight="1">
      <c r="A793" s="22"/>
      <c r="B793" s="22"/>
      <c r="C793" s="22"/>
      <c r="D793" s="22"/>
      <c r="E793" s="22"/>
      <c r="F793" s="22"/>
      <c r="G793" s="1"/>
      <c r="H793" s="22"/>
      <c r="I793" s="22"/>
      <c r="J793" s="22"/>
      <c r="K793" s="22"/>
      <c r="L793" s="22"/>
      <c r="M793" s="1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</row>
    <row r="794" spans="1:29" ht="11.25" customHeight="1">
      <c r="A794" s="22"/>
      <c r="B794" s="22"/>
      <c r="C794" s="22"/>
      <c r="D794" s="22"/>
      <c r="E794" s="22"/>
      <c r="F794" s="22"/>
      <c r="G794" s="1"/>
      <c r="H794" s="22"/>
      <c r="I794" s="22"/>
      <c r="J794" s="22"/>
      <c r="K794" s="22"/>
      <c r="L794" s="22"/>
      <c r="M794" s="1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</row>
    <row r="795" spans="1:29" ht="11.25" customHeight="1">
      <c r="A795" s="22"/>
      <c r="B795" s="22"/>
      <c r="C795" s="22"/>
      <c r="D795" s="22"/>
      <c r="E795" s="22"/>
      <c r="F795" s="22"/>
      <c r="G795" s="1"/>
      <c r="H795" s="22"/>
      <c r="I795" s="22"/>
      <c r="J795" s="22"/>
      <c r="K795" s="22"/>
      <c r="L795" s="22"/>
      <c r="M795" s="1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</row>
    <row r="796" spans="1:29" ht="11.25" customHeight="1">
      <c r="A796" s="22"/>
      <c r="B796" s="22"/>
      <c r="C796" s="22"/>
      <c r="D796" s="22"/>
      <c r="E796" s="22"/>
      <c r="F796" s="22"/>
      <c r="G796" s="1"/>
      <c r="H796" s="22"/>
      <c r="I796" s="22"/>
      <c r="J796" s="22"/>
      <c r="K796" s="22"/>
      <c r="L796" s="22"/>
      <c r="M796" s="1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</row>
    <row r="797" spans="1:29" ht="11.25" customHeight="1">
      <c r="A797" s="22"/>
      <c r="B797" s="22"/>
      <c r="C797" s="22"/>
      <c r="D797" s="22"/>
      <c r="E797" s="22"/>
      <c r="F797" s="22"/>
      <c r="G797" s="1"/>
      <c r="H797" s="22"/>
      <c r="I797" s="22"/>
      <c r="J797" s="22"/>
      <c r="K797" s="22"/>
      <c r="L797" s="22"/>
      <c r="M797" s="1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</row>
    <row r="798" spans="1:29" ht="11.25" customHeight="1">
      <c r="A798" s="22"/>
      <c r="B798" s="22"/>
      <c r="C798" s="22"/>
      <c r="D798" s="22"/>
      <c r="E798" s="22"/>
      <c r="F798" s="22"/>
      <c r="G798" s="1"/>
      <c r="H798" s="22"/>
      <c r="I798" s="22"/>
      <c r="J798" s="22"/>
      <c r="K798" s="22"/>
      <c r="L798" s="22"/>
      <c r="M798" s="1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</row>
    <row r="799" spans="1:29" ht="11.25" customHeight="1">
      <c r="A799" s="22"/>
      <c r="B799" s="22"/>
      <c r="C799" s="22"/>
      <c r="D799" s="22"/>
      <c r="E799" s="22"/>
      <c r="F799" s="22"/>
      <c r="G799" s="1"/>
      <c r="H799" s="22"/>
      <c r="I799" s="22"/>
      <c r="J799" s="22"/>
      <c r="K799" s="22"/>
      <c r="L799" s="22"/>
      <c r="M799" s="1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</row>
    <row r="800" spans="1:29" ht="11.25" customHeight="1">
      <c r="A800" s="22"/>
      <c r="B800" s="22"/>
      <c r="C800" s="22"/>
      <c r="D800" s="22"/>
      <c r="E800" s="22"/>
      <c r="F800" s="22"/>
      <c r="G800" s="1"/>
      <c r="H800" s="22"/>
      <c r="I800" s="22"/>
      <c r="J800" s="22"/>
      <c r="K800" s="22"/>
      <c r="L800" s="22"/>
      <c r="M800" s="1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</row>
    <row r="801" spans="1:29" ht="11.25" customHeight="1">
      <c r="A801" s="22"/>
      <c r="B801" s="22"/>
      <c r="C801" s="22"/>
      <c r="D801" s="22"/>
      <c r="E801" s="22"/>
      <c r="F801" s="22"/>
      <c r="G801" s="1"/>
      <c r="H801" s="22"/>
      <c r="I801" s="22"/>
      <c r="J801" s="22"/>
      <c r="K801" s="22"/>
      <c r="L801" s="22"/>
      <c r="M801" s="1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</row>
    <row r="802" spans="1:29" ht="11.25" customHeight="1">
      <c r="A802" s="22"/>
      <c r="B802" s="22"/>
      <c r="C802" s="22"/>
      <c r="D802" s="22"/>
      <c r="E802" s="22"/>
      <c r="F802" s="22"/>
      <c r="G802" s="1"/>
      <c r="H802" s="22"/>
      <c r="I802" s="22"/>
      <c r="J802" s="22"/>
      <c r="K802" s="22"/>
      <c r="L802" s="22"/>
      <c r="M802" s="1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</row>
    <row r="803" spans="1:29" ht="11.25" customHeight="1">
      <c r="A803" s="22"/>
      <c r="B803" s="22"/>
      <c r="C803" s="22"/>
      <c r="D803" s="22"/>
      <c r="E803" s="22"/>
      <c r="F803" s="22"/>
      <c r="G803" s="1"/>
      <c r="H803" s="22"/>
      <c r="I803" s="22"/>
      <c r="J803" s="22"/>
      <c r="K803" s="22"/>
      <c r="L803" s="22"/>
      <c r="M803" s="1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</row>
    <row r="804" spans="1:29" ht="11.25" customHeight="1">
      <c r="A804" s="22"/>
      <c r="B804" s="22"/>
      <c r="C804" s="22"/>
      <c r="D804" s="22"/>
      <c r="E804" s="22"/>
      <c r="F804" s="22"/>
      <c r="G804" s="1"/>
      <c r="H804" s="22"/>
      <c r="I804" s="22"/>
      <c r="J804" s="22"/>
      <c r="K804" s="22"/>
      <c r="L804" s="22"/>
      <c r="M804" s="1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</row>
    <row r="805" spans="1:29" ht="11.25" customHeight="1">
      <c r="A805" s="22"/>
      <c r="B805" s="22"/>
      <c r="C805" s="22"/>
      <c r="D805" s="22"/>
      <c r="E805" s="22"/>
      <c r="F805" s="22"/>
      <c r="G805" s="1"/>
      <c r="H805" s="22"/>
      <c r="I805" s="22"/>
      <c r="J805" s="22"/>
      <c r="K805" s="22"/>
      <c r="L805" s="22"/>
      <c r="M805" s="1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</row>
    <row r="806" spans="1:29" ht="11.25" customHeight="1">
      <c r="A806" s="22"/>
      <c r="B806" s="22"/>
      <c r="C806" s="22"/>
      <c r="D806" s="22"/>
      <c r="E806" s="22"/>
      <c r="F806" s="22"/>
      <c r="G806" s="1"/>
      <c r="H806" s="22"/>
      <c r="I806" s="22"/>
      <c r="J806" s="22"/>
      <c r="K806" s="22"/>
      <c r="L806" s="22"/>
      <c r="M806" s="1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</row>
    <row r="807" spans="1:29" ht="11.25" customHeight="1">
      <c r="A807" s="22"/>
      <c r="B807" s="22"/>
      <c r="C807" s="22"/>
      <c r="D807" s="22"/>
      <c r="E807" s="22"/>
      <c r="F807" s="22"/>
      <c r="G807" s="1"/>
      <c r="H807" s="22"/>
      <c r="I807" s="22"/>
      <c r="J807" s="22"/>
      <c r="K807" s="22"/>
      <c r="L807" s="22"/>
      <c r="M807" s="1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</row>
    <row r="808" spans="1:29" ht="11.25" customHeight="1">
      <c r="A808" s="22"/>
      <c r="B808" s="22"/>
      <c r="C808" s="22"/>
      <c r="D808" s="22"/>
      <c r="E808" s="22"/>
      <c r="F808" s="22"/>
      <c r="G808" s="1"/>
      <c r="H808" s="22"/>
      <c r="I808" s="22"/>
      <c r="J808" s="22"/>
      <c r="K808" s="22"/>
      <c r="L808" s="22"/>
      <c r="M808" s="1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</row>
    <row r="809" spans="1:29" ht="11.25" customHeight="1">
      <c r="A809" s="22"/>
      <c r="B809" s="22"/>
      <c r="C809" s="22"/>
      <c r="D809" s="22"/>
      <c r="E809" s="22"/>
      <c r="F809" s="22"/>
      <c r="G809" s="1"/>
      <c r="H809" s="22"/>
      <c r="I809" s="22"/>
      <c r="J809" s="22"/>
      <c r="K809" s="22"/>
      <c r="L809" s="22"/>
      <c r="M809" s="1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</row>
    <row r="810" spans="1:29" ht="11.25" customHeight="1">
      <c r="A810" s="22"/>
      <c r="B810" s="22"/>
      <c r="C810" s="22"/>
      <c r="D810" s="22"/>
      <c r="E810" s="22"/>
      <c r="F810" s="22"/>
      <c r="G810" s="1"/>
      <c r="H810" s="22"/>
      <c r="I810" s="22"/>
      <c r="J810" s="22"/>
      <c r="K810" s="22"/>
      <c r="L810" s="22"/>
      <c r="M810" s="1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</row>
    <row r="811" spans="1:29" ht="11.25" customHeight="1">
      <c r="A811" s="22"/>
      <c r="B811" s="22"/>
      <c r="C811" s="22"/>
      <c r="D811" s="22"/>
      <c r="E811" s="22"/>
      <c r="F811" s="22"/>
      <c r="G811" s="1"/>
      <c r="H811" s="22"/>
      <c r="I811" s="22"/>
      <c r="J811" s="22"/>
      <c r="K811" s="22"/>
      <c r="L811" s="22"/>
      <c r="M811" s="1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</row>
    <row r="812" spans="1:29" ht="11.25" customHeight="1">
      <c r="A812" s="22"/>
      <c r="B812" s="22"/>
      <c r="C812" s="22"/>
      <c r="D812" s="22"/>
      <c r="E812" s="22"/>
      <c r="F812" s="22"/>
      <c r="G812" s="1"/>
      <c r="H812" s="22"/>
      <c r="I812" s="22"/>
      <c r="J812" s="22"/>
      <c r="K812" s="22"/>
      <c r="L812" s="22"/>
      <c r="M812" s="1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</row>
    <row r="813" spans="1:29" ht="11.25" customHeight="1">
      <c r="A813" s="22"/>
      <c r="B813" s="22"/>
      <c r="C813" s="22"/>
      <c r="D813" s="22"/>
      <c r="E813" s="22"/>
      <c r="F813" s="22"/>
      <c r="G813" s="1"/>
      <c r="H813" s="22"/>
      <c r="I813" s="22"/>
      <c r="J813" s="22"/>
      <c r="K813" s="22"/>
      <c r="L813" s="22"/>
      <c r="M813" s="1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</row>
    <row r="814" spans="1:29" ht="11.25" customHeight="1">
      <c r="A814" s="22"/>
      <c r="B814" s="22"/>
      <c r="C814" s="22"/>
      <c r="D814" s="22"/>
      <c r="E814" s="22"/>
      <c r="F814" s="22"/>
      <c r="G814" s="1"/>
      <c r="H814" s="22"/>
      <c r="I814" s="22"/>
      <c r="J814" s="22"/>
      <c r="K814" s="22"/>
      <c r="L814" s="22"/>
      <c r="M814" s="1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</row>
    <row r="815" spans="1:29" ht="11.25" customHeight="1">
      <c r="A815" s="22"/>
      <c r="B815" s="22"/>
      <c r="C815" s="22"/>
      <c r="D815" s="22"/>
      <c r="E815" s="22"/>
      <c r="F815" s="22"/>
      <c r="G815" s="1"/>
      <c r="H815" s="22"/>
      <c r="I815" s="22"/>
      <c r="J815" s="22"/>
      <c r="K815" s="22"/>
      <c r="L815" s="22"/>
      <c r="M815" s="1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</row>
    <row r="816" spans="1:29" ht="11.25" customHeight="1">
      <c r="A816" s="22"/>
      <c r="B816" s="22"/>
      <c r="C816" s="22"/>
      <c r="D816" s="22"/>
      <c r="E816" s="22"/>
      <c r="F816" s="22"/>
      <c r="G816" s="1"/>
      <c r="H816" s="22"/>
      <c r="I816" s="22"/>
      <c r="J816" s="22"/>
      <c r="K816" s="22"/>
      <c r="L816" s="22"/>
      <c r="M816" s="1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</row>
    <row r="817" spans="1:29" ht="11.25" customHeight="1">
      <c r="A817" s="22"/>
      <c r="B817" s="22"/>
      <c r="C817" s="22"/>
      <c r="D817" s="22"/>
      <c r="E817" s="22"/>
      <c r="F817" s="22"/>
      <c r="G817" s="1"/>
      <c r="H817" s="22"/>
      <c r="I817" s="22"/>
      <c r="J817" s="22"/>
      <c r="K817" s="22"/>
      <c r="L817" s="22"/>
      <c r="M817" s="1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</row>
    <row r="818" spans="1:29" ht="11.25" customHeight="1">
      <c r="A818" s="22"/>
      <c r="B818" s="22"/>
      <c r="C818" s="22"/>
      <c r="D818" s="22"/>
      <c r="E818" s="22"/>
      <c r="F818" s="22"/>
      <c r="G818" s="1"/>
      <c r="H818" s="22"/>
      <c r="I818" s="22"/>
      <c r="J818" s="22"/>
      <c r="K818" s="22"/>
      <c r="L818" s="22"/>
      <c r="M818" s="1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</row>
    <row r="819" spans="1:29" ht="11.25" customHeight="1">
      <c r="A819" s="22"/>
      <c r="B819" s="22"/>
      <c r="C819" s="22"/>
      <c r="D819" s="22"/>
      <c r="E819" s="22"/>
      <c r="F819" s="22"/>
      <c r="G819" s="1"/>
      <c r="H819" s="22"/>
      <c r="I819" s="22"/>
      <c r="J819" s="22"/>
      <c r="K819" s="22"/>
      <c r="L819" s="22"/>
      <c r="M819" s="1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</row>
    <row r="820" spans="1:29" ht="11.25" customHeight="1">
      <c r="A820" s="22"/>
      <c r="B820" s="22"/>
      <c r="C820" s="22"/>
      <c r="D820" s="22"/>
      <c r="E820" s="22"/>
      <c r="F820" s="22"/>
      <c r="G820" s="1"/>
      <c r="H820" s="22"/>
      <c r="I820" s="22"/>
      <c r="J820" s="22"/>
      <c r="K820" s="22"/>
      <c r="L820" s="22"/>
      <c r="M820" s="1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</row>
    <row r="821" spans="1:29" ht="11.25" customHeight="1">
      <c r="A821" s="22"/>
      <c r="B821" s="22"/>
      <c r="C821" s="22"/>
      <c r="D821" s="22"/>
      <c r="E821" s="22"/>
      <c r="F821" s="22"/>
      <c r="G821" s="1"/>
      <c r="H821" s="22"/>
      <c r="I821" s="22"/>
      <c r="J821" s="22"/>
      <c r="K821" s="22"/>
      <c r="L821" s="22"/>
      <c r="M821" s="1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</row>
    <row r="822" spans="1:29" ht="11.25" customHeight="1">
      <c r="A822" s="22"/>
      <c r="B822" s="22"/>
      <c r="C822" s="22"/>
      <c r="D822" s="22"/>
      <c r="E822" s="22"/>
      <c r="F822" s="22"/>
      <c r="G822" s="1"/>
      <c r="H822" s="22"/>
      <c r="I822" s="22"/>
      <c r="J822" s="22"/>
      <c r="K822" s="22"/>
      <c r="L822" s="22"/>
      <c r="M822" s="1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</row>
    <row r="823" spans="1:29" ht="11.25" customHeight="1">
      <c r="A823" s="22"/>
      <c r="B823" s="22"/>
      <c r="C823" s="22"/>
      <c r="D823" s="22"/>
      <c r="E823" s="22"/>
      <c r="F823" s="22"/>
      <c r="G823" s="1"/>
      <c r="H823" s="22"/>
      <c r="I823" s="22"/>
      <c r="J823" s="22"/>
      <c r="K823" s="22"/>
      <c r="L823" s="22"/>
      <c r="M823" s="1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</row>
    <row r="824" spans="1:29" ht="11.25" customHeight="1">
      <c r="A824" s="22"/>
      <c r="B824" s="22"/>
      <c r="C824" s="22"/>
      <c r="D824" s="22"/>
      <c r="E824" s="22"/>
      <c r="F824" s="22"/>
      <c r="G824" s="1"/>
      <c r="H824" s="22"/>
      <c r="I824" s="22"/>
      <c r="J824" s="22"/>
      <c r="K824" s="22"/>
      <c r="L824" s="22"/>
      <c r="M824" s="1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</row>
    <row r="825" spans="1:29" ht="11.25" customHeight="1">
      <c r="A825" s="22"/>
      <c r="B825" s="22"/>
      <c r="C825" s="22"/>
      <c r="D825" s="22"/>
      <c r="E825" s="22"/>
      <c r="F825" s="22"/>
      <c r="G825" s="1"/>
      <c r="H825" s="22"/>
      <c r="I825" s="22"/>
      <c r="J825" s="22"/>
      <c r="K825" s="22"/>
      <c r="L825" s="22"/>
      <c r="M825" s="1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</row>
    <row r="826" spans="1:29" ht="11.25" customHeight="1">
      <c r="A826" s="22"/>
      <c r="B826" s="22"/>
      <c r="C826" s="22"/>
      <c r="D826" s="22"/>
      <c r="E826" s="22"/>
      <c r="F826" s="22"/>
      <c r="G826" s="1"/>
      <c r="H826" s="22"/>
      <c r="I826" s="22"/>
      <c r="J826" s="22"/>
      <c r="K826" s="22"/>
      <c r="L826" s="22"/>
      <c r="M826" s="1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</row>
    <row r="827" spans="1:29" ht="11.25" customHeight="1">
      <c r="A827" s="22"/>
      <c r="B827" s="22"/>
      <c r="C827" s="22"/>
      <c r="D827" s="22"/>
      <c r="E827" s="22"/>
      <c r="F827" s="22"/>
      <c r="G827" s="1"/>
      <c r="H827" s="22"/>
      <c r="I827" s="22"/>
      <c r="J827" s="22"/>
      <c r="K827" s="22"/>
      <c r="L827" s="22"/>
      <c r="M827" s="1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</row>
    <row r="828" spans="1:29" ht="11.25" customHeight="1">
      <c r="A828" s="22"/>
      <c r="B828" s="22"/>
      <c r="C828" s="22"/>
      <c r="D828" s="22"/>
      <c r="E828" s="22"/>
      <c r="F828" s="22"/>
      <c r="G828" s="1"/>
      <c r="H828" s="22"/>
      <c r="I828" s="22"/>
      <c r="J828" s="22"/>
      <c r="K828" s="22"/>
      <c r="L828" s="22"/>
      <c r="M828" s="1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</row>
    <row r="829" spans="1:29" ht="11.25" customHeight="1">
      <c r="A829" s="22"/>
      <c r="B829" s="22"/>
      <c r="C829" s="22"/>
      <c r="D829" s="22"/>
      <c r="E829" s="22"/>
      <c r="F829" s="22"/>
      <c r="G829" s="1"/>
      <c r="H829" s="22"/>
      <c r="I829" s="22"/>
      <c r="J829" s="22"/>
      <c r="K829" s="22"/>
      <c r="L829" s="22"/>
      <c r="M829" s="1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</row>
    <row r="830" spans="1:29" ht="11.25" customHeight="1">
      <c r="A830" s="22"/>
      <c r="B830" s="22"/>
      <c r="C830" s="22"/>
      <c r="D830" s="22"/>
      <c r="E830" s="22"/>
      <c r="F830" s="22"/>
      <c r="G830" s="1"/>
      <c r="H830" s="22"/>
      <c r="I830" s="22"/>
      <c r="J830" s="22"/>
      <c r="K830" s="22"/>
      <c r="L830" s="22"/>
      <c r="M830" s="1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</row>
    <row r="831" spans="1:29" ht="11.25" customHeight="1">
      <c r="A831" s="22"/>
      <c r="B831" s="22"/>
      <c r="C831" s="22"/>
      <c r="D831" s="22"/>
      <c r="E831" s="22"/>
      <c r="F831" s="22"/>
      <c r="G831" s="1"/>
      <c r="H831" s="22"/>
      <c r="I831" s="22"/>
      <c r="J831" s="22"/>
      <c r="K831" s="22"/>
      <c r="L831" s="22"/>
      <c r="M831" s="1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</row>
    <row r="832" spans="1:29" ht="11.25" customHeight="1">
      <c r="A832" s="22"/>
      <c r="B832" s="22"/>
      <c r="C832" s="22"/>
      <c r="D832" s="22"/>
      <c r="E832" s="22"/>
      <c r="F832" s="22"/>
      <c r="G832" s="1"/>
      <c r="H832" s="22"/>
      <c r="I832" s="22"/>
      <c r="J832" s="22"/>
      <c r="K832" s="22"/>
      <c r="L832" s="22"/>
      <c r="M832" s="1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</row>
    <row r="833" spans="1:29" ht="11.25" customHeight="1">
      <c r="A833" s="22"/>
      <c r="B833" s="22"/>
      <c r="C833" s="22"/>
      <c r="D833" s="22"/>
      <c r="E833" s="22"/>
      <c r="F833" s="22"/>
      <c r="G833" s="1"/>
      <c r="H833" s="22"/>
      <c r="I833" s="22"/>
      <c r="J833" s="22"/>
      <c r="K833" s="22"/>
      <c r="L833" s="22"/>
      <c r="M833" s="1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</row>
    <row r="834" spans="1:29" ht="11.25" customHeight="1">
      <c r="A834" s="22"/>
      <c r="B834" s="22"/>
      <c r="C834" s="22"/>
      <c r="D834" s="22"/>
      <c r="E834" s="22"/>
      <c r="F834" s="22"/>
      <c r="G834" s="1"/>
      <c r="H834" s="22"/>
      <c r="I834" s="22"/>
      <c r="J834" s="22"/>
      <c r="K834" s="22"/>
      <c r="L834" s="22"/>
      <c r="M834" s="1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</row>
    <row r="835" spans="1:29" ht="11.25" customHeight="1">
      <c r="A835" s="22"/>
      <c r="B835" s="22"/>
      <c r="C835" s="22"/>
      <c r="D835" s="22"/>
      <c r="E835" s="22"/>
      <c r="F835" s="22"/>
      <c r="G835" s="1"/>
      <c r="H835" s="22"/>
      <c r="I835" s="22"/>
      <c r="J835" s="22"/>
      <c r="K835" s="22"/>
      <c r="L835" s="22"/>
      <c r="M835" s="1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</row>
    <row r="836" spans="1:29" ht="11.25" customHeight="1">
      <c r="A836" s="22"/>
      <c r="B836" s="22"/>
      <c r="C836" s="22"/>
      <c r="D836" s="22"/>
      <c r="E836" s="22"/>
      <c r="F836" s="22"/>
      <c r="G836" s="1"/>
      <c r="H836" s="22"/>
      <c r="I836" s="22"/>
      <c r="J836" s="22"/>
      <c r="K836" s="22"/>
      <c r="L836" s="22"/>
      <c r="M836" s="1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</row>
    <row r="837" spans="1:29" ht="11.25" customHeight="1">
      <c r="A837" s="22"/>
      <c r="B837" s="22"/>
      <c r="C837" s="22"/>
      <c r="D837" s="22"/>
      <c r="E837" s="22"/>
      <c r="F837" s="22"/>
      <c r="G837" s="1"/>
      <c r="H837" s="22"/>
      <c r="I837" s="22"/>
      <c r="J837" s="22"/>
      <c r="K837" s="22"/>
      <c r="L837" s="22"/>
      <c r="M837" s="1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</row>
    <row r="838" spans="1:29" ht="11.25" customHeight="1">
      <c r="A838" s="22"/>
      <c r="B838" s="22"/>
      <c r="C838" s="22"/>
      <c r="D838" s="22"/>
      <c r="E838" s="22"/>
      <c r="F838" s="22"/>
      <c r="G838" s="1"/>
      <c r="H838" s="22"/>
      <c r="I838" s="22"/>
      <c r="J838" s="22"/>
      <c r="K838" s="22"/>
      <c r="L838" s="22"/>
      <c r="M838" s="1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</row>
    <row r="839" spans="1:29" ht="11.25" customHeight="1">
      <c r="A839" s="22"/>
      <c r="B839" s="22"/>
      <c r="C839" s="22"/>
      <c r="D839" s="22"/>
      <c r="E839" s="22"/>
      <c r="F839" s="22"/>
      <c r="G839" s="1"/>
      <c r="H839" s="22"/>
      <c r="I839" s="22"/>
      <c r="J839" s="22"/>
      <c r="K839" s="22"/>
      <c r="L839" s="22"/>
      <c r="M839" s="1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</row>
    <row r="840" spans="1:29" ht="11.25" customHeight="1">
      <c r="A840" s="22"/>
      <c r="B840" s="22"/>
      <c r="C840" s="22"/>
      <c r="D840" s="22"/>
      <c r="E840" s="22"/>
      <c r="F840" s="22"/>
      <c r="G840" s="1"/>
      <c r="H840" s="22"/>
      <c r="I840" s="22"/>
      <c r="J840" s="22"/>
      <c r="K840" s="22"/>
      <c r="L840" s="22"/>
      <c r="M840" s="1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</row>
    <row r="841" spans="1:29" ht="11.25" customHeight="1">
      <c r="A841" s="22"/>
      <c r="B841" s="22"/>
      <c r="C841" s="22"/>
      <c r="D841" s="22"/>
      <c r="E841" s="22"/>
      <c r="F841" s="22"/>
      <c r="G841" s="1"/>
      <c r="H841" s="22"/>
      <c r="I841" s="22"/>
      <c r="J841" s="22"/>
      <c r="K841" s="22"/>
      <c r="L841" s="22"/>
      <c r="M841" s="1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</row>
    <row r="842" spans="1:29" ht="11.25" customHeight="1">
      <c r="A842" s="22"/>
      <c r="B842" s="22"/>
      <c r="C842" s="22"/>
      <c r="D842" s="22"/>
      <c r="E842" s="22"/>
      <c r="F842" s="22"/>
      <c r="G842" s="1"/>
      <c r="H842" s="22"/>
      <c r="I842" s="22"/>
      <c r="J842" s="22"/>
      <c r="K842" s="22"/>
      <c r="L842" s="22"/>
      <c r="M842" s="1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</row>
    <row r="843" spans="1:29" ht="11.25" customHeight="1">
      <c r="A843" s="22"/>
      <c r="B843" s="22"/>
      <c r="C843" s="22"/>
      <c r="D843" s="22"/>
      <c r="E843" s="22"/>
      <c r="F843" s="22"/>
      <c r="G843" s="1"/>
      <c r="H843" s="22"/>
      <c r="I843" s="22"/>
      <c r="J843" s="22"/>
      <c r="K843" s="22"/>
      <c r="L843" s="22"/>
      <c r="M843" s="1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</row>
    <row r="844" spans="1:29" ht="11.25" customHeight="1">
      <c r="A844" s="22"/>
      <c r="B844" s="22"/>
      <c r="C844" s="22"/>
      <c r="D844" s="22"/>
      <c r="E844" s="22"/>
      <c r="F844" s="22"/>
      <c r="G844" s="1"/>
      <c r="H844" s="22"/>
      <c r="I844" s="22"/>
      <c r="J844" s="22"/>
      <c r="K844" s="22"/>
      <c r="L844" s="22"/>
      <c r="M844" s="1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</row>
    <row r="845" spans="1:29" ht="11.25" customHeight="1">
      <c r="A845" s="22"/>
      <c r="B845" s="22"/>
      <c r="C845" s="22"/>
      <c r="D845" s="22"/>
      <c r="E845" s="22"/>
      <c r="F845" s="22"/>
      <c r="G845" s="1"/>
      <c r="H845" s="22"/>
      <c r="I845" s="22"/>
      <c r="J845" s="22"/>
      <c r="K845" s="22"/>
      <c r="L845" s="22"/>
      <c r="M845" s="1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</row>
    <row r="846" spans="1:29" ht="11.25" customHeight="1">
      <c r="A846" s="22"/>
      <c r="B846" s="22"/>
      <c r="C846" s="22"/>
      <c r="D846" s="22"/>
      <c r="E846" s="22"/>
      <c r="F846" s="22"/>
      <c r="G846" s="1"/>
      <c r="H846" s="22"/>
      <c r="I846" s="22"/>
      <c r="J846" s="22"/>
      <c r="K846" s="22"/>
      <c r="L846" s="22"/>
      <c r="M846" s="1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</row>
    <row r="847" spans="1:29" ht="11.25" customHeight="1">
      <c r="A847" s="22"/>
      <c r="B847" s="22"/>
      <c r="C847" s="22"/>
      <c r="D847" s="22"/>
      <c r="E847" s="22"/>
      <c r="F847" s="22"/>
      <c r="G847" s="1"/>
      <c r="H847" s="22"/>
      <c r="I847" s="22"/>
      <c r="J847" s="22"/>
      <c r="K847" s="22"/>
      <c r="L847" s="22"/>
      <c r="M847" s="1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</row>
    <row r="848" spans="1:29" ht="11.25" customHeight="1">
      <c r="A848" s="22"/>
      <c r="B848" s="22"/>
      <c r="C848" s="22"/>
      <c r="D848" s="22"/>
      <c r="E848" s="22"/>
      <c r="F848" s="22"/>
      <c r="G848" s="1"/>
      <c r="H848" s="22"/>
      <c r="I848" s="22"/>
      <c r="J848" s="22"/>
      <c r="K848" s="22"/>
      <c r="L848" s="22"/>
      <c r="M848" s="1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</row>
    <row r="849" spans="1:29" ht="11.25" customHeight="1">
      <c r="A849" s="22"/>
      <c r="B849" s="22"/>
      <c r="C849" s="22"/>
      <c r="D849" s="22"/>
      <c r="E849" s="22"/>
      <c r="F849" s="22"/>
      <c r="G849" s="1"/>
      <c r="H849" s="22"/>
      <c r="I849" s="22"/>
      <c r="J849" s="22"/>
      <c r="K849" s="22"/>
      <c r="L849" s="22"/>
      <c r="M849" s="1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</row>
    <row r="850" spans="1:29" ht="11.25" customHeight="1">
      <c r="A850" s="22"/>
      <c r="B850" s="22"/>
      <c r="C850" s="22"/>
      <c r="D850" s="22"/>
      <c r="E850" s="22"/>
      <c r="F850" s="22"/>
      <c r="G850" s="1"/>
      <c r="H850" s="22"/>
      <c r="I850" s="22"/>
      <c r="J850" s="22"/>
      <c r="K850" s="22"/>
      <c r="L850" s="22"/>
      <c r="M850" s="1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</row>
    <row r="851" spans="1:29" ht="11.25" customHeight="1">
      <c r="A851" s="22"/>
      <c r="B851" s="22"/>
      <c r="C851" s="22"/>
      <c r="D851" s="22"/>
      <c r="E851" s="22"/>
      <c r="F851" s="22"/>
      <c r="G851" s="1"/>
      <c r="H851" s="22"/>
      <c r="I851" s="22"/>
      <c r="J851" s="22"/>
      <c r="K851" s="22"/>
      <c r="L851" s="22"/>
      <c r="M851" s="1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</row>
    <row r="852" spans="1:29" ht="11.25" customHeight="1">
      <c r="A852" s="22"/>
      <c r="B852" s="22"/>
      <c r="C852" s="22"/>
      <c r="D852" s="22"/>
      <c r="E852" s="22"/>
      <c r="F852" s="22"/>
      <c r="G852" s="1"/>
      <c r="H852" s="22"/>
      <c r="I852" s="22"/>
      <c r="J852" s="22"/>
      <c r="K852" s="22"/>
      <c r="L852" s="22"/>
      <c r="M852" s="1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</row>
    <row r="853" spans="1:29" ht="11.25" customHeight="1">
      <c r="A853" s="22"/>
      <c r="B853" s="22"/>
      <c r="C853" s="22"/>
      <c r="D853" s="22"/>
      <c r="E853" s="22"/>
      <c r="F853" s="22"/>
      <c r="G853" s="1"/>
      <c r="H853" s="22"/>
      <c r="I853" s="22"/>
      <c r="J853" s="22"/>
      <c r="K853" s="22"/>
      <c r="L853" s="22"/>
      <c r="M853" s="1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</row>
    <row r="854" spans="1:29" ht="11.25" customHeight="1">
      <c r="A854" s="22"/>
      <c r="B854" s="22"/>
      <c r="C854" s="22"/>
      <c r="D854" s="22"/>
      <c r="E854" s="22"/>
      <c r="F854" s="22"/>
      <c r="G854" s="1"/>
      <c r="H854" s="22"/>
      <c r="I854" s="22"/>
      <c r="J854" s="22"/>
      <c r="K854" s="22"/>
      <c r="L854" s="22"/>
      <c r="M854" s="1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</row>
    <row r="855" spans="1:29" ht="11.25" customHeight="1">
      <c r="A855" s="22"/>
      <c r="B855" s="22"/>
      <c r="C855" s="22"/>
      <c r="D855" s="22"/>
      <c r="E855" s="22"/>
      <c r="F855" s="22"/>
      <c r="G855" s="1"/>
      <c r="H855" s="22"/>
      <c r="I855" s="22"/>
      <c r="J855" s="22"/>
      <c r="K855" s="22"/>
      <c r="L855" s="22"/>
      <c r="M855" s="1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</row>
    <row r="856" spans="1:29" ht="11.25" customHeight="1">
      <c r="A856" s="22"/>
      <c r="B856" s="22"/>
      <c r="C856" s="22"/>
      <c r="D856" s="22"/>
      <c r="E856" s="22"/>
      <c r="F856" s="22"/>
      <c r="G856" s="1"/>
      <c r="H856" s="22"/>
      <c r="I856" s="22"/>
      <c r="J856" s="22"/>
      <c r="K856" s="22"/>
      <c r="L856" s="22"/>
      <c r="M856" s="1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</row>
    <row r="857" spans="1:29" ht="11.25" customHeight="1">
      <c r="A857" s="22"/>
      <c r="B857" s="22"/>
      <c r="C857" s="22"/>
      <c r="D857" s="22"/>
      <c r="E857" s="22"/>
      <c r="F857" s="22"/>
      <c r="G857" s="1"/>
      <c r="H857" s="22"/>
      <c r="I857" s="22"/>
      <c r="J857" s="22"/>
      <c r="K857" s="22"/>
      <c r="L857" s="22"/>
      <c r="M857" s="1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</row>
    <row r="858" spans="1:29" ht="11.25" customHeight="1">
      <c r="A858" s="22"/>
      <c r="B858" s="22"/>
      <c r="C858" s="22"/>
      <c r="D858" s="22"/>
      <c r="E858" s="22"/>
      <c r="F858" s="22"/>
      <c r="G858" s="1"/>
      <c r="H858" s="22"/>
      <c r="I858" s="22"/>
      <c r="J858" s="22"/>
      <c r="K858" s="22"/>
      <c r="L858" s="22"/>
      <c r="M858" s="1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</row>
    <row r="859" spans="1:29" ht="11.25" customHeight="1">
      <c r="A859" s="22"/>
      <c r="B859" s="22"/>
      <c r="C859" s="22"/>
      <c r="D859" s="22"/>
      <c r="E859" s="22"/>
      <c r="F859" s="22"/>
      <c r="G859" s="1"/>
      <c r="H859" s="22"/>
      <c r="I859" s="22"/>
      <c r="J859" s="22"/>
      <c r="K859" s="22"/>
      <c r="L859" s="22"/>
      <c r="M859" s="1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</row>
    <row r="860" spans="1:29" ht="11.25" customHeight="1">
      <c r="A860" s="22"/>
      <c r="B860" s="22"/>
      <c r="C860" s="22"/>
      <c r="D860" s="22"/>
      <c r="E860" s="22"/>
      <c r="F860" s="22"/>
      <c r="G860" s="1"/>
      <c r="H860" s="22"/>
      <c r="I860" s="22"/>
      <c r="J860" s="22"/>
      <c r="K860" s="22"/>
      <c r="L860" s="22"/>
      <c r="M860" s="1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</row>
    <row r="861" spans="1:29" ht="11.25" customHeight="1">
      <c r="A861" s="22"/>
      <c r="B861" s="22"/>
      <c r="C861" s="22"/>
      <c r="D861" s="22"/>
      <c r="E861" s="22"/>
      <c r="F861" s="22"/>
      <c r="G861" s="1"/>
      <c r="H861" s="22"/>
      <c r="I861" s="22"/>
      <c r="J861" s="22"/>
      <c r="K861" s="22"/>
      <c r="L861" s="22"/>
      <c r="M861" s="1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</row>
    <row r="862" spans="1:29" ht="11.25" customHeight="1">
      <c r="A862" s="22"/>
      <c r="B862" s="22"/>
      <c r="C862" s="22"/>
      <c r="D862" s="22"/>
      <c r="E862" s="22"/>
      <c r="F862" s="22"/>
      <c r="G862" s="1"/>
      <c r="H862" s="22"/>
      <c r="I862" s="22"/>
      <c r="J862" s="22"/>
      <c r="K862" s="22"/>
      <c r="L862" s="22"/>
      <c r="M862" s="1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</row>
    <row r="863" spans="1:29" ht="11.25" customHeight="1">
      <c r="A863" s="22"/>
      <c r="B863" s="22"/>
      <c r="C863" s="22"/>
      <c r="D863" s="22"/>
      <c r="E863" s="22"/>
      <c r="F863" s="22"/>
      <c r="G863" s="1"/>
      <c r="H863" s="22"/>
      <c r="I863" s="22"/>
      <c r="J863" s="22"/>
      <c r="K863" s="22"/>
      <c r="L863" s="22"/>
      <c r="M863" s="1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</row>
    <row r="864" spans="1:29" ht="11.25" customHeight="1">
      <c r="A864" s="22"/>
      <c r="B864" s="22"/>
      <c r="C864" s="22"/>
      <c r="D864" s="22"/>
      <c r="E864" s="22"/>
      <c r="F864" s="22"/>
      <c r="G864" s="1"/>
      <c r="H864" s="22"/>
      <c r="I864" s="22"/>
      <c r="J864" s="22"/>
      <c r="K864" s="22"/>
      <c r="L864" s="22"/>
      <c r="M864" s="1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</row>
    <row r="865" spans="1:29" ht="11.25" customHeight="1">
      <c r="A865" s="22"/>
      <c r="B865" s="22"/>
      <c r="C865" s="22"/>
      <c r="D865" s="22"/>
      <c r="E865" s="22"/>
      <c r="F865" s="22"/>
      <c r="G865" s="1"/>
      <c r="H865" s="22"/>
      <c r="I865" s="22"/>
      <c r="J865" s="22"/>
      <c r="K865" s="22"/>
      <c r="L865" s="22"/>
      <c r="M865" s="1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</row>
    <row r="866" spans="1:29" ht="11.25" customHeight="1">
      <c r="A866" s="22"/>
      <c r="B866" s="22"/>
      <c r="C866" s="22"/>
      <c r="D866" s="22"/>
      <c r="E866" s="22"/>
      <c r="F866" s="22"/>
      <c r="G866" s="1"/>
      <c r="H866" s="22"/>
      <c r="I866" s="22"/>
      <c r="J866" s="22"/>
      <c r="K866" s="22"/>
      <c r="L866" s="22"/>
      <c r="M866" s="1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</row>
    <row r="867" spans="1:29" ht="11.25" customHeight="1">
      <c r="A867" s="22"/>
      <c r="B867" s="22"/>
      <c r="C867" s="22"/>
      <c r="D867" s="22"/>
      <c r="E867" s="22"/>
      <c r="F867" s="22"/>
      <c r="G867" s="1"/>
      <c r="H867" s="22"/>
      <c r="I867" s="22"/>
      <c r="J867" s="22"/>
      <c r="K867" s="22"/>
      <c r="L867" s="22"/>
      <c r="M867" s="1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</row>
    <row r="868" spans="1:29" ht="11.25" customHeight="1">
      <c r="A868" s="22"/>
      <c r="B868" s="22"/>
      <c r="C868" s="22"/>
      <c r="D868" s="22"/>
      <c r="E868" s="22"/>
      <c r="F868" s="22"/>
      <c r="G868" s="1"/>
      <c r="H868" s="22"/>
      <c r="I868" s="22"/>
      <c r="J868" s="22"/>
      <c r="K868" s="22"/>
      <c r="L868" s="22"/>
      <c r="M868" s="1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</row>
    <row r="869" spans="1:29" ht="11.25" customHeight="1">
      <c r="A869" s="22"/>
      <c r="B869" s="22"/>
      <c r="C869" s="22"/>
      <c r="D869" s="22"/>
      <c r="E869" s="22"/>
      <c r="F869" s="22"/>
      <c r="G869" s="1"/>
      <c r="H869" s="22"/>
      <c r="I869" s="22"/>
      <c r="J869" s="22"/>
      <c r="K869" s="22"/>
      <c r="L869" s="22"/>
      <c r="M869" s="1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</row>
    <row r="870" spans="1:29" ht="11.25" customHeight="1">
      <c r="A870" s="22"/>
      <c r="B870" s="22"/>
      <c r="C870" s="22"/>
      <c r="D870" s="22"/>
      <c r="E870" s="22"/>
      <c r="F870" s="22"/>
      <c r="G870" s="1"/>
      <c r="H870" s="22"/>
      <c r="I870" s="22"/>
      <c r="J870" s="22"/>
      <c r="K870" s="22"/>
      <c r="L870" s="22"/>
      <c r="M870" s="1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</row>
    <row r="871" spans="1:29" ht="11.25" customHeight="1">
      <c r="A871" s="22"/>
      <c r="B871" s="22"/>
      <c r="C871" s="22"/>
      <c r="D871" s="22"/>
      <c r="E871" s="22"/>
      <c r="F871" s="22"/>
      <c r="G871" s="1"/>
      <c r="H871" s="22"/>
      <c r="I871" s="22"/>
      <c r="J871" s="22"/>
      <c r="K871" s="22"/>
      <c r="L871" s="22"/>
      <c r="M871" s="1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</row>
    <row r="872" spans="1:29" ht="11.25" customHeight="1">
      <c r="A872" s="22"/>
      <c r="B872" s="22"/>
      <c r="C872" s="22"/>
      <c r="D872" s="22"/>
      <c r="E872" s="22"/>
      <c r="F872" s="22"/>
      <c r="G872" s="1"/>
      <c r="H872" s="22"/>
      <c r="I872" s="22"/>
      <c r="J872" s="22"/>
      <c r="K872" s="22"/>
      <c r="L872" s="22"/>
      <c r="M872" s="1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</row>
    <row r="873" spans="1:29" ht="11.25" customHeight="1">
      <c r="A873" s="22"/>
      <c r="B873" s="22"/>
      <c r="C873" s="22"/>
      <c r="D873" s="22"/>
      <c r="E873" s="22"/>
      <c r="F873" s="22"/>
      <c r="G873" s="1"/>
      <c r="H873" s="22"/>
      <c r="I873" s="22"/>
      <c r="J873" s="22"/>
      <c r="K873" s="22"/>
      <c r="L873" s="22"/>
      <c r="M873" s="1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</row>
    <row r="874" spans="1:29" ht="11.25" customHeight="1">
      <c r="A874" s="22"/>
      <c r="B874" s="22"/>
      <c r="C874" s="22"/>
      <c r="D874" s="22"/>
      <c r="E874" s="22"/>
      <c r="F874" s="22"/>
      <c r="G874" s="1"/>
      <c r="H874" s="22"/>
      <c r="I874" s="22"/>
      <c r="J874" s="22"/>
      <c r="K874" s="22"/>
      <c r="L874" s="22"/>
      <c r="M874" s="1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</row>
    <row r="875" spans="1:29" ht="11.25" customHeight="1">
      <c r="A875" s="22"/>
      <c r="B875" s="22"/>
      <c r="C875" s="22"/>
      <c r="D875" s="22"/>
      <c r="E875" s="22"/>
      <c r="F875" s="22"/>
      <c r="G875" s="1"/>
      <c r="H875" s="22"/>
      <c r="I875" s="22"/>
      <c r="J875" s="22"/>
      <c r="K875" s="22"/>
      <c r="L875" s="22"/>
      <c r="M875" s="1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</row>
    <row r="876" spans="1:29" ht="11.25" customHeight="1">
      <c r="A876" s="22"/>
      <c r="B876" s="22"/>
      <c r="C876" s="22"/>
      <c r="D876" s="22"/>
      <c r="E876" s="22"/>
      <c r="F876" s="22"/>
      <c r="G876" s="1"/>
      <c r="H876" s="22"/>
      <c r="I876" s="22"/>
      <c r="J876" s="22"/>
      <c r="K876" s="22"/>
      <c r="L876" s="22"/>
      <c r="M876" s="1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</row>
    <row r="877" spans="1:29" ht="11.25" customHeight="1">
      <c r="A877" s="22"/>
      <c r="B877" s="22"/>
      <c r="C877" s="22"/>
      <c r="D877" s="22"/>
      <c r="E877" s="22"/>
      <c r="F877" s="22"/>
      <c r="G877" s="1"/>
      <c r="H877" s="22"/>
      <c r="I877" s="22"/>
      <c r="J877" s="22"/>
      <c r="K877" s="22"/>
      <c r="L877" s="22"/>
      <c r="M877" s="1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</row>
    <row r="878" spans="1:29" ht="11.25" customHeight="1">
      <c r="A878" s="22"/>
      <c r="B878" s="22"/>
      <c r="C878" s="22"/>
      <c r="D878" s="22"/>
      <c r="E878" s="22"/>
      <c r="F878" s="22"/>
      <c r="G878" s="1"/>
      <c r="H878" s="22"/>
      <c r="I878" s="22"/>
      <c r="J878" s="22"/>
      <c r="K878" s="22"/>
      <c r="L878" s="22"/>
      <c r="M878" s="1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</row>
    <row r="879" spans="1:29" ht="11.25" customHeight="1">
      <c r="A879" s="22"/>
      <c r="B879" s="22"/>
      <c r="C879" s="22"/>
      <c r="D879" s="22"/>
      <c r="E879" s="22"/>
      <c r="F879" s="22"/>
      <c r="G879" s="1"/>
      <c r="H879" s="22"/>
      <c r="I879" s="22"/>
      <c r="J879" s="22"/>
      <c r="K879" s="22"/>
      <c r="L879" s="22"/>
      <c r="M879" s="1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</row>
    <row r="880" spans="1:29" ht="11.25" customHeight="1">
      <c r="A880" s="22"/>
      <c r="B880" s="22"/>
      <c r="C880" s="22"/>
      <c r="D880" s="22"/>
      <c r="E880" s="22"/>
      <c r="F880" s="22"/>
      <c r="G880" s="1"/>
      <c r="H880" s="22"/>
      <c r="I880" s="22"/>
      <c r="J880" s="22"/>
      <c r="K880" s="22"/>
      <c r="L880" s="22"/>
      <c r="M880" s="1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</row>
    <row r="881" spans="1:29" ht="11.25" customHeight="1">
      <c r="A881" s="22"/>
      <c r="B881" s="22"/>
      <c r="C881" s="22"/>
      <c r="D881" s="22"/>
      <c r="E881" s="22"/>
      <c r="F881" s="22"/>
      <c r="G881" s="1"/>
      <c r="H881" s="22"/>
      <c r="I881" s="22"/>
      <c r="J881" s="22"/>
      <c r="K881" s="22"/>
      <c r="L881" s="22"/>
      <c r="M881" s="1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</row>
    <row r="882" spans="1:29" ht="11.25" customHeight="1">
      <c r="A882" s="22"/>
      <c r="B882" s="22"/>
      <c r="C882" s="22"/>
      <c r="D882" s="22"/>
      <c r="E882" s="22"/>
      <c r="F882" s="22"/>
      <c r="G882" s="1"/>
      <c r="H882" s="22"/>
      <c r="I882" s="22"/>
      <c r="J882" s="22"/>
      <c r="K882" s="22"/>
      <c r="L882" s="22"/>
      <c r="M882" s="1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</row>
    <row r="883" spans="1:29" ht="11.25" customHeight="1">
      <c r="A883" s="22"/>
      <c r="B883" s="22"/>
      <c r="C883" s="22"/>
      <c r="D883" s="22"/>
      <c r="E883" s="22"/>
      <c r="F883" s="22"/>
      <c r="G883" s="1"/>
      <c r="H883" s="22"/>
      <c r="I883" s="22"/>
      <c r="J883" s="22"/>
      <c r="K883" s="22"/>
      <c r="L883" s="22"/>
      <c r="M883" s="1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</row>
    <row r="884" spans="1:29" ht="11.25" customHeight="1">
      <c r="A884" s="22"/>
      <c r="B884" s="22"/>
      <c r="C884" s="22"/>
      <c r="D884" s="22"/>
      <c r="E884" s="22"/>
      <c r="F884" s="22"/>
      <c r="G884" s="1"/>
      <c r="H884" s="22"/>
      <c r="I884" s="22"/>
      <c r="J884" s="22"/>
      <c r="K884" s="22"/>
      <c r="L884" s="22"/>
      <c r="M884" s="1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</row>
    <row r="885" spans="1:29" ht="11.25" customHeight="1">
      <c r="A885" s="22"/>
      <c r="B885" s="22"/>
      <c r="C885" s="22"/>
      <c r="D885" s="22"/>
      <c r="E885" s="22"/>
      <c r="F885" s="22"/>
      <c r="G885" s="1"/>
      <c r="H885" s="22"/>
      <c r="I885" s="22"/>
      <c r="J885" s="22"/>
      <c r="K885" s="22"/>
      <c r="L885" s="22"/>
      <c r="M885" s="1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</row>
    <row r="886" spans="1:29" ht="11.25" customHeight="1">
      <c r="A886" s="22"/>
      <c r="B886" s="22"/>
      <c r="C886" s="22"/>
      <c r="D886" s="22"/>
      <c r="E886" s="22"/>
      <c r="F886" s="22"/>
      <c r="G886" s="1"/>
      <c r="H886" s="22"/>
      <c r="I886" s="22"/>
      <c r="J886" s="22"/>
      <c r="K886" s="22"/>
      <c r="L886" s="22"/>
      <c r="M886" s="1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</row>
    <row r="887" spans="1:29" ht="11.25" customHeight="1">
      <c r="A887" s="22"/>
      <c r="B887" s="22"/>
      <c r="C887" s="22"/>
      <c r="D887" s="22"/>
      <c r="E887" s="22"/>
      <c r="F887" s="22"/>
      <c r="G887" s="1"/>
      <c r="H887" s="22"/>
      <c r="I887" s="22"/>
      <c r="J887" s="22"/>
      <c r="K887" s="22"/>
      <c r="L887" s="22"/>
      <c r="M887" s="1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</row>
    <row r="888" spans="1:29" ht="11.25" customHeight="1">
      <c r="A888" s="22"/>
      <c r="B888" s="22"/>
      <c r="C888" s="22"/>
      <c r="D888" s="22"/>
      <c r="E888" s="22"/>
      <c r="F888" s="22"/>
      <c r="G888" s="1"/>
      <c r="H888" s="22"/>
      <c r="I888" s="22"/>
      <c r="J888" s="22"/>
      <c r="K888" s="22"/>
      <c r="L888" s="22"/>
      <c r="M888" s="1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</row>
    <row r="889" spans="1:29" ht="11.25" customHeight="1">
      <c r="A889" s="22"/>
      <c r="B889" s="22"/>
      <c r="C889" s="22"/>
      <c r="D889" s="22"/>
      <c r="E889" s="22"/>
      <c r="F889" s="22"/>
      <c r="G889" s="1"/>
      <c r="H889" s="22"/>
      <c r="I889" s="22"/>
      <c r="J889" s="22"/>
      <c r="K889" s="22"/>
      <c r="L889" s="22"/>
      <c r="M889" s="1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</row>
    <row r="890" spans="1:29" ht="11.25" customHeight="1">
      <c r="A890" s="22"/>
      <c r="B890" s="22"/>
      <c r="C890" s="22"/>
      <c r="D890" s="22"/>
      <c r="E890" s="22"/>
      <c r="F890" s="22"/>
      <c r="G890" s="1"/>
      <c r="H890" s="22"/>
      <c r="I890" s="22"/>
      <c r="J890" s="22"/>
      <c r="K890" s="22"/>
      <c r="L890" s="22"/>
      <c r="M890" s="1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</row>
    <row r="891" spans="1:29" ht="11.25" customHeight="1">
      <c r="A891" s="22"/>
      <c r="B891" s="22"/>
      <c r="C891" s="22"/>
      <c r="D891" s="22"/>
      <c r="E891" s="22"/>
      <c r="F891" s="22"/>
      <c r="G891" s="1"/>
      <c r="H891" s="22"/>
      <c r="I891" s="22"/>
      <c r="J891" s="22"/>
      <c r="K891" s="22"/>
      <c r="L891" s="22"/>
      <c r="M891" s="1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</row>
    <row r="892" spans="1:29" ht="11.25" customHeight="1">
      <c r="A892" s="22"/>
      <c r="B892" s="22"/>
      <c r="C892" s="22"/>
      <c r="D892" s="22"/>
      <c r="E892" s="22"/>
      <c r="F892" s="22"/>
      <c r="G892" s="1"/>
      <c r="H892" s="22"/>
      <c r="I892" s="22"/>
      <c r="J892" s="22"/>
      <c r="K892" s="22"/>
      <c r="L892" s="22"/>
      <c r="M892" s="1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</row>
    <row r="893" spans="1:29" ht="11.25" customHeight="1">
      <c r="A893" s="22"/>
      <c r="B893" s="22"/>
      <c r="C893" s="22"/>
      <c r="D893" s="22"/>
      <c r="E893" s="22"/>
      <c r="F893" s="22"/>
      <c r="G893" s="1"/>
      <c r="H893" s="22"/>
      <c r="I893" s="22"/>
      <c r="J893" s="22"/>
      <c r="K893" s="22"/>
      <c r="L893" s="22"/>
      <c r="M893" s="1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</row>
    <row r="894" spans="1:29" ht="11.25" customHeight="1">
      <c r="A894" s="22"/>
      <c r="B894" s="22"/>
      <c r="C894" s="22"/>
      <c r="D894" s="22"/>
      <c r="E894" s="22"/>
      <c r="F894" s="22"/>
      <c r="G894" s="1"/>
      <c r="H894" s="22"/>
      <c r="I894" s="22"/>
      <c r="J894" s="22"/>
      <c r="K894" s="22"/>
      <c r="L894" s="22"/>
      <c r="M894" s="1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</row>
    <row r="895" spans="1:29" ht="11.25" customHeight="1">
      <c r="A895" s="22"/>
      <c r="B895" s="22"/>
      <c r="C895" s="22"/>
      <c r="D895" s="22"/>
      <c r="E895" s="22"/>
      <c r="F895" s="22"/>
      <c r="G895" s="1"/>
      <c r="H895" s="22"/>
      <c r="I895" s="22"/>
      <c r="J895" s="22"/>
      <c r="K895" s="22"/>
      <c r="L895" s="22"/>
      <c r="M895" s="1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</row>
    <row r="896" spans="1:29" ht="11.25" customHeight="1">
      <c r="A896" s="22"/>
      <c r="B896" s="22"/>
      <c r="C896" s="22"/>
      <c r="D896" s="22"/>
      <c r="E896" s="22"/>
      <c r="F896" s="22"/>
      <c r="G896" s="1"/>
      <c r="H896" s="22"/>
      <c r="I896" s="22"/>
      <c r="J896" s="22"/>
      <c r="K896" s="22"/>
      <c r="L896" s="22"/>
      <c r="M896" s="1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</row>
    <row r="897" spans="1:29" ht="11.25" customHeight="1">
      <c r="A897" s="22"/>
      <c r="B897" s="22"/>
      <c r="C897" s="22"/>
      <c r="D897" s="22"/>
      <c r="E897" s="22"/>
      <c r="F897" s="22"/>
      <c r="G897" s="1"/>
      <c r="H897" s="22"/>
      <c r="I897" s="22"/>
      <c r="J897" s="22"/>
      <c r="K897" s="22"/>
      <c r="L897" s="22"/>
      <c r="M897" s="1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</row>
    <row r="898" spans="1:29" ht="11.25" customHeight="1">
      <c r="A898" s="22"/>
      <c r="B898" s="22"/>
      <c r="C898" s="22"/>
      <c r="D898" s="22"/>
      <c r="E898" s="22"/>
      <c r="F898" s="22"/>
      <c r="G898" s="1"/>
      <c r="H898" s="22"/>
      <c r="I898" s="22"/>
      <c r="J898" s="22"/>
      <c r="K898" s="22"/>
      <c r="L898" s="22"/>
      <c r="M898" s="1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</row>
    <row r="899" spans="1:29" ht="11.25" customHeight="1">
      <c r="A899" s="22"/>
      <c r="B899" s="22"/>
      <c r="C899" s="22"/>
      <c r="D899" s="22"/>
      <c r="E899" s="22"/>
      <c r="F899" s="22"/>
      <c r="G899" s="1"/>
      <c r="H899" s="22"/>
      <c r="I899" s="22"/>
      <c r="J899" s="22"/>
      <c r="K899" s="22"/>
      <c r="L899" s="22"/>
      <c r="M899" s="1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</row>
    <row r="900" spans="1:29" ht="11.25" customHeight="1">
      <c r="A900" s="22"/>
      <c r="B900" s="22"/>
      <c r="C900" s="22"/>
      <c r="D900" s="22"/>
      <c r="E900" s="22"/>
      <c r="F900" s="22"/>
      <c r="G900" s="1"/>
      <c r="H900" s="22"/>
      <c r="I900" s="22"/>
      <c r="J900" s="22"/>
      <c r="K900" s="22"/>
      <c r="L900" s="22"/>
      <c r="M900" s="1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</row>
    <row r="901" spans="1:29" ht="11.25" customHeight="1">
      <c r="A901" s="22"/>
      <c r="B901" s="22"/>
      <c r="C901" s="22"/>
      <c r="D901" s="22"/>
      <c r="E901" s="22"/>
      <c r="F901" s="22"/>
      <c r="G901" s="1"/>
      <c r="H901" s="22"/>
      <c r="I901" s="22"/>
      <c r="J901" s="22"/>
      <c r="K901" s="22"/>
      <c r="L901" s="22"/>
      <c r="M901" s="1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</row>
    <row r="902" spans="1:29" ht="11.25" customHeight="1">
      <c r="A902" s="22"/>
      <c r="B902" s="22"/>
      <c r="C902" s="22"/>
      <c r="D902" s="22"/>
      <c r="E902" s="22"/>
      <c r="F902" s="22"/>
      <c r="G902" s="1"/>
      <c r="H902" s="22"/>
      <c r="I902" s="22"/>
      <c r="J902" s="22"/>
      <c r="K902" s="22"/>
      <c r="L902" s="22"/>
      <c r="M902" s="1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</row>
    <row r="903" spans="1:29" ht="11.25" customHeight="1">
      <c r="A903" s="22"/>
      <c r="B903" s="22"/>
      <c r="C903" s="22"/>
      <c r="D903" s="22"/>
      <c r="E903" s="22"/>
      <c r="F903" s="22"/>
      <c r="G903" s="1"/>
      <c r="H903" s="22"/>
      <c r="I903" s="22"/>
      <c r="J903" s="22"/>
      <c r="K903" s="22"/>
      <c r="L903" s="22"/>
      <c r="M903" s="1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</row>
    <row r="904" spans="1:29" ht="11.25" customHeight="1">
      <c r="A904" s="22"/>
      <c r="B904" s="22"/>
      <c r="C904" s="22"/>
      <c r="D904" s="22"/>
      <c r="E904" s="22"/>
      <c r="F904" s="22"/>
      <c r="G904" s="1"/>
      <c r="H904" s="22"/>
      <c r="I904" s="22"/>
      <c r="J904" s="22"/>
      <c r="K904" s="22"/>
      <c r="L904" s="22"/>
      <c r="M904" s="1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</row>
    <row r="905" spans="1:29" ht="11.25" customHeight="1">
      <c r="A905" s="22"/>
      <c r="B905" s="22"/>
      <c r="C905" s="22"/>
      <c r="D905" s="22"/>
      <c r="E905" s="22"/>
      <c r="F905" s="22"/>
      <c r="G905" s="1"/>
      <c r="H905" s="22"/>
      <c r="I905" s="22"/>
      <c r="J905" s="22"/>
      <c r="K905" s="22"/>
      <c r="L905" s="22"/>
      <c r="M905" s="1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</row>
    <row r="906" spans="1:29" ht="11.25" customHeight="1">
      <c r="A906" s="22"/>
      <c r="B906" s="22"/>
      <c r="C906" s="22"/>
      <c r="D906" s="22"/>
      <c r="E906" s="22"/>
      <c r="F906" s="22"/>
      <c r="G906" s="1"/>
      <c r="H906" s="22"/>
      <c r="I906" s="22"/>
      <c r="J906" s="22"/>
      <c r="K906" s="22"/>
      <c r="L906" s="22"/>
      <c r="M906" s="1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</row>
    <row r="907" spans="1:29" ht="11.25" customHeight="1">
      <c r="A907" s="22"/>
      <c r="B907" s="22"/>
      <c r="C907" s="22"/>
      <c r="D907" s="22"/>
      <c r="E907" s="22"/>
      <c r="F907" s="22"/>
      <c r="G907" s="1"/>
      <c r="H907" s="22"/>
      <c r="I907" s="22"/>
      <c r="J907" s="22"/>
      <c r="K907" s="22"/>
      <c r="L907" s="22"/>
      <c r="M907" s="1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</row>
    <row r="908" spans="1:29" ht="11.25" customHeight="1">
      <c r="A908" s="22"/>
      <c r="B908" s="22"/>
      <c r="C908" s="22"/>
      <c r="D908" s="22"/>
      <c r="E908" s="22"/>
      <c r="F908" s="22"/>
      <c r="G908" s="1"/>
      <c r="H908" s="22"/>
      <c r="I908" s="22"/>
      <c r="J908" s="22"/>
      <c r="K908" s="22"/>
      <c r="L908" s="22"/>
      <c r="M908" s="1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</row>
    <row r="909" spans="1:29" ht="11.25" customHeight="1">
      <c r="A909" s="22"/>
      <c r="B909" s="22"/>
      <c r="C909" s="22"/>
      <c r="D909" s="22"/>
      <c r="E909" s="22"/>
      <c r="F909" s="22"/>
      <c r="G909" s="1"/>
      <c r="H909" s="22"/>
      <c r="I909" s="22"/>
      <c r="J909" s="22"/>
      <c r="K909" s="22"/>
      <c r="L909" s="22"/>
      <c r="M909" s="1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</row>
    <row r="910" spans="1:29" ht="11.25" customHeight="1">
      <c r="A910" s="22"/>
      <c r="B910" s="22"/>
      <c r="C910" s="22"/>
      <c r="D910" s="22"/>
      <c r="E910" s="22"/>
      <c r="F910" s="22"/>
      <c r="G910" s="1"/>
      <c r="H910" s="22"/>
      <c r="I910" s="22"/>
      <c r="J910" s="22"/>
      <c r="K910" s="22"/>
      <c r="L910" s="22"/>
      <c r="M910" s="1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</row>
    <row r="911" spans="1:29" ht="11.25" customHeight="1">
      <c r="A911" s="22"/>
      <c r="B911" s="22"/>
      <c r="C911" s="22"/>
      <c r="D911" s="22"/>
      <c r="E911" s="22"/>
      <c r="F911" s="22"/>
      <c r="G911" s="1"/>
      <c r="H911" s="22"/>
      <c r="I911" s="22"/>
      <c r="J911" s="22"/>
      <c r="K911" s="22"/>
      <c r="L911" s="22"/>
      <c r="M911" s="1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</row>
    <row r="912" spans="1:29" ht="11.25" customHeight="1">
      <c r="A912" s="22"/>
      <c r="B912" s="22"/>
      <c r="C912" s="22"/>
      <c r="D912" s="22"/>
      <c r="E912" s="22"/>
      <c r="F912" s="22"/>
      <c r="G912" s="1"/>
      <c r="H912" s="22"/>
      <c r="I912" s="22"/>
      <c r="J912" s="22"/>
      <c r="K912" s="22"/>
      <c r="L912" s="22"/>
      <c r="M912" s="1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</row>
    <row r="913" spans="1:29" ht="11.25" customHeight="1">
      <c r="A913" s="22"/>
      <c r="B913" s="22"/>
      <c r="C913" s="22"/>
      <c r="D913" s="22"/>
      <c r="E913" s="22"/>
      <c r="F913" s="22"/>
      <c r="G913" s="1"/>
      <c r="H913" s="22"/>
      <c r="I913" s="22"/>
      <c r="J913" s="22"/>
      <c r="K913" s="22"/>
      <c r="L913" s="22"/>
      <c r="M913" s="1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</row>
    <row r="914" spans="1:29" ht="11.25" customHeight="1">
      <c r="A914" s="22"/>
      <c r="B914" s="22"/>
      <c r="C914" s="22"/>
      <c r="D914" s="22"/>
      <c r="E914" s="22"/>
      <c r="F914" s="22"/>
      <c r="G914" s="1"/>
      <c r="H914" s="22"/>
      <c r="I914" s="22"/>
      <c r="J914" s="22"/>
      <c r="K914" s="22"/>
      <c r="L914" s="22"/>
      <c r="M914" s="1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</row>
    <row r="915" spans="1:29" ht="11.25" customHeight="1">
      <c r="A915" s="22"/>
      <c r="B915" s="22"/>
      <c r="C915" s="22"/>
      <c r="D915" s="22"/>
      <c r="E915" s="22"/>
      <c r="F915" s="22"/>
      <c r="G915" s="1"/>
      <c r="H915" s="22"/>
      <c r="I915" s="22"/>
      <c r="J915" s="22"/>
      <c r="K915" s="22"/>
      <c r="L915" s="22"/>
      <c r="M915" s="1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</row>
    <row r="916" spans="1:29" ht="11.25" customHeight="1">
      <c r="A916" s="22"/>
      <c r="B916" s="22"/>
      <c r="C916" s="22"/>
      <c r="D916" s="22"/>
      <c r="E916" s="22"/>
      <c r="F916" s="22"/>
      <c r="G916" s="1"/>
      <c r="H916" s="22"/>
      <c r="I916" s="22"/>
      <c r="J916" s="22"/>
      <c r="K916" s="22"/>
      <c r="L916" s="22"/>
      <c r="M916" s="1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</row>
    <row r="917" spans="1:29" ht="11.25" customHeight="1">
      <c r="A917" s="22"/>
      <c r="B917" s="22"/>
      <c r="C917" s="22"/>
      <c r="D917" s="22"/>
      <c r="E917" s="22"/>
      <c r="F917" s="22"/>
      <c r="G917" s="1"/>
      <c r="H917" s="22"/>
      <c r="I917" s="22"/>
      <c r="J917" s="22"/>
      <c r="K917" s="22"/>
      <c r="L917" s="22"/>
      <c r="M917" s="1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</row>
    <row r="918" spans="1:29" ht="11.25" customHeight="1">
      <c r="A918" s="22"/>
      <c r="B918" s="22"/>
      <c r="C918" s="22"/>
      <c r="D918" s="22"/>
      <c r="E918" s="22"/>
      <c r="F918" s="22"/>
      <c r="G918" s="1"/>
      <c r="H918" s="22"/>
      <c r="I918" s="22"/>
      <c r="J918" s="22"/>
      <c r="K918" s="22"/>
      <c r="L918" s="22"/>
      <c r="M918" s="1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</row>
    <row r="919" spans="1:29" ht="11.25" customHeight="1">
      <c r="A919" s="22"/>
      <c r="B919" s="22"/>
      <c r="C919" s="22"/>
      <c r="D919" s="22"/>
      <c r="E919" s="22"/>
      <c r="F919" s="22"/>
      <c r="G919" s="1"/>
      <c r="H919" s="22"/>
      <c r="I919" s="22"/>
      <c r="J919" s="22"/>
      <c r="K919" s="22"/>
      <c r="L919" s="22"/>
      <c r="M919" s="1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</row>
    <row r="920" spans="1:29" ht="11.25" customHeight="1">
      <c r="A920" s="22"/>
      <c r="B920" s="22"/>
      <c r="C920" s="22"/>
      <c r="D920" s="22"/>
      <c r="E920" s="22"/>
      <c r="F920" s="22"/>
      <c r="G920" s="1"/>
      <c r="H920" s="22"/>
      <c r="I920" s="22"/>
      <c r="J920" s="22"/>
      <c r="K920" s="22"/>
      <c r="L920" s="22"/>
      <c r="M920" s="1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</row>
    <row r="921" spans="1:29" ht="11.25" customHeight="1">
      <c r="A921" s="22"/>
      <c r="B921" s="22"/>
      <c r="C921" s="22"/>
      <c r="D921" s="22"/>
      <c r="E921" s="22"/>
      <c r="F921" s="22"/>
      <c r="G921" s="1"/>
      <c r="H921" s="22"/>
      <c r="I921" s="22"/>
      <c r="J921" s="22"/>
      <c r="K921" s="22"/>
      <c r="L921" s="22"/>
      <c r="M921" s="1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</row>
    <row r="922" spans="1:29" ht="11.25" customHeight="1">
      <c r="A922" s="22"/>
      <c r="B922" s="22"/>
      <c r="C922" s="22"/>
      <c r="D922" s="22"/>
      <c r="E922" s="22"/>
      <c r="F922" s="22"/>
      <c r="G922" s="1"/>
      <c r="H922" s="22"/>
      <c r="I922" s="22"/>
      <c r="J922" s="22"/>
      <c r="K922" s="22"/>
      <c r="L922" s="22"/>
      <c r="M922" s="1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</row>
    <row r="923" spans="1:29" ht="11.25" customHeight="1">
      <c r="A923" s="22"/>
      <c r="B923" s="22"/>
      <c r="C923" s="22"/>
      <c r="D923" s="22"/>
      <c r="E923" s="22"/>
      <c r="F923" s="22"/>
      <c r="G923" s="1"/>
      <c r="H923" s="22"/>
      <c r="I923" s="22"/>
      <c r="J923" s="22"/>
      <c r="K923" s="22"/>
      <c r="L923" s="22"/>
      <c r="M923" s="1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</row>
    <row r="924" spans="1:29" ht="11.25" customHeight="1">
      <c r="A924" s="22"/>
      <c r="B924" s="22"/>
      <c r="C924" s="22"/>
      <c r="D924" s="22"/>
      <c r="E924" s="22"/>
      <c r="F924" s="22"/>
      <c r="G924" s="1"/>
      <c r="H924" s="22"/>
      <c r="I924" s="22"/>
      <c r="J924" s="22"/>
      <c r="K924" s="22"/>
      <c r="L924" s="22"/>
      <c r="M924" s="1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</row>
    <row r="925" spans="1:29" ht="11.25" customHeight="1">
      <c r="A925" s="22"/>
      <c r="B925" s="22"/>
      <c r="C925" s="22"/>
      <c r="D925" s="22"/>
      <c r="E925" s="22"/>
      <c r="F925" s="22"/>
      <c r="G925" s="1"/>
      <c r="H925" s="22"/>
      <c r="I925" s="22"/>
      <c r="J925" s="22"/>
      <c r="K925" s="22"/>
      <c r="L925" s="22"/>
      <c r="M925" s="1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</row>
    <row r="926" spans="1:29" ht="11.25" customHeight="1">
      <c r="A926" s="22"/>
      <c r="B926" s="22"/>
      <c r="C926" s="22"/>
      <c r="D926" s="22"/>
      <c r="E926" s="22"/>
      <c r="F926" s="22"/>
      <c r="G926" s="1"/>
      <c r="H926" s="22"/>
      <c r="I926" s="22"/>
      <c r="J926" s="22"/>
      <c r="K926" s="22"/>
      <c r="L926" s="22"/>
      <c r="M926" s="1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</row>
    <row r="927" spans="1:29" ht="11.25" customHeight="1">
      <c r="A927" s="22"/>
      <c r="B927" s="22"/>
      <c r="C927" s="22"/>
      <c r="D927" s="22"/>
      <c r="E927" s="22"/>
      <c r="F927" s="22"/>
      <c r="G927" s="1"/>
      <c r="H927" s="22"/>
      <c r="I927" s="22"/>
      <c r="J927" s="22"/>
      <c r="K927" s="22"/>
      <c r="L927" s="22"/>
      <c r="M927" s="1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</row>
    <row r="928" spans="1:29" ht="11.25" customHeight="1">
      <c r="A928" s="22"/>
      <c r="B928" s="22"/>
      <c r="C928" s="22"/>
      <c r="D928" s="22"/>
      <c r="E928" s="22"/>
      <c r="F928" s="22"/>
      <c r="G928" s="1"/>
      <c r="H928" s="22"/>
      <c r="I928" s="22"/>
      <c r="J928" s="22"/>
      <c r="K928" s="22"/>
      <c r="L928" s="22"/>
      <c r="M928" s="1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</row>
    <row r="929" spans="1:29" ht="11.25" customHeight="1">
      <c r="A929" s="22"/>
      <c r="B929" s="22"/>
      <c r="C929" s="22"/>
      <c r="D929" s="22"/>
      <c r="E929" s="22"/>
      <c r="F929" s="22"/>
      <c r="G929" s="1"/>
      <c r="H929" s="22"/>
      <c r="I929" s="22"/>
      <c r="J929" s="22"/>
      <c r="K929" s="22"/>
      <c r="L929" s="22"/>
      <c r="M929" s="1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</row>
    <row r="930" spans="1:29" ht="11.25" customHeight="1">
      <c r="A930" s="22"/>
      <c r="B930" s="22"/>
      <c r="C930" s="22"/>
      <c r="D930" s="22"/>
      <c r="E930" s="22"/>
      <c r="F930" s="22"/>
      <c r="G930" s="1"/>
      <c r="H930" s="22"/>
      <c r="I930" s="22"/>
      <c r="J930" s="22"/>
      <c r="K930" s="22"/>
      <c r="L930" s="22"/>
      <c r="M930" s="1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</row>
    <row r="931" spans="1:29" ht="11.25" customHeight="1">
      <c r="A931" s="22"/>
      <c r="B931" s="22"/>
      <c r="C931" s="22"/>
      <c r="D931" s="22"/>
      <c r="E931" s="22"/>
      <c r="F931" s="22"/>
      <c r="G931" s="1"/>
      <c r="H931" s="22"/>
      <c r="I931" s="22"/>
      <c r="J931" s="22"/>
      <c r="K931" s="22"/>
      <c r="L931" s="22"/>
      <c r="M931" s="1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</row>
    <row r="932" spans="1:29" ht="11.25" customHeight="1">
      <c r="A932" s="22"/>
      <c r="B932" s="22"/>
      <c r="C932" s="22"/>
      <c r="D932" s="22"/>
      <c r="E932" s="22"/>
      <c r="F932" s="22"/>
      <c r="G932" s="1"/>
      <c r="H932" s="22"/>
      <c r="I932" s="22"/>
      <c r="J932" s="22"/>
      <c r="K932" s="22"/>
      <c r="L932" s="22"/>
      <c r="M932" s="1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</row>
    <row r="933" spans="1:29" ht="11.25" customHeight="1">
      <c r="A933" s="22"/>
      <c r="B933" s="22"/>
      <c r="C933" s="22"/>
      <c r="D933" s="22"/>
      <c r="E933" s="22"/>
      <c r="F933" s="22"/>
      <c r="G933" s="1"/>
      <c r="H933" s="22"/>
      <c r="I933" s="22"/>
      <c r="J933" s="22"/>
      <c r="K933" s="22"/>
      <c r="L933" s="22"/>
      <c r="M933" s="1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</row>
    <row r="934" spans="1:29" ht="11.25" customHeight="1">
      <c r="A934" s="22"/>
      <c r="B934" s="22"/>
      <c r="C934" s="22"/>
      <c r="D934" s="22"/>
      <c r="E934" s="22"/>
      <c r="F934" s="22"/>
      <c r="G934" s="1"/>
      <c r="H934" s="22"/>
      <c r="I934" s="22"/>
      <c r="J934" s="22"/>
      <c r="K934" s="22"/>
      <c r="L934" s="22"/>
      <c r="M934" s="1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</row>
    <row r="935" spans="1:29" ht="11.25" customHeight="1">
      <c r="A935" s="22"/>
      <c r="B935" s="22"/>
      <c r="C935" s="22"/>
      <c r="D935" s="22"/>
      <c r="E935" s="22"/>
      <c r="F935" s="22"/>
      <c r="G935" s="1"/>
      <c r="H935" s="22"/>
      <c r="I935" s="22"/>
      <c r="J935" s="22"/>
      <c r="K935" s="22"/>
      <c r="L935" s="22"/>
      <c r="M935" s="1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</row>
    <row r="936" spans="1:29" ht="11.25" customHeight="1">
      <c r="A936" s="22"/>
      <c r="B936" s="22"/>
      <c r="C936" s="22"/>
      <c r="D936" s="22"/>
      <c r="E936" s="22"/>
      <c r="F936" s="22"/>
      <c r="G936" s="1"/>
      <c r="H936" s="22"/>
      <c r="I936" s="22"/>
      <c r="J936" s="22"/>
      <c r="K936" s="22"/>
      <c r="L936" s="22"/>
      <c r="M936" s="1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</row>
    <row r="937" spans="1:29" ht="11.25" customHeight="1">
      <c r="A937" s="22"/>
      <c r="B937" s="22"/>
      <c r="C937" s="22"/>
      <c r="D937" s="22"/>
      <c r="E937" s="22"/>
      <c r="F937" s="22"/>
      <c r="G937" s="1"/>
      <c r="H937" s="22"/>
      <c r="I937" s="22"/>
      <c r="J937" s="22"/>
      <c r="K937" s="22"/>
      <c r="L937" s="22"/>
      <c r="M937" s="1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</row>
    <row r="938" spans="1:29" ht="11.25" customHeight="1">
      <c r="A938" s="22"/>
      <c r="B938" s="22"/>
      <c r="C938" s="22"/>
      <c r="D938" s="22"/>
      <c r="E938" s="22"/>
      <c r="F938" s="22"/>
      <c r="G938" s="1"/>
      <c r="H938" s="22"/>
      <c r="I938" s="22"/>
      <c r="J938" s="22"/>
      <c r="K938" s="22"/>
      <c r="L938" s="22"/>
      <c r="M938" s="1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</row>
    <row r="939" spans="1:29" ht="11.25" customHeight="1">
      <c r="A939" s="22"/>
      <c r="B939" s="22"/>
      <c r="C939" s="22"/>
      <c r="D939" s="22"/>
      <c r="E939" s="22"/>
      <c r="F939" s="22"/>
      <c r="G939" s="1"/>
      <c r="H939" s="22"/>
      <c r="I939" s="22"/>
      <c r="J939" s="22"/>
      <c r="K939" s="22"/>
      <c r="L939" s="22"/>
      <c r="M939" s="1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</row>
    <row r="940" spans="1:29" ht="11.25" customHeight="1">
      <c r="A940" s="22"/>
      <c r="B940" s="22"/>
      <c r="C940" s="22"/>
      <c r="D940" s="22"/>
      <c r="E940" s="22"/>
      <c r="F940" s="22"/>
      <c r="G940" s="1"/>
      <c r="H940" s="22"/>
      <c r="I940" s="22"/>
      <c r="J940" s="22"/>
      <c r="K940" s="22"/>
      <c r="L940" s="22"/>
      <c r="M940" s="1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</row>
    <row r="941" spans="1:29" ht="11.25" customHeight="1">
      <c r="A941" s="22"/>
      <c r="B941" s="22"/>
      <c r="C941" s="22"/>
      <c r="D941" s="22"/>
      <c r="E941" s="22"/>
      <c r="F941" s="22"/>
      <c r="G941" s="1"/>
      <c r="H941" s="22"/>
      <c r="I941" s="22"/>
      <c r="J941" s="22"/>
      <c r="K941" s="22"/>
      <c r="L941" s="22"/>
      <c r="M941" s="1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</row>
    <row r="942" spans="1:29" ht="11.25" customHeight="1">
      <c r="A942" s="22"/>
      <c r="B942" s="22"/>
      <c r="C942" s="22"/>
      <c r="D942" s="22"/>
      <c r="E942" s="22"/>
      <c r="F942" s="22"/>
      <c r="G942" s="1"/>
      <c r="H942" s="22"/>
      <c r="I942" s="22"/>
      <c r="J942" s="22"/>
      <c r="K942" s="22"/>
      <c r="L942" s="22"/>
      <c r="M942" s="1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</row>
    <row r="943" spans="1:29" ht="11.25" customHeight="1">
      <c r="A943" s="22"/>
      <c r="B943" s="22"/>
      <c r="C943" s="22"/>
      <c r="D943" s="22"/>
      <c r="E943" s="22"/>
      <c r="F943" s="22"/>
      <c r="G943" s="1"/>
      <c r="H943" s="22"/>
      <c r="I943" s="22"/>
      <c r="J943" s="22"/>
      <c r="K943" s="22"/>
      <c r="L943" s="22"/>
      <c r="M943" s="1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</row>
    <row r="944" spans="1:29" ht="11.25" customHeight="1">
      <c r="A944" s="22"/>
      <c r="B944" s="22"/>
      <c r="C944" s="22"/>
      <c r="D944" s="22"/>
      <c r="E944" s="22"/>
      <c r="F944" s="22"/>
      <c r="G944" s="1"/>
      <c r="H944" s="22"/>
      <c r="I944" s="22"/>
      <c r="J944" s="22"/>
      <c r="K944" s="22"/>
      <c r="L944" s="22"/>
      <c r="M944" s="1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</row>
    <row r="945" spans="1:29" ht="11.25" customHeight="1">
      <c r="A945" s="22"/>
      <c r="B945" s="22"/>
      <c r="C945" s="22"/>
      <c r="D945" s="22"/>
      <c r="E945" s="22"/>
      <c r="F945" s="22"/>
      <c r="G945" s="1"/>
      <c r="H945" s="22"/>
      <c r="I945" s="22"/>
      <c r="J945" s="22"/>
      <c r="K945" s="22"/>
      <c r="L945" s="22"/>
      <c r="M945" s="1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</row>
    <row r="946" spans="1:29" ht="11.25" customHeight="1">
      <c r="A946" s="22"/>
      <c r="B946" s="22"/>
      <c r="C946" s="22"/>
      <c r="D946" s="22"/>
      <c r="E946" s="22"/>
      <c r="F946" s="22"/>
      <c r="G946" s="1"/>
      <c r="H946" s="22"/>
      <c r="I946" s="22"/>
      <c r="J946" s="22"/>
      <c r="K946" s="22"/>
      <c r="L946" s="22"/>
      <c r="M946" s="1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</row>
    <row r="947" spans="1:29" ht="11.25" customHeight="1">
      <c r="A947" s="22"/>
      <c r="B947" s="22"/>
      <c r="C947" s="22"/>
      <c r="D947" s="22"/>
      <c r="E947" s="22"/>
      <c r="F947" s="22"/>
      <c r="G947" s="1"/>
      <c r="H947" s="22"/>
      <c r="I947" s="22"/>
      <c r="J947" s="22"/>
      <c r="K947" s="22"/>
      <c r="L947" s="22"/>
      <c r="M947" s="1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</row>
    <row r="948" spans="1:29" ht="11.25" customHeight="1">
      <c r="A948" s="22"/>
      <c r="B948" s="22"/>
      <c r="C948" s="22"/>
      <c r="D948" s="22"/>
      <c r="E948" s="22"/>
      <c r="F948" s="22"/>
      <c r="G948" s="1"/>
      <c r="H948" s="22"/>
      <c r="I948" s="22"/>
      <c r="J948" s="22"/>
      <c r="K948" s="22"/>
      <c r="L948" s="22"/>
      <c r="M948" s="1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</row>
    <row r="949" spans="1:29" ht="11.25" customHeight="1">
      <c r="A949" s="22"/>
      <c r="B949" s="22"/>
      <c r="C949" s="22"/>
      <c r="D949" s="22"/>
      <c r="E949" s="22"/>
      <c r="F949" s="22"/>
      <c r="G949" s="1"/>
      <c r="H949" s="22"/>
      <c r="I949" s="22"/>
      <c r="J949" s="22"/>
      <c r="K949" s="22"/>
      <c r="L949" s="22"/>
      <c r="M949" s="1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</row>
    <row r="950" spans="1:29" ht="11.25" customHeight="1">
      <c r="A950" s="22"/>
      <c r="B950" s="22"/>
      <c r="C950" s="22"/>
      <c r="D950" s="22"/>
      <c r="E950" s="22"/>
      <c r="F950" s="22"/>
      <c r="G950" s="1"/>
      <c r="H950" s="22"/>
      <c r="I950" s="22"/>
      <c r="J950" s="22"/>
      <c r="K950" s="22"/>
      <c r="L950" s="22"/>
      <c r="M950" s="1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</row>
    <row r="951" spans="1:29" ht="11.25" customHeight="1">
      <c r="A951" s="22"/>
      <c r="B951" s="22"/>
      <c r="C951" s="22"/>
      <c r="D951" s="22"/>
      <c r="E951" s="22"/>
      <c r="F951" s="22"/>
      <c r="G951" s="1"/>
      <c r="H951" s="22"/>
      <c r="I951" s="22"/>
      <c r="J951" s="22"/>
      <c r="K951" s="22"/>
      <c r="L951" s="22"/>
      <c r="M951" s="1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</row>
    <row r="952" spans="1:29" ht="11.25" customHeight="1">
      <c r="A952" s="22"/>
      <c r="B952" s="22"/>
      <c r="C952" s="22"/>
      <c r="D952" s="22"/>
      <c r="E952" s="22"/>
      <c r="F952" s="22"/>
      <c r="G952" s="1"/>
      <c r="H952" s="22"/>
      <c r="I952" s="22"/>
      <c r="J952" s="22"/>
      <c r="K952" s="22"/>
      <c r="L952" s="22"/>
      <c r="M952" s="1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</row>
    <row r="953" spans="1:29" ht="11.25" customHeight="1">
      <c r="A953" s="22"/>
      <c r="B953" s="22"/>
      <c r="C953" s="22"/>
      <c r="D953" s="22"/>
      <c r="E953" s="22"/>
      <c r="F953" s="22"/>
      <c r="G953" s="1"/>
      <c r="H953" s="22"/>
      <c r="I953" s="22"/>
      <c r="J953" s="22"/>
      <c r="K953" s="22"/>
      <c r="L953" s="22"/>
      <c r="M953" s="1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</row>
    <row r="954" spans="1:29" ht="11.25" customHeight="1">
      <c r="A954" s="22"/>
      <c r="B954" s="22"/>
      <c r="C954" s="22"/>
      <c r="D954" s="22"/>
      <c r="E954" s="22"/>
      <c r="F954" s="22"/>
      <c r="G954" s="1"/>
      <c r="H954" s="22"/>
      <c r="I954" s="22"/>
      <c r="J954" s="22"/>
      <c r="K954" s="22"/>
      <c r="L954" s="22"/>
      <c r="M954" s="1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</row>
    <row r="955" spans="1:29" ht="11.25" customHeight="1">
      <c r="A955" s="22"/>
      <c r="B955" s="22"/>
      <c r="C955" s="22"/>
      <c r="D955" s="22"/>
      <c r="E955" s="22"/>
      <c r="F955" s="22"/>
      <c r="G955" s="1"/>
      <c r="H955" s="22"/>
      <c r="I955" s="22"/>
      <c r="J955" s="22"/>
      <c r="K955" s="22"/>
      <c r="L955" s="22"/>
      <c r="M955" s="1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</row>
    <row r="956" spans="1:29" ht="11.25" customHeight="1">
      <c r="A956" s="22"/>
      <c r="B956" s="22"/>
      <c r="C956" s="22"/>
      <c r="D956" s="22"/>
      <c r="E956" s="22"/>
      <c r="F956" s="22"/>
      <c r="G956" s="1"/>
      <c r="H956" s="22"/>
      <c r="I956" s="22"/>
      <c r="J956" s="22"/>
      <c r="K956" s="22"/>
      <c r="L956" s="22"/>
      <c r="M956" s="1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</row>
    <row r="957" spans="1:29" ht="11.25" customHeight="1">
      <c r="A957" s="22"/>
      <c r="B957" s="22"/>
      <c r="C957" s="22"/>
      <c r="D957" s="22"/>
      <c r="E957" s="22"/>
      <c r="F957" s="22"/>
      <c r="G957" s="1"/>
      <c r="H957" s="22"/>
      <c r="I957" s="22"/>
      <c r="J957" s="22"/>
      <c r="K957" s="22"/>
      <c r="L957" s="22"/>
      <c r="M957" s="1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</row>
    <row r="958" spans="1:29" ht="11.25" customHeight="1">
      <c r="A958" s="22"/>
      <c r="B958" s="22"/>
      <c r="C958" s="22"/>
      <c r="D958" s="22"/>
      <c r="E958" s="22"/>
      <c r="F958" s="22"/>
      <c r="G958" s="1"/>
      <c r="H958" s="22"/>
      <c r="I958" s="22"/>
      <c r="J958" s="22"/>
      <c r="K958" s="22"/>
      <c r="L958" s="22"/>
      <c r="M958" s="1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</row>
    <row r="959" spans="1:29" ht="11.25" customHeight="1">
      <c r="A959" s="22"/>
      <c r="B959" s="22"/>
      <c r="C959" s="22"/>
      <c r="D959" s="22"/>
      <c r="E959" s="22"/>
      <c r="F959" s="22"/>
      <c r="G959" s="1"/>
      <c r="H959" s="22"/>
      <c r="I959" s="22"/>
      <c r="J959" s="22"/>
      <c r="K959" s="22"/>
      <c r="L959" s="22"/>
      <c r="M959" s="1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</row>
    <row r="960" spans="1:29" ht="11.25" customHeight="1">
      <c r="A960" s="22"/>
      <c r="B960" s="22"/>
      <c r="C960" s="22"/>
      <c r="D960" s="22"/>
      <c r="E960" s="22"/>
      <c r="F960" s="22"/>
      <c r="G960" s="1"/>
      <c r="H960" s="22"/>
      <c r="I960" s="22"/>
      <c r="J960" s="22"/>
      <c r="K960" s="22"/>
      <c r="L960" s="22"/>
      <c r="M960" s="1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</row>
    <row r="961" spans="1:29" ht="11.25" customHeight="1">
      <c r="A961" s="22"/>
      <c r="B961" s="22"/>
      <c r="C961" s="22"/>
      <c r="D961" s="22"/>
      <c r="E961" s="22"/>
      <c r="F961" s="22"/>
      <c r="G961" s="1"/>
      <c r="H961" s="22"/>
      <c r="I961" s="22"/>
      <c r="J961" s="22"/>
      <c r="K961" s="22"/>
      <c r="L961" s="22"/>
      <c r="M961" s="1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</row>
    <row r="962" spans="1:29" ht="11.25" customHeight="1">
      <c r="A962" s="22"/>
      <c r="B962" s="22"/>
      <c r="C962" s="22"/>
      <c r="D962" s="22"/>
      <c r="E962" s="22"/>
      <c r="F962" s="22"/>
      <c r="G962" s="1"/>
      <c r="H962" s="22"/>
      <c r="I962" s="22"/>
      <c r="J962" s="22"/>
      <c r="K962" s="22"/>
      <c r="L962" s="22"/>
      <c r="M962" s="1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</row>
    <row r="963" spans="1:29" ht="11.25" customHeight="1">
      <c r="A963" s="22"/>
      <c r="B963" s="22"/>
      <c r="C963" s="22"/>
      <c r="D963" s="22"/>
      <c r="E963" s="22"/>
      <c r="F963" s="22"/>
      <c r="G963" s="1"/>
      <c r="H963" s="22"/>
      <c r="I963" s="22"/>
      <c r="J963" s="22"/>
      <c r="K963" s="22"/>
      <c r="L963" s="22"/>
      <c r="M963" s="1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</row>
    <row r="964" spans="1:29" ht="11.25" customHeight="1">
      <c r="A964" s="22"/>
      <c r="B964" s="22"/>
      <c r="C964" s="22"/>
      <c r="D964" s="22"/>
      <c r="E964" s="22"/>
      <c r="F964" s="22"/>
      <c r="G964" s="1"/>
      <c r="H964" s="22"/>
      <c r="I964" s="22"/>
      <c r="J964" s="22"/>
      <c r="K964" s="22"/>
      <c r="L964" s="22"/>
      <c r="M964" s="1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</row>
    <row r="965" spans="1:29" ht="11.25" customHeight="1">
      <c r="A965" s="22"/>
      <c r="B965" s="22"/>
      <c r="C965" s="22"/>
      <c r="D965" s="22"/>
      <c r="E965" s="22"/>
      <c r="F965" s="22"/>
      <c r="G965" s="1"/>
      <c r="H965" s="22"/>
      <c r="I965" s="22"/>
      <c r="J965" s="22"/>
      <c r="K965" s="22"/>
      <c r="L965" s="22"/>
      <c r="M965" s="1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</row>
    <row r="966" spans="1:29" ht="11.25" customHeight="1">
      <c r="A966" s="22"/>
      <c r="B966" s="22"/>
      <c r="C966" s="22"/>
      <c r="D966" s="22"/>
      <c r="E966" s="22"/>
      <c r="F966" s="22"/>
      <c r="G966" s="1"/>
      <c r="H966" s="22"/>
      <c r="I966" s="22"/>
      <c r="J966" s="22"/>
      <c r="K966" s="22"/>
      <c r="L966" s="22"/>
      <c r="M966" s="1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</row>
    <row r="967" spans="1:29" ht="11.25" customHeight="1">
      <c r="A967" s="22"/>
      <c r="B967" s="22"/>
      <c r="C967" s="22"/>
      <c r="D967" s="22"/>
      <c r="E967" s="22"/>
      <c r="F967" s="22"/>
      <c r="G967" s="1"/>
      <c r="H967" s="22"/>
      <c r="I967" s="22"/>
      <c r="J967" s="22"/>
      <c r="K967" s="22"/>
      <c r="L967" s="22"/>
      <c r="M967" s="1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</row>
    <row r="968" spans="1:29" ht="11.25" customHeight="1">
      <c r="A968" s="22"/>
      <c r="B968" s="22"/>
      <c r="C968" s="22"/>
      <c r="D968" s="22"/>
      <c r="E968" s="22"/>
      <c r="F968" s="22"/>
      <c r="G968" s="1"/>
      <c r="H968" s="22"/>
      <c r="I968" s="22"/>
      <c r="J968" s="22"/>
      <c r="K968" s="22"/>
      <c r="L968" s="22"/>
      <c r="M968" s="1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</row>
    <row r="969" spans="1:29" ht="11.25" customHeight="1">
      <c r="A969" s="22"/>
      <c r="B969" s="22"/>
      <c r="C969" s="22"/>
      <c r="D969" s="22"/>
      <c r="E969" s="22"/>
      <c r="F969" s="22"/>
      <c r="G969" s="1"/>
      <c r="H969" s="22"/>
      <c r="I969" s="22"/>
      <c r="J969" s="22"/>
      <c r="K969" s="22"/>
      <c r="L969" s="22"/>
      <c r="M969" s="1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</row>
    <row r="970" spans="1:29" ht="11.25" customHeight="1">
      <c r="A970" s="22"/>
      <c r="B970" s="22"/>
      <c r="C970" s="22"/>
      <c r="D970" s="22"/>
      <c r="E970" s="22"/>
      <c r="F970" s="22"/>
      <c r="G970" s="1"/>
      <c r="H970" s="22"/>
      <c r="I970" s="22"/>
      <c r="J970" s="22"/>
      <c r="K970" s="22"/>
      <c r="L970" s="22"/>
      <c r="M970" s="1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</row>
    <row r="971" spans="1:29" ht="11.25" customHeight="1">
      <c r="A971" s="22"/>
      <c r="B971" s="22"/>
      <c r="C971" s="22"/>
      <c r="D971" s="22"/>
      <c r="E971" s="22"/>
      <c r="F971" s="22"/>
      <c r="G971" s="1"/>
      <c r="H971" s="22"/>
      <c r="I971" s="22"/>
      <c r="J971" s="22"/>
      <c r="K971" s="22"/>
      <c r="L971" s="22"/>
      <c r="M971" s="1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</row>
    <row r="972" spans="1:29" ht="11.25" customHeight="1">
      <c r="A972" s="22"/>
      <c r="B972" s="22"/>
      <c r="C972" s="22"/>
      <c r="D972" s="22"/>
      <c r="E972" s="22"/>
      <c r="F972" s="22"/>
      <c r="G972" s="1"/>
      <c r="H972" s="22"/>
      <c r="I972" s="22"/>
      <c r="J972" s="22"/>
      <c r="K972" s="22"/>
      <c r="L972" s="22"/>
      <c r="M972" s="1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</row>
    <row r="973" spans="1:29" ht="11.25" customHeight="1">
      <c r="A973" s="22"/>
      <c r="B973" s="22"/>
      <c r="C973" s="22"/>
      <c r="D973" s="22"/>
      <c r="E973" s="22"/>
      <c r="F973" s="22"/>
      <c r="G973" s="1"/>
      <c r="H973" s="22"/>
      <c r="I973" s="22"/>
      <c r="J973" s="22"/>
      <c r="K973" s="22"/>
      <c r="L973" s="22"/>
      <c r="M973" s="1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</row>
    <row r="974" spans="1:29" ht="11.25" customHeight="1">
      <c r="A974" s="22"/>
      <c r="B974" s="22"/>
      <c r="C974" s="22"/>
      <c r="D974" s="22"/>
      <c r="E974" s="22"/>
      <c r="F974" s="22"/>
      <c r="G974" s="1"/>
      <c r="H974" s="22"/>
      <c r="I974" s="22"/>
      <c r="J974" s="22"/>
      <c r="K974" s="22"/>
      <c r="L974" s="22"/>
      <c r="M974" s="1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</row>
    <row r="975" spans="1:29" ht="11.25" customHeight="1">
      <c r="A975" s="22"/>
      <c r="B975" s="22"/>
      <c r="C975" s="22"/>
      <c r="D975" s="22"/>
      <c r="E975" s="22"/>
      <c r="F975" s="22"/>
      <c r="G975" s="1"/>
      <c r="H975" s="22"/>
      <c r="I975" s="22"/>
      <c r="J975" s="22"/>
      <c r="K975" s="22"/>
      <c r="L975" s="22"/>
      <c r="M975" s="1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</row>
    <row r="976" spans="1:29" ht="11.25" customHeight="1">
      <c r="A976" s="22"/>
      <c r="B976" s="22"/>
      <c r="C976" s="22"/>
      <c r="D976" s="22"/>
      <c r="E976" s="22"/>
      <c r="F976" s="22"/>
      <c r="G976" s="1"/>
      <c r="H976" s="22"/>
      <c r="I976" s="22"/>
      <c r="J976" s="22"/>
      <c r="K976" s="22"/>
      <c r="L976" s="22"/>
      <c r="M976" s="1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</row>
    <row r="977" spans="1:29" ht="11.25" customHeight="1">
      <c r="A977" s="22"/>
      <c r="B977" s="22"/>
      <c r="C977" s="22"/>
      <c r="D977" s="22"/>
      <c r="E977" s="22"/>
      <c r="F977" s="22"/>
      <c r="G977" s="1"/>
      <c r="H977" s="22"/>
      <c r="I977" s="22"/>
      <c r="J977" s="22"/>
      <c r="K977" s="22"/>
      <c r="L977" s="22"/>
      <c r="M977" s="1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</row>
    <row r="978" spans="1:29" ht="11.25" customHeight="1">
      <c r="A978" s="22"/>
      <c r="B978" s="22"/>
      <c r="C978" s="22"/>
      <c r="D978" s="22"/>
      <c r="E978" s="22"/>
      <c r="F978" s="22"/>
      <c r="G978" s="1"/>
      <c r="H978" s="22"/>
      <c r="I978" s="22"/>
      <c r="J978" s="22"/>
      <c r="K978" s="22"/>
      <c r="L978" s="22"/>
      <c r="M978" s="1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</row>
    <row r="979" spans="1:29" ht="11.25" customHeight="1">
      <c r="A979" s="22"/>
      <c r="B979" s="22"/>
      <c r="C979" s="22"/>
      <c r="D979" s="22"/>
      <c r="E979" s="22"/>
      <c r="F979" s="22"/>
      <c r="G979" s="1"/>
      <c r="H979" s="22"/>
      <c r="I979" s="22"/>
      <c r="J979" s="22"/>
      <c r="K979" s="22"/>
      <c r="L979" s="22"/>
      <c r="M979" s="1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</row>
    <row r="980" spans="1:29" ht="11.25" customHeight="1">
      <c r="A980" s="22"/>
      <c r="B980" s="22"/>
      <c r="C980" s="22"/>
      <c r="D980" s="22"/>
      <c r="E980" s="22"/>
      <c r="F980" s="22"/>
      <c r="G980" s="1"/>
      <c r="H980" s="22"/>
      <c r="I980" s="22"/>
      <c r="J980" s="22"/>
      <c r="K980" s="22"/>
      <c r="L980" s="22"/>
      <c r="M980" s="1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</row>
    <row r="981" spans="1:29" ht="11.25" customHeight="1">
      <c r="A981" s="22"/>
      <c r="B981" s="22"/>
      <c r="C981" s="22"/>
      <c r="D981" s="22"/>
      <c r="E981" s="22"/>
      <c r="F981" s="22"/>
      <c r="G981" s="1"/>
      <c r="H981" s="22"/>
      <c r="I981" s="22"/>
      <c r="J981" s="22"/>
      <c r="K981" s="22"/>
      <c r="L981" s="22"/>
      <c r="M981" s="1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</row>
    <row r="982" spans="1:29" ht="11.25" customHeight="1">
      <c r="A982" s="22"/>
      <c r="B982" s="22"/>
      <c r="C982" s="22"/>
      <c r="D982" s="22"/>
      <c r="E982" s="22"/>
      <c r="F982" s="22"/>
      <c r="G982" s="1"/>
      <c r="H982" s="22"/>
      <c r="I982" s="22"/>
      <c r="J982" s="22"/>
      <c r="K982" s="22"/>
      <c r="L982" s="22"/>
      <c r="M982" s="1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</row>
    <row r="983" spans="1:29" ht="11.25" customHeight="1">
      <c r="A983" s="22"/>
      <c r="B983" s="22"/>
      <c r="C983" s="22"/>
      <c r="D983" s="22"/>
      <c r="E983" s="22"/>
      <c r="F983" s="22"/>
      <c r="G983" s="1"/>
      <c r="H983" s="22"/>
      <c r="I983" s="22"/>
      <c r="J983" s="22"/>
      <c r="K983" s="22"/>
      <c r="L983" s="22"/>
      <c r="M983" s="1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</row>
    <row r="984" spans="1:29" ht="11.25" customHeight="1">
      <c r="A984" s="22"/>
      <c r="B984" s="22"/>
      <c r="C984" s="22"/>
      <c r="D984" s="22"/>
      <c r="E984" s="22"/>
      <c r="F984" s="22"/>
      <c r="G984" s="1"/>
      <c r="H984" s="22"/>
      <c r="I984" s="22"/>
      <c r="J984" s="22"/>
      <c r="K984" s="22"/>
      <c r="L984" s="22"/>
      <c r="M984" s="1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</row>
    <row r="985" spans="1:29" ht="11.25" customHeight="1">
      <c r="A985" s="22"/>
      <c r="B985" s="22"/>
      <c r="C985" s="22"/>
      <c r="D985" s="22"/>
      <c r="E985" s="22"/>
      <c r="F985" s="22"/>
      <c r="G985" s="1"/>
      <c r="H985" s="22"/>
      <c r="I985" s="22"/>
      <c r="J985" s="22"/>
      <c r="K985" s="22"/>
      <c r="L985" s="22"/>
      <c r="M985" s="1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</row>
    <row r="986" spans="1:29" ht="11.25" customHeight="1">
      <c r="A986" s="22"/>
      <c r="B986" s="22"/>
      <c r="C986" s="22"/>
      <c r="D986" s="22"/>
      <c r="E986" s="22"/>
      <c r="F986" s="22"/>
      <c r="G986" s="1"/>
      <c r="H986" s="22"/>
      <c r="I986" s="22"/>
      <c r="J986" s="22"/>
      <c r="K986" s="22"/>
      <c r="L986" s="22"/>
      <c r="M986" s="1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</row>
    <row r="987" spans="1:29" ht="11.25" customHeight="1">
      <c r="A987" s="22"/>
      <c r="B987" s="22"/>
      <c r="C987" s="22"/>
      <c r="D987" s="22"/>
      <c r="E987" s="22"/>
      <c r="F987" s="22"/>
      <c r="G987" s="1"/>
      <c r="H987" s="22"/>
      <c r="I987" s="22"/>
      <c r="J987" s="22"/>
      <c r="K987" s="22"/>
      <c r="L987" s="22"/>
      <c r="M987" s="1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</row>
    <row r="988" spans="1:29" ht="11.25" customHeight="1">
      <c r="A988" s="22"/>
      <c r="B988" s="22"/>
      <c r="C988" s="22"/>
      <c r="D988" s="22"/>
      <c r="E988" s="22"/>
      <c r="F988" s="22"/>
      <c r="G988" s="1"/>
      <c r="H988" s="22"/>
      <c r="I988" s="22"/>
      <c r="J988" s="22"/>
      <c r="K988" s="22"/>
      <c r="L988" s="22"/>
      <c r="M988" s="1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</row>
    <row r="989" spans="1:29" ht="11.25" customHeight="1">
      <c r="A989" s="22"/>
      <c r="B989" s="22"/>
      <c r="C989" s="22"/>
      <c r="D989" s="22"/>
      <c r="E989" s="22"/>
      <c r="F989" s="22"/>
      <c r="G989" s="1"/>
      <c r="H989" s="22"/>
      <c r="I989" s="22"/>
      <c r="J989" s="22"/>
      <c r="K989" s="22"/>
      <c r="L989" s="22"/>
      <c r="M989" s="1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</row>
    <row r="990" spans="1:29" ht="11.25" customHeight="1">
      <c r="A990" s="22"/>
      <c r="B990" s="22"/>
      <c r="C990" s="22"/>
      <c r="D990" s="22"/>
      <c r="E990" s="22"/>
      <c r="F990" s="22"/>
      <c r="G990" s="1"/>
      <c r="H990" s="22"/>
      <c r="I990" s="22"/>
      <c r="J990" s="22"/>
      <c r="K990" s="22"/>
      <c r="L990" s="22"/>
      <c r="M990" s="1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</row>
    <row r="991" spans="1:29" ht="11.25" customHeight="1">
      <c r="A991" s="22"/>
      <c r="B991" s="22"/>
      <c r="C991" s="22"/>
      <c r="D991" s="22"/>
      <c r="E991" s="22"/>
      <c r="F991" s="22"/>
      <c r="G991" s="1"/>
      <c r="H991" s="22"/>
      <c r="I991" s="22"/>
      <c r="J991" s="22"/>
      <c r="K991" s="22"/>
      <c r="L991" s="22"/>
      <c r="M991" s="1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</row>
    <row r="992" spans="1:29" ht="11.25" customHeight="1">
      <c r="A992" s="22"/>
      <c r="B992" s="22"/>
      <c r="C992" s="22"/>
      <c r="D992" s="22"/>
      <c r="E992" s="22"/>
      <c r="F992" s="22"/>
      <c r="G992" s="1"/>
      <c r="H992" s="22"/>
      <c r="I992" s="22"/>
      <c r="J992" s="22"/>
      <c r="K992" s="22"/>
      <c r="L992" s="22"/>
      <c r="M992" s="1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</row>
    <row r="993" spans="1:29" ht="11.25" customHeight="1">
      <c r="A993" s="22"/>
      <c r="B993" s="22"/>
      <c r="C993" s="22"/>
      <c r="D993" s="22"/>
      <c r="E993" s="22"/>
      <c r="F993" s="22"/>
      <c r="G993" s="1"/>
      <c r="H993" s="22"/>
      <c r="I993" s="22"/>
      <c r="J993" s="22"/>
      <c r="K993" s="22"/>
      <c r="L993" s="22"/>
      <c r="M993" s="1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</row>
    <row r="994" spans="1:29" ht="11.25" customHeight="1">
      <c r="A994" s="22"/>
      <c r="B994" s="22"/>
      <c r="C994" s="22"/>
      <c r="D994" s="22"/>
      <c r="E994" s="22"/>
      <c r="F994" s="22"/>
      <c r="G994" s="1"/>
      <c r="H994" s="22"/>
      <c r="I994" s="22"/>
      <c r="J994" s="22"/>
      <c r="K994" s="22"/>
      <c r="L994" s="22"/>
      <c r="M994" s="1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</row>
    <row r="995" spans="1:29" ht="11.25" customHeight="1">
      <c r="A995" s="22"/>
      <c r="B995" s="22"/>
      <c r="C995" s="22"/>
      <c r="D995" s="22"/>
      <c r="E995" s="22"/>
      <c r="F995" s="22"/>
      <c r="G995" s="1"/>
      <c r="H995" s="22"/>
      <c r="I995" s="22"/>
      <c r="J995" s="22"/>
      <c r="K995" s="22"/>
      <c r="L995" s="22"/>
      <c r="M995" s="1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</row>
    <row r="996" spans="1:29" ht="11.25" customHeight="1">
      <c r="A996" s="22"/>
      <c r="B996" s="22"/>
      <c r="C996" s="22"/>
      <c r="D996" s="22"/>
      <c r="E996" s="22"/>
      <c r="F996" s="22"/>
      <c r="G996" s="1"/>
      <c r="H996" s="22"/>
      <c r="I996" s="22"/>
      <c r="J996" s="22"/>
      <c r="K996" s="22"/>
      <c r="L996" s="22"/>
      <c r="M996" s="1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</row>
    <row r="997" spans="1:29" ht="11.25" customHeight="1">
      <c r="A997" s="22"/>
      <c r="B997" s="22"/>
      <c r="C997" s="22"/>
      <c r="D997" s="22"/>
      <c r="E997" s="22"/>
      <c r="F997" s="22"/>
      <c r="G997" s="1"/>
      <c r="H997" s="22"/>
      <c r="I997" s="22"/>
      <c r="J997" s="22"/>
      <c r="K997" s="22"/>
      <c r="L997" s="22"/>
      <c r="M997" s="1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</row>
    <row r="998" spans="1:29" ht="11.25" customHeight="1">
      <c r="A998" s="22"/>
      <c r="B998" s="22"/>
      <c r="C998" s="22"/>
      <c r="D998" s="22"/>
      <c r="E998" s="22"/>
      <c r="F998" s="22"/>
      <c r="G998" s="1"/>
      <c r="H998" s="22"/>
      <c r="I998" s="22"/>
      <c r="J998" s="22"/>
      <c r="K998" s="22"/>
      <c r="L998" s="22"/>
      <c r="M998" s="1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</row>
    <row r="999" spans="1:29" ht="11.25" customHeight="1">
      <c r="A999" s="22"/>
      <c r="B999" s="22"/>
      <c r="C999" s="22"/>
      <c r="D999" s="22"/>
      <c r="E999" s="22"/>
      <c r="F999" s="22"/>
      <c r="G999" s="1"/>
      <c r="H999" s="22"/>
      <c r="I999" s="22"/>
      <c r="J999" s="22"/>
      <c r="K999" s="22"/>
      <c r="L999" s="22"/>
      <c r="M999" s="1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</row>
    <row r="1000" spans="1:29" ht="11.25" customHeight="1">
      <c r="A1000" s="22"/>
      <c r="B1000" s="22"/>
      <c r="C1000" s="22"/>
      <c r="D1000" s="22"/>
      <c r="E1000" s="22"/>
      <c r="F1000" s="22"/>
      <c r="G1000" s="1"/>
      <c r="H1000" s="22"/>
      <c r="I1000" s="22"/>
      <c r="J1000" s="22"/>
      <c r="K1000" s="22"/>
      <c r="L1000" s="22"/>
      <c r="M1000" s="1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/>
  </sheetViews>
  <sheetFormatPr defaultColWidth="14.42578125" defaultRowHeight="15" customHeight="1"/>
  <cols>
    <col min="1" max="1" width="26.5703125" customWidth="1"/>
    <col min="2" max="3" width="17.42578125" customWidth="1"/>
    <col min="5" max="5" width="28.42578125" customWidth="1"/>
    <col min="7" max="7" width="19.42578125" customWidth="1"/>
    <col min="9" max="9" width="26.5703125" customWidth="1"/>
    <col min="10" max="10" width="6" customWidth="1"/>
    <col min="11" max="11" width="21.28515625" customWidth="1"/>
  </cols>
  <sheetData>
    <row r="1" spans="1:9">
      <c r="A1" s="30" t="s">
        <v>1109</v>
      </c>
      <c r="B1" s="31" t="s">
        <v>1110</v>
      </c>
      <c r="C1" s="31" t="s">
        <v>1111</v>
      </c>
      <c r="D1" s="32">
        <v>2</v>
      </c>
      <c r="E1" s="22"/>
      <c r="I1" s="30"/>
    </row>
    <row r="2" spans="1:9">
      <c r="A2" s="30" t="s">
        <v>1112</v>
      </c>
      <c r="B2" s="31" t="s">
        <v>1113</v>
      </c>
      <c r="C2" s="31" t="s">
        <v>1114</v>
      </c>
      <c r="D2" s="32">
        <v>1</v>
      </c>
      <c r="E2" s="22"/>
      <c r="I2" s="30"/>
    </row>
    <row r="3" spans="1:9">
      <c r="A3" s="30" t="s">
        <v>1115</v>
      </c>
      <c r="B3" s="31" t="s">
        <v>1116</v>
      </c>
      <c r="C3" s="31" t="s">
        <v>1117</v>
      </c>
      <c r="D3" s="32">
        <v>1</v>
      </c>
      <c r="E3" s="30"/>
      <c r="F3" s="33"/>
      <c r="G3" s="34"/>
      <c r="I3" s="30"/>
    </row>
    <row r="4" spans="1:9">
      <c r="A4" s="30" t="s">
        <v>1118</v>
      </c>
      <c r="B4" s="31" t="s">
        <v>1119</v>
      </c>
      <c r="C4" s="31" t="s">
        <v>1120</v>
      </c>
      <c r="D4" s="32">
        <v>1</v>
      </c>
      <c r="E4" s="22"/>
      <c r="I4" s="30"/>
    </row>
    <row r="5" spans="1:9">
      <c r="A5" s="30" t="s">
        <v>1121</v>
      </c>
      <c r="B5" s="31" t="s">
        <v>1122</v>
      </c>
      <c r="C5" s="31" t="s">
        <v>1123</v>
      </c>
      <c r="D5" s="32">
        <v>1</v>
      </c>
      <c r="E5" s="22"/>
      <c r="I5" s="30"/>
    </row>
    <row r="6" spans="1:9">
      <c r="A6" s="30" t="s">
        <v>1124</v>
      </c>
      <c r="B6" s="31" t="s">
        <v>1125</v>
      </c>
      <c r="C6" s="31" t="s">
        <v>1123</v>
      </c>
      <c r="D6" s="32">
        <v>1</v>
      </c>
      <c r="E6" s="22"/>
      <c r="I6" s="30"/>
    </row>
    <row r="7" spans="1:9">
      <c r="A7" s="30" t="s">
        <v>1126</v>
      </c>
      <c r="B7" s="31" t="s">
        <v>1127</v>
      </c>
      <c r="C7" s="31" t="s">
        <v>1128</v>
      </c>
      <c r="D7" s="32">
        <v>1</v>
      </c>
      <c r="E7" s="22"/>
      <c r="I7" s="30"/>
    </row>
    <row r="8" spans="1:9">
      <c r="A8" s="30" t="s">
        <v>1129</v>
      </c>
      <c r="B8" s="31" t="s">
        <v>1130</v>
      </c>
      <c r="C8" s="31" t="s">
        <v>1131</v>
      </c>
      <c r="D8" s="32">
        <v>1</v>
      </c>
      <c r="E8" s="22"/>
      <c r="I8" s="30"/>
    </row>
    <row r="9" spans="1:9">
      <c r="A9" s="30" t="s">
        <v>1132</v>
      </c>
      <c r="B9" s="31" t="s">
        <v>1133</v>
      </c>
      <c r="C9" s="31" t="s">
        <v>1134</v>
      </c>
      <c r="D9" s="32">
        <v>1</v>
      </c>
      <c r="E9" s="22"/>
      <c r="I9" s="30"/>
    </row>
    <row r="10" spans="1:9">
      <c r="A10" s="30" t="s">
        <v>1135</v>
      </c>
      <c r="B10" s="31" t="s">
        <v>1136</v>
      </c>
      <c r="C10" s="31" t="s">
        <v>1137</v>
      </c>
      <c r="D10" s="32">
        <v>2</v>
      </c>
      <c r="E10" s="22"/>
      <c r="I10" s="30"/>
    </row>
    <row r="11" spans="1:9">
      <c r="A11" s="30" t="s">
        <v>1138</v>
      </c>
      <c r="B11" s="31" t="s">
        <v>1139</v>
      </c>
      <c r="C11" s="31" t="s">
        <v>1140</v>
      </c>
      <c r="D11" s="32">
        <v>1</v>
      </c>
      <c r="E11" s="22"/>
      <c r="I11" s="30"/>
    </row>
    <row r="12" spans="1:9">
      <c r="A12" s="30" t="s">
        <v>1141</v>
      </c>
      <c r="B12" s="31" t="s">
        <v>1142</v>
      </c>
      <c r="C12" s="31" t="s">
        <v>1140</v>
      </c>
      <c r="D12" s="32">
        <v>3</v>
      </c>
      <c r="E12" s="22"/>
      <c r="I12" s="30"/>
    </row>
    <row r="13" spans="1:9">
      <c r="A13" s="30" t="s">
        <v>1143</v>
      </c>
      <c r="B13" s="31" t="s">
        <v>1144</v>
      </c>
      <c r="C13" s="31" t="s">
        <v>1140</v>
      </c>
      <c r="D13" s="32">
        <v>1</v>
      </c>
      <c r="E13" s="30"/>
      <c r="F13" s="33"/>
      <c r="G13" s="35"/>
      <c r="I13" s="30"/>
    </row>
    <row r="14" spans="1:9">
      <c r="A14" s="30" t="s">
        <v>1145</v>
      </c>
      <c r="B14" s="31" t="s">
        <v>1146</v>
      </c>
      <c r="C14" s="31" t="s">
        <v>1140</v>
      </c>
      <c r="D14" s="32">
        <v>1</v>
      </c>
      <c r="E14" s="30"/>
      <c r="F14" s="33"/>
      <c r="G14" s="34"/>
      <c r="I14" s="30"/>
    </row>
    <row r="15" spans="1:9">
      <c r="A15" s="30" t="s">
        <v>1147</v>
      </c>
      <c r="B15" s="31" t="s">
        <v>1148</v>
      </c>
      <c r="C15" s="31" t="s">
        <v>1140</v>
      </c>
      <c r="D15" s="32">
        <v>1</v>
      </c>
      <c r="E15" s="30"/>
      <c r="F15" s="33"/>
      <c r="G15" s="34"/>
      <c r="I15" s="30"/>
    </row>
    <row r="16" spans="1:9">
      <c r="A16" s="30" t="s">
        <v>1149</v>
      </c>
      <c r="B16" s="31" t="s">
        <v>1150</v>
      </c>
      <c r="C16" s="31" t="s">
        <v>1140</v>
      </c>
      <c r="D16" s="32">
        <v>2</v>
      </c>
      <c r="E16" s="30"/>
      <c r="F16" s="33"/>
      <c r="G16" s="35"/>
      <c r="I16" s="30"/>
    </row>
    <row r="17" spans="1:9">
      <c r="A17" s="30" t="s">
        <v>1151</v>
      </c>
      <c r="B17" s="31" t="s">
        <v>1152</v>
      </c>
      <c r="C17" s="31" t="s">
        <v>1140</v>
      </c>
      <c r="D17" s="32">
        <v>1</v>
      </c>
      <c r="E17" s="30"/>
      <c r="F17" s="33"/>
      <c r="G17" s="34"/>
      <c r="I17" s="30"/>
    </row>
    <row r="18" spans="1:9">
      <c r="A18" s="30" t="s">
        <v>1153</v>
      </c>
      <c r="B18" s="31" t="s">
        <v>1154</v>
      </c>
      <c r="C18" s="31" t="s">
        <v>1140</v>
      </c>
      <c r="D18" s="32">
        <v>1</v>
      </c>
      <c r="E18" s="30"/>
      <c r="F18" s="33"/>
      <c r="G18" s="35"/>
      <c r="I18" s="30"/>
    </row>
    <row r="19" spans="1:9">
      <c r="A19" s="30" t="s">
        <v>1155</v>
      </c>
      <c r="B19" s="31"/>
      <c r="C19" s="31" t="s">
        <v>1140</v>
      </c>
      <c r="D19" s="32">
        <v>1</v>
      </c>
      <c r="E19" s="30"/>
      <c r="F19" s="33"/>
      <c r="G19" s="34"/>
      <c r="I19" s="30"/>
    </row>
    <row r="20" spans="1:9">
      <c r="A20" s="30" t="s">
        <v>1156</v>
      </c>
      <c r="B20" s="31" t="s">
        <v>1157</v>
      </c>
      <c r="C20" s="31" t="s">
        <v>1140</v>
      </c>
      <c r="D20" s="32">
        <v>1</v>
      </c>
      <c r="E20" s="22"/>
      <c r="I20" s="30"/>
    </row>
    <row r="21" spans="1:9">
      <c r="A21" s="30" t="s">
        <v>1158</v>
      </c>
      <c r="B21" s="31" t="s">
        <v>1159</v>
      </c>
      <c r="C21" s="31" t="s">
        <v>1140</v>
      </c>
      <c r="D21" s="32">
        <v>1</v>
      </c>
      <c r="E21" s="22"/>
      <c r="I21" s="30"/>
    </row>
    <row r="22" spans="1:9">
      <c r="A22" s="30" t="s">
        <v>1160</v>
      </c>
      <c r="B22" s="31"/>
      <c r="C22" s="31" t="s">
        <v>1140</v>
      </c>
      <c r="D22" s="32">
        <v>1</v>
      </c>
      <c r="E22" s="30"/>
      <c r="F22" s="33"/>
      <c r="G22" s="34"/>
      <c r="I22" s="30"/>
    </row>
    <row r="23" spans="1:9">
      <c r="A23" s="30" t="s">
        <v>1161</v>
      </c>
      <c r="B23" s="31" t="s">
        <v>1162</v>
      </c>
      <c r="C23" s="31" t="s">
        <v>1140</v>
      </c>
      <c r="D23" s="32">
        <v>6</v>
      </c>
      <c r="E23" s="22"/>
      <c r="I23" s="30"/>
    </row>
    <row r="24" spans="1:9">
      <c r="A24" s="30" t="s">
        <v>1163</v>
      </c>
      <c r="B24" s="31" t="s">
        <v>1164</v>
      </c>
      <c r="C24" s="31" t="s">
        <v>1140</v>
      </c>
      <c r="D24" s="32">
        <v>1</v>
      </c>
      <c r="E24" s="30"/>
      <c r="F24" s="33"/>
      <c r="G24" s="34"/>
      <c r="I24" s="30"/>
    </row>
    <row r="25" spans="1:9">
      <c r="A25" s="30" t="s">
        <v>1165</v>
      </c>
      <c r="B25" s="31" t="s">
        <v>1166</v>
      </c>
      <c r="C25" s="31" t="s">
        <v>1140</v>
      </c>
      <c r="D25" s="32">
        <v>2</v>
      </c>
      <c r="E25" s="22"/>
      <c r="I25" s="30"/>
    </row>
    <row r="26" spans="1:9">
      <c r="A26" s="30" t="s">
        <v>1167</v>
      </c>
      <c r="B26" s="31" t="s">
        <v>1168</v>
      </c>
      <c r="C26" s="31" t="s">
        <v>1140</v>
      </c>
      <c r="D26" s="32">
        <v>1</v>
      </c>
      <c r="E26" s="30"/>
      <c r="F26" s="33"/>
      <c r="G26" s="35"/>
      <c r="I26" s="30"/>
    </row>
    <row r="27" spans="1:9">
      <c r="A27" s="30" t="s">
        <v>1169</v>
      </c>
      <c r="B27" s="31" t="s">
        <v>1170</v>
      </c>
      <c r="C27" s="31" t="s">
        <v>1140</v>
      </c>
      <c r="D27" s="32">
        <v>1</v>
      </c>
      <c r="E27" s="22"/>
      <c r="I27" s="30"/>
    </row>
    <row r="28" spans="1:9">
      <c r="A28" s="30" t="s">
        <v>1171</v>
      </c>
      <c r="B28" s="31" t="s">
        <v>1172</v>
      </c>
      <c r="C28" s="31" t="s">
        <v>1140</v>
      </c>
      <c r="D28" s="32">
        <v>20</v>
      </c>
      <c r="E28" s="22"/>
      <c r="I28" s="30"/>
    </row>
    <row r="29" spans="1:9">
      <c r="A29" s="30" t="s">
        <v>1173</v>
      </c>
      <c r="B29" s="31" t="s">
        <v>1174</v>
      </c>
      <c r="C29" s="31" t="s">
        <v>1175</v>
      </c>
      <c r="D29" s="32">
        <v>1</v>
      </c>
      <c r="E29" s="30"/>
      <c r="F29" s="33"/>
      <c r="G29" s="34"/>
      <c r="I29" s="30"/>
    </row>
    <row r="30" spans="1:9">
      <c r="A30" s="30" t="s">
        <v>1176</v>
      </c>
      <c r="B30" s="31" t="s">
        <v>1177</v>
      </c>
      <c r="C30" s="31" t="s">
        <v>1175</v>
      </c>
      <c r="D30" s="32">
        <v>1</v>
      </c>
      <c r="E30" s="30"/>
      <c r="F30" s="33"/>
      <c r="G30" s="34"/>
      <c r="I30" s="30"/>
    </row>
    <row r="31" spans="1:9">
      <c r="A31" s="30" t="s">
        <v>1178</v>
      </c>
      <c r="B31" s="31" t="s">
        <v>1179</v>
      </c>
      <c r="C31" s="31" t="s">
        <v>1180</v>
      </c>
      <c r="D31" s="32">
        <v>1</v>
      </c>
      <c r="E31" s="30"/>
      <c r="F31" s="33"/>
      <c r="G31" s="34"/>
      <c r="I31" s="30"/>
    </row>
    <row r="32" spans="1:9">
      <c r="A32" s="30" t="s">
        <v>1181</v>
      </c>
      <c r="B32" s="31" t="s">
        <v>1182</v>
      </c>
      <c r="C32" s="31" t="s">
        <v>1180</v>
      </c>
      <c r="D32" s="32">
        <v>1</v>
      </c>
      <c r="E32" s="22"/>
      <c r="I32" s="30"/>
    </row>
    <row r="33" spans="1:9">
      <c r="A33" s="30" t="s">
        <v>1183</v>
      </c>
      <c r="B33" s="31" t="s">
        <v>1184</v>
      </c>
      <c r="C33" s="31" t="s">
        <v>1180</v>
      </c>
      <c r="D33" s="32">
        <v>4</v>
      </c>
      <c r="E33" s="22"/>
      <c r="I33" s="30"/>
    </row>
    <row r="34" spans="1:9">
      <c r="A34" s="30" t="s">
        <v>1185</v>
      </c>
      <c r="B34" s="31" t="s">
        <v>1186</v>
      </c>
      <c r="C34" s="31" t="s">
        <v>1180</v>
      </c>
      <c r="D34" s="32">
        <v>11</v>
      </c>
      <c r="E34" s="30"/>
      <c r="F34" s="33"/>
      <c r="G34" s="34"/>
      <c r="I34" s="30"/>
    </row>
    <row r="35" spans="1:9">
      <c r="A35" s="30" t="s">
        <v>1187</v>
      </c>
      <c r="B35" s="31" t="s">
        <v>1188</v>
      </c>
      <c r="C35" s="31" t="s">
        <v>1189</v>
      </c>
      <c r="D35" s="32">
        <v>2</v>
      </c>
      <c r="E35" s="30"/>
      <c r="F35" s="33"/>
      <c r="G35" s="34"/>
      <c r="I35" s="30"/>
    </row>
    <row r="36" spans="1:9">
      <c r="A36" s="30" t="s">
        <v>1190</v>
      </c>
      <c r="B36" s="31" t="s">
        <v>1191</v>
      </c>
      <c r="C36" s="31" t="s">
        <v>1189</v>
      </c>
      <c r="D36" s="32">
        <v>1</v>
      </c>
      <c r="E36" s="30"/>
      <c r="F36" s="33"/>
      <c r="G36" s="34"/>
      <c r="I36" s="30"/>
    </row>
    <row r="37" spans="1:9">
      <c r="A37" s="30" t="s">
        <v>1192</v>
      </c>
      <c r="B37" s="31" t="s">
        <v>1193</v>
      </c>
      <c r="C37" s="31" t="s">
        <v>1194</v>
      </c>
      <c r="D37" s="32">
        <v>1</v>
      </c>
      <c r="E37" s="30"/>
      <c r="F37" s="33"/>
      <c r="G37" s="34"/>
      <c r="I37" s="30"/>
    </row>
    <row r="38" spans="1:9">
      <c r="A38" s="30" t="s">
        <v>1195</v>
      </c>
      <c r="B38" s="31" t="s">
        <v>1196</v>
      </c>
      <c r="C38" s="31" t="s">
        <v>1194</v>
      </c>
      <c r="D38" s="32">
        <v>1</v>
      </c>
      <c r="E38" s="22"/>
      <c r="I38" s="30"/>
    </row>
    <row r="39" spans="1:9">
      <c r="A39" s="30" t="s">
        <v>1197</v>
      </c>
      <c r="B39" s="31" t="s">
        <v>1198</v>
      </c>
      <c r="C39" s="31" t="s">
        <v>1194</v>
      </c>
      <c r="D39" s="32">
        <v>1</v>
      </c>
      <c r="E39" s="22"/>
      <c r="I39" s="30"/>
    </row>
    <row r="40" spans="1:9">
      <c r="A40" s="30" t="s">
        <v>1199</v>
      </c>
      <c r="B40" s="31" t="s">
        <v>1200</v>
      </c>
      <c r="C40" s="31" t="s">
        <v>1194</v>
      </c>
      <c r="D40" s="32">
        <v>1</v>
      </c>
      <c r="E40" s="30"/>
      <c r="F40" s="33"/>
      <c r="G40" s="34"/>
      <c r="I40" s="30"/>
    </row>
    <row r="41" spans="1:9">
      <c r="A41" s="30" t="s">
        <v>1201</v>
      </c>
      <c r="B41" s="31" t="s">
        <v>1202</v>
      </c>
      <c r="C41" s="31" t="s">
        <v>1194</v>
      </c>
      <c r="D41" s="32">
        <v>1</v>
      </c>
      <c r="E41" s="22"/>
      <c r="I41" s="30"/>
    </row>
    <row r="42" spans="1:9">
      <c r="A42" s="30" t="s">
        <v>1203</v>
      </c>
      <c r="B42" s="31" t="s">
        <v>1204</v>
      </c>
      <c r="C42" s="31" t="s">
        <v>1194</v>
      </c>
      <c r="D42" s="32">
        <v>1</v>
      </c>
      <c r="E42" s="30"/>
      <c r="F42" s="33"/>
      <c r="G42" s="34"/>
      <c r="I42" s="30"/>
    </row>
    <row r="43" spans="1:9">
      <c r="A43" s="30" t="s">
        <v>1205</v>
      </c>
      <c r="B43" s="31" t="s">
        <v>1206</v>
      </c>
      <c r="C43" s="31" t="s">
        <v>1194</v>
      </c>
      <c r="D43" s="32">
        <v>1</v>
      </c>
      <c r="E43" s="30"/>
      <c r="F43" s="33"/>
      <c r="G43" s="34"/>
      <c r="I43" s="30"/>
    </row>
    <row r="44" spans="1:9">
      <c r="A44" s="30" t="s">
        <v>1207</v>
      </c>
      <c r="B44" s="31" t="s">
        <v>1208</v>
      </c>
      <c r="C44" s="31" t="s">
        <v>1194</v>
      </c>
      <c r="D44" s="32">
        <v>1</v>
      </c>
      <c r="E44" s="30"/>
      <c r="F44" s="33"/>
      <c r="G44" s="34"/>
      <c r="I44" s="30"/>
    </row>
    <row r="45" spans="1:9">
      <c r="A45" s="30" t="s">
        <v>1209</v>
      </c>
      <c r="B45" s="31" t="s">
        <v>1210</v>
      </c>
      <c r="C45" s="31" t="s">
        <v>1194</v>
      </c>
      <c r="D45" s="32">
        <v>1</v>
      </c>
      <c r="E45" s="30"/>
      <c r="F45" s="33"/>
      <c r="G45" s="35"/>
      <c r="I45" s="30"/>
    </row>
    <row r="46" spans="1:9">
      <c r="A46" s="30" t="s">
        <v>1211</v>
      </c>
      <c r="B46" s="31" t="s">
        <v>1212</v>
      </c>
      <c r="C46" s="31" t="s">
        <v>1194</v>
      </c>
      <c r="D46" s="32">
        <v>1</v>
      </c>
      <c r="E46" s="22"/>
      <c r="I46" s="30"/>
    </row>
    <row r="47" spans="1:9">
      <c r="A47" s="30" t="s">
        <v>1213</v>
      </c>
      <c r="B47" s="31" t="s">
        <v>1214</v>
      </c>
      <c r="C47" s="31" t="s">
        <v>1194</v>
      </c>
      <c r="D47" s="32">
        <v>1</v>
      </c>
      <c r="E47" s="22"/>
      <c r="I47" s="30"/>
    </row>
    <row r="48" spans="1:9">
      <c r="A48" s="30" t="s">
        <v>1215</v>
      </c>
      <c r="B48" s="31" t="s">
        <v>1216</v>
      </c>
      <c r="C48" s="31" t="s">
        <v>1194</v>
      </c>
      <c r="D48" s="32">
        <v>1</v>
      </c>
      <c r="E48" s="30"/>
      <c r="F48" s="33"/>
      <c r="G48" s="35"/>
      <c r="I48" s="30"/>
    </row>
    <row r="49" spans="1:9">
      <c r="A49" s="30" t="s">
        <v>1217</v>
      </c>
      <c r="B49" s="31" t="s">
        <v>1218</v>
      </c>
      <c r="C49" s="31" t="s">
        <v>1194</v>
      </c>
      <c r="D49" s="32">
        <v>2</v>
      </c>
      <c r="E49" s="22"/>
      <c r="I49" s="30"/>
    </row>
    <row r="50" spans="1:9">
      <c r="A50" s="30" t="s">
        <v>1219</v>
      </c>
      <c r="B50" s="31" t="s">
        <v>1220</v>
      </c>
      <c r="C50" s="31" t="s">
        <v>1194</v>
      </c>
      <c r="D50" s="32">
        <v>1</v>
      </c>
      <c r="E50" s="30"/>
      <c r="F50" s="33"/>
      <c r="G50" s="34"/>
      <c r="I50" s="30"/>
    </row>
    <row r="51" spans="1:9">
      <c r="A51" s="30" t="s">
        <v>1221</v>
      </c>
      <c r="B51" s="31" t="s">
        <v>1222</v>
      </c>
      <c r="C51" s="31" t="s">
        <v>1223</v>
      </c>
      <c r="D51" s="32">
        <v>1</v>
      </c>
      <c r="E51" s="30"/>
      <c r="F51" s="33"/>
      <c r="G51" s="34"/>
      <c r="I51" s="30"/>
    </row>
    <row r="52" spans="1:9">
      <c r="A52" s="30" t="s">
        <v>1224</v>
      </c>
      <c r="B52" s="31" t="s">
        <v>1225</v>
      </c>
      <c r="C52" s="31" t="s">
        <v>1223</v>
      </c>
      <c r="D52" s="32">
        <v>1</v>
      </c>
      <c r="E52" s="30"/>
      <c r="I52" s="30"/>
    </row>
    <row r="53" spans="1:9">
      <c r="A53" s="30" t="s">
        <v>1226</v>
      </c>
      <c r="B53" s="31" t="s">
        <v>1227</v>
      </c>
      <c r="C53" s="31" t="s">
        <v>1223</v>
      </c>
      <c r="D53" s="32">
        <v>1</v>
      </c>
      <c r="E53" s="30"/>
      <c r="I53" s="30"/>
    </row>
    <row r="54" spans="1:9">
      <c r="A54" s="30" t="s">
        <v>1228</v>
      </c>
      <c r="B54" s="31" t="s">
        <v>1229</v>
      </c>
      <c r="C54" s="31" t="s">
        <v>1223</v>
      </c>
      <c r="D54" s="32">
        <v>1</v>
      </c>
      <c r="E54" s="30"/>
      <c r="F54" s="33"/>
      <c r="G54" s="34"/>
      <c r="I54" s="30"/>
    </row>
    <row r="55" spans="1:9">
      <c r="A55" s="30" t="s">
        <v>1230</v>
      </c>
      <c r="B55" s="31" t="s">
        <v>1231</v>
      </c>
      <c r="C55" s="31" t="s">
        <v>1232</v>
      </c>
      <c r="D55" s="32">
        <v>1</v>
      </c>
      <c r="E55" s="22"/>
      <c r="I55" s="30"/>
    </row>
    <row r="56" spans="1:9">
      <c r="A56" s="30" t="s">
        <v>1233</v>
      </c>
      <c r="B56" s="31" t="s">
        <v>1234</v>
      </c>
      <c r="C56" s="31" t="s">
        <v>1232</v>
      </c>
      <c r="D56" s="32">
        <v>1</v>
      </c>
      <c r="E56" s="30"/>
      <c r="F56" s="33"/>
      <c r="G56" s="34"/>
      <c r="I56" s="30"/>
    </row>
    <row r="57" spans="1:9">
      <c r="A57" s="30" t="s">
        <v>1235</v>
      </c>
      <c r="B57" s="31" t="s">
        <v>1236</v>
      </c>
      <c r="C57" s="31" t="s">
        <v>1232</v>
      </c>
      <c r="D57" s="32">
        <v>1</v>
      </c>
      <c r="E57" s="30"/>
      <c r="F57" s="33"/>
      <c r="G57" s="34"/>
      <c r="I57" s="30"/>
    </row>
    <row r="58" spans="1:9">
      <c r="A58" s="30" t="s">
        <v>1237</v>
      </c>
      <c r="B58" s="31" t="s">
        <v>1238</v>
      </c>
      <c r="C58" s="31" t="s">
        <v>1232</v>
      </c>
      <c r="D58" s="32">
        <v>1</v>
      </c>
      <c r="E58" s="22"/>
      <c r="I58" s="30"/>
    </row>
    <row r="59" spans="1:9">
      <c r="A59" s="30" t="s">
        <v>1239</v>
      </c>
      <c r="B59" s="31" t="s">
        <v>1240</v>
      </c>
      <c r="C59" s="31" t="s">
        <v>1232</v>
      </c>
      <c r="D59" s="32">
        <v>1</v>
      </c>
      <c r="E59" s="22"/>
      <c r="I59" s="30"/>
    </row>
    <row r="60" spans="1:9">
      <c r="A60" s="30" t="s">
        <v>1241</v>
      </c>
      <c r="B60" s="31" t="s">
        <v>1242</v>
      </c>
      <c r="C60" s="31" t="s">
        <v>1232</v>
      </c>
      <c r="D60" s="32">
        <v>20</v>
      </c>
      <c r="E60" s="22"/>
      <c r="I60" s="30"/>
    </row>
    <row r="61" spans="1:9">
      <c r="A61" s="30" t="s">
        <v>1243</v>
      </c>
      <c r="B61" s="31" t="s">
        <v>1244</v>
      </c>
      <c r="C61" s="31" t="s">
        <v>1232</v>
      </c>
      <c r="D61" s="32">
        <v>1</v>
      </c>
      <c r="E61" s="30"/>
      <c r="F61" s="33"/>
      <c r="G61" s="34"/>
      <c r="I61" s="30"/>
    </row>
    <row r="62" spans="1:9">
      <c r="A62" s="30" t="s">
        <v>1245</v>
      </c>
      <c r="B62" s="31" t="s">
        <v>1246</v>
      </c>
      <c r="C62" s="31" t="s">
        <v>1247</v>
      </c>
      <c r="D62" s="32">
        <v>4</v>
      </c>
      <c r="E62" s="22"/>
      <c r="I62" s="30"/>
    </row>
    <row r="63" spans="1:9">
      <c r="A63" s="30" t="s">
        <v>1248</v>
      </c>
      <c r="B63" s="31" t="s">
        <v>1249</v>
      </c>
      <c r="C63" s="31" t="s">
        <v>1247</v>
      </c>
      <c r="D63" s="32">
        <v>1</v>
      </c>
      <c r="E63" s="30"/>
      <c r="F63" s="33"/>
      <c r="G63" s="34"/>
      <c r="I63" s="30"/>
    </row>
    <row r="64" spans="1:9">
      <c r="A64" s="30" t="s">
        <v>1250</v>
      </c>
      <c r="B64" s="31" t="s">
        <v>1251</v>
      </c>
      <c r="C64" s="31" t="s">
        <v>1247</v>
      </c>
      <c r="D64" s="32">
        <v>1</v>
      </c>
      <c r="E64" s="30"/>
      <c r="F64" s="33"/>
      <c r="G64" s="34"/>
      <c r="I64" s="30"/>
    </row>
    <row r="65" spans="1:9">
      <c r="A65" s="30" t="s">
        <v>1252</v>
      </c>
      <c r="B65" s="31" t="s">
        <v>1253</v>
      </c>
      <c r="C65" s="31" t="s">
        <v>1247</v>
      </c>
      <c r="D65" s="32">
        <v>4</v>
      </c>
      <c r="E65" s="22"/>
      <c r="I65" s="30"/>
    </row>
    <row r="66" spans="1:9">
      <c r="A66" s="30" t="s">
        <v>1254</v>
      </c>
      <c r="B66" s="31" t="s">
        <v>1255</v>
      </c>
      <c r="C66" s="31" t="s">
        <v>1247</v>
      </c>
      <c r="D66" s="32">
        <v>2</v>
      </c>
      <c r="E66" s="22"/>
      <c r="I66" s="30"/>
    </row>
    <row r="67" spans="1:9">
      <c r="A67" s="30" t="s">
        <v>1256</v>
      </c>
      <c r="B67" s="31" t="s">
        <v>1257</v>
      </c>
      <c r="C67" s="31" t="s">
        <v>1247</v>
      </c>
      <c r="D67" s="32">
        <v>4</v>
      </c>
      <c r="E67" s="22"/>
      <c r="I67" s="30"/>
    </row>
    <row r="68" spans="1:9">
      <c r="A68" s="30" t="s">
        <v>1258</v>
      </c>
      <c r="B68" s="31" t="s">
        <v>1259</v>
      </c>
      <c r="C68" s="31" t="s">
        <v>1247</v>
      </c>
      <c r="D68" s="32">
        <v>197</v>
      </c>
      <c r="E68" s="22"/>
      <c r="I68" s="30"/>
    </row>
    <row r="69" spans="1:9">
      <c r="A69" s="30" t="s">
        <v>1260</v>
      </c>
      <c r="B69" s="31" t="s">
        <v>1261</v>
      </c>
      <c r="C69" s="31" t="s">
        <v>1247</v>
      </c>
      <c r="D69" s="32">
        <v>1</v>
      </c>
      <c r="E69" s="22"/>
      <c r="I69" s="30"/>
    </row>
    <row r="70" spans="1:9">
      <c r="A70" s="30" t="s">
        <v>1262</v>
      </c>
      <c r="B70" s="31" t="s">
        <v>1110</v>
      </c>
      <c r="C70" s="31" t="s">
        <v>1247</v>
      </c>
      <c r="D70" s="32">
        <v>1</v>
      </c>
      <c r="E70" s="22"/>
      <c r="I70" s="30"/>
    </row>
    <row r="71" spans="1:9">
      <c r="A71" s="30" t="s">
        <v>1263</v>
      </c>
      <c r="B71" s="31" t="s">
        <v>1264</v>
      </c>
      <c r="C71" s="31" t="s">
        <v>1265</v>
      </c>
      <c r="D71" s="32">
        <v>1</v>
      </c>
      <c r="E71" s="30"/>
      <c r="F71" s="33"/>
      <c r="G71" s="34"/>
      <c r="I71" s="30"/>
    </row>
    <row r="72" spans="1:9">
      <c r="A72" s="30" t="s">
        <v>1266</v>
      </c>
      <c r="B72" s="31" t="s">
        <v>1267</v>
      </c>
      <c r="C72" s="31" t="s">
        <v>1268</v>
      </c>
      <c r="D72" s="32">
        <v>1</v>
      </c>
      <c r="E72" s="30"/>
      <c r="F72" s="33"/>
      <c r="G72" s="34"/>
      <c r="I72" s="30"/>
    </row>
    <row r="73" spans="1:9">
      <c r="A73" s="30" t="s">
        <v>1269</v>
      </c>
      <c r="B73" s="31" t="s">
        <v>1270</v>
      </c>
      <c r="C73" s="31" t="s">
        <v>1271</v>
      </c>
      <c r="D73" s="32">
        <v>1</v>
      </c>
      <c r="E73" s="30"/>
      <c r="F73" s="33"/>
      <c r="G73" s="34"/>
      <c r="I73" s="30"/>
    </row>
    <row r="74" spans="1:9">
      <c r="A74" s="30" t="s">
        <v>1272</v>
      </c>
      <c r="B74" s="31" t="s">
        <v>1273</v>
      </c>
      <c r="C74" s="31" t="s">
        <v>1271</v>
      </c>
      <c r="D74" s="32">
        <v>1</v>
      </c>
      <c r="E74" s="22"/>
      <c r="I74" s="30"/>
    </row>
    <row r="75" spans="1:9">
      <c r="A75" s="30" t="s">
        <v>1274</v>
      </c>
      <c r="B75" s="31" t="s">
        <v>1275</v>
      </c>
      <c r="C75" s="31" t="s">
        <v>1276</v>
      </c>
      <c r="D75" s="32">
        <v>1</v>
      </c>
      <c r="E75" s="30"/>
      <c r="F75" s="33"/>
      <c r="G75" s="34"/>
      <c r="I75" s="30"/>
    </row>
    <row r="76" spans="1:9">
      <c r="A76" s="30" t="s">
        <v>1277</v>
      </c>
      <c r="B76" s="31" t="s">
        <v>1278</v>
      </c>
      <c r="C76" s="31" t="s">
        <v>1279</v>
      </c>
      <c r="D76" s="32">
        <v>1</v>
      </c>
      <c r="E76" s="22"/>
      <c r="I76" s="30"/>
    </row>
    <row r="77" spans="1:9">
      <c r="A77" s="30" t="s">
        <v>1280</v>
      </c>
      <c r="B77" s="31" t="s">
        <v>1281</v>
      </c>
      <c r="C77" s="31" t="s">
        <v>1282</v>
      </c>
      <c r="D77" s="32">
        <v>9</v>
      </c>
      <c r="E77" s="22"/>
      <c r="I77" s="30"/>
    </row>
    <row r="78" spans="1:9">
      <c r="A78" s="30" t="s">
        <v>1283</v>
      </c>
      <c r="B78" s="31" t="s">
        <v>1284</v>
      </c>
      <c r="C78" s="31" t="s">
        <v>1282</v>
      </c>
      <c r="D78" s="32">
        <v>1</v>
      </c>
      <c r="E78" s="22"/>
      <c r="I78" s="30"/>
    </row>
    <row r="79" spans="1:9">
      <c r="A79" s="30" t="s">
        <v>1285</v>
      </c>
      <c r="B79" s="31" t="s">
        <v>1286</v>
      </c>
      <c r="C79" s="31" t="s">
        <v>1287</v>
      </c>
      <c r="D79" s="32">
        <v>3</v>
      </c>
      <c r="E79" s="22"/>
      <c r="I79" s="30"/>
    </row>
    <row r="80" spans="1:9">
      <c r="A80" s="30" t="e">
        <v>#N/A</v>
      </c>
      <c r="B80" s="31" t="e">
        <v>#N/A</v>
      </c>
      <c r="C80" s="31" t="e">
        <v>#N/A</v>
      </c>
      <c r="D80" s="32">
        <v>82</v>
      </c>
      <c r="E80" s="22"/>
      <c r="I80" s="30"/>
    </row>
    <row r="81" spans="2:9">
      <c r="B81" s="31"/>
      <c r="C81" s="31"/>
      <c r="D81" s="32"/>
      <c r="E81" s="22"/>
      <c r="I81" s="30"/>
    </row>
    <row r="82" spans="2:9">
      <c r="B82" s="31"/>
      <c r="C82" s="31"/>
      <c r="D82" s="32"/>
      <c r="E82" s="22"/>
      <c r="I82" s="30"/>
    </row>
    <row r="83" spans="2:9">
      <c r="B83" s="31"/>
      <c r="C83" s="31"/>
      <c r="D83" s="32"/>
      <c r="E83" s="22"/>
      <c r="I83" s="30"/>
    </row>
    <row r="84" spans="2:9">
      <c r="B84" s="31"/>
      <c r="C84" s="31"/>
      <c r="D84" s="32"/>
      <c r="E84" s="22"/>
      <c r="I84" s="30"/>
    </row>
    <row r="85" spans="2:9">
      <c r="B85" s="31"/>
      <c r="C85" s="31"/>
      <c r="D85" s="32"/>
      <c r="E85" s="22"/>
      <c r="I85" s="30"/>
    </row>
    <row r="86" spans="2:9">
      <c r="B86" s="31"/>
      <c r="C86" s="31"/>
      <c r="D86" s="32"/>
      <c r="E86" s="22"/>
      <c r="I86" s="30"/>
    </row>
    <row r="87" spans="2:9">
      <c r="B87" s="31"/>
      <c r="C87" s="31"/>
      <c r="D87" s="32"/>
      <c r="E87" s="22"/>
      <c r="I87" s="30"/>
    </row>
    <row r="88" spans="2:9">
      <c r="B88" s="31"/>
      <c r="C88" s="31"/>
      <c r="D88" s="32"/>
      <c r="E88" s="22"/>
      <c r="I88" s="30"/>
    </row>
    <row r="89" spans="2:9">
      <c r="B89" s="31"/>
      <c r="C89" s="31"/>
      <c r="D89" s="32"/>
      <c r="E89" s="22"/>
      <c r="I89" s="30"/>
    </row>
    <row r="90" spans="2:9">
      <c r="B90" s="31"/>
      <c r="C90" s="31"/>
      <c r="D90" s="32"/>
      <c r="E90" s="22"/>
      <c r="I90" s="30"/>
    </row>
    <row r="91" spans="2:9">
      <c r="B91" s="31"/>
      <c r="C91" s="31"/>
      <c r="D91" s="32"/>
      <c r="E91" s="22"/>
      <c r="I91" s="30"/>
    </row>
    <row r="92" spans="2:9">
      <c r="B92" s="31"/>
      <c r="C92" s="31"/>
      <c r="D92" s="32"/>
      <c r="E92" s="22"/>
      <c r="I92" s="30"/>
    </row>
    <row r="93" spans="2:9">
      <c r="B93" s="31"/>
      <c r="C93" s="31"/>
      <c r="D93" s="32"/>
      <c r="E93" s="22"/>
      <c r="I93" s="30"/>
    </row>
    <row r="94" spans="2:9">
      <c r="B94" s="31"/>
      <c r="C94" s="31"/>
      <c r="D94" s="32"/>
      <c r="E94" s="22"/>
      <c r="I94" s="30"/>
    </row>
    <row r="95" spans="2:9">
      <c r="B95" s="31"/>
      <c r="C95" s="31"/>
      <c r="D95" s="32"/>
      <c r="E95" s="22"/>
      <c r="I95" s="30"/>
    </row>
    <row r="96" spans="2:9">
      <c r="B96" s="31"/>
      <c r="C96" s="31"/>
      <c r="D96" s="32"/>
      <c r="E96" s="22"/>
      <c r="I96" s="30"/>
    </row>
    <row r="97" spans="2:9">
      <c r="B97" s="31"/>
      <c r="C97" s="31"/>
      <c r="D97" s="32"/>
      <c r="E97" s="22"/>
      <c r="I97" s="30"/>
    </row>
    <row r="98" spans="2:9">
      <c r="B98" s="31"/>
      <c r="C98" s="31"/>
      <c r="D98" s="32"/>
      <c r="E98" s="22"/>
      <c r="I98" s="30"/>
    </row>
    <row r="99" spans="2:9">
      <c r="B99" s="31"/>
      <c r="C99" s="31"/>
      <c r="D99" s="32"/>
      <c r="E99" s="22"/>
      <c r="I99" s="30"/>
    </row>
    <row r="100" spans="2:9">
      <c r="B100" s="31"/>
      <c r="C100" s="31"/>
      <c r="D100" s="32"/>
      <c r="E100" s="22"/>
      <c r="I100" s="30"/>
    </row>
    <row r="101" spans="2:9">
      <c r="B101" s="31"/>
      <c r="C101" s="31"/>
      <c r="D101" s="32"/>
      <c r="E101" s="22"/>
      <c r="I101" s="30"/>
    </row>
    <row r="102" spans="2:9">
      <c r="B102" s="31"/>
      <c r="C102" s="31"/>
      <c r="D102" s="32"/>
      <c r="E102" s="22"/>
      <c r="I102" s="30"/>
    </row>
    <row r="103" spans="2:9">
      <c r="B103" s="31"/>
      <c r="C103" s="31"/>
      <c r="D103" s="32"/>
      <c r="E103" s="22"/>
      <c r="I103" s="30"/>
    </row>
    <row r="104" spans="2:9">
      <c r="B104" s="31"/>
      <c r="C104" s="31"/>
      <c r="D104" s="32"/>
      <c r="E104" s="22"/>
      <c r="I104" s="30"/>
    </row>
    <row r="105" spans="2:9">
      <c r="B105" s="31"/>
      <c r="C105" s="31"/>
      <c r="D105" s="32"/>
      <c r="E105" s="22"/>
      <c r="I105" s="30"/>
    </row>
    <row r="106" spans="2:9">
      <c r="B106" s="31"/>
      <c r="C106" s="31"/>
      <c r="D106" s="32"/>
      <c r="E106" s="22"/>
      <c r="I106" s="30"/>
    </row>
    <row r="107" spans="2:9">
      <c r="B107" s="31"/>
      <c r="C107" s="31"/>
      <c r="D107" s="32"/>
      <c r="E107" s="22"/>
      <c r="I107" s="30"/>
    </row>
    <row r="108" spans="2:9">
      <c r="B108" s="31"/>
      <c r="C108" s="31"/>
      <c r="D108" s="32"/>
      <c r="E108" s="22"/>
      <c r="I108" s="30"/>
    </row>
    <row r="109" spans="2:9">
      <c r="B109" s="31"/>
      <c r="C109" s="31"/>
      <c r="D109" s="32"/>
      <c r="E109" s="22"/>
      <c r="I109" s="30"/>
    </row>
    <row r="110" spans="2:9">
      <c r="B110" s="31"/>
      <c r="C110" s="31"/>
      <c r="D110" s="32"/>
      <c r="E110" s="22"/>
      <c r="I110" s="30"/>
    </row>
    <row r="111" spans="2:9">
      <c r="B111" s="31"/>
      <c r="C111" s="31"/>
      <c r="D111" s="32"/>
      <c r="E111" s="22"/>
      <c r="I111" s="30"/>
    </row>
    <row r="112" spans="2:9">
      <c r="B112" s="31"/>
      <c r="C112" s="31"/>
      <c r="D112" s="32"/>
      <c r="E112" s="22"/>
      <c r="I112" s="30"/>
    </row>
    <row r="113" spans="2:9">
      <c r="B113" s="31"/>
      <c r="C113" s="31"/>
      <c r="D113" s="32"/>
      <c r="E113" s="22"/>
      <c r="I113" s="30"/>
    </row>
    <row r="114" spans="2:9">
      <c r="B114" s="31"/>
      <c r="C114" s="31"/>
      <c r="D114" s="32"/>
      <c r="E114" s="22"/>
      <c r="I114" s="30"/>
    </row>
    <row r="115" spans="2:9">
      <c r="B115" s="31"/>
      <c r="C115" s="31"/>
      <c r="D115" s="32"/>
      <c r="E115" s="22"/>
      <c r="I115" s="30"/>
    </row>
    <row r="116" spans="2:9">
      <c r="B116" s="31"/>
      <c r="C116" s="31"/>
      <c r="D116" s="32"/>
      <c r="E116" s="22"/>
      <c r="I116" s="30"/>
    </row>
    <row r="117" spans="2:9">
      <c r="B117" s="31"/>
      <c r="C117" s="31"/>
      <c r="D117" s="32"/>
      <c r="E117" s="22"/>
      <c r="I117" s="30"/>
    </row>
    <row r="118" spans="2:9">
      <c r="B118" s="31"/>
      <c r="C118" s="31"/>
      <c r="D118" s="32"/>
      <c r="E118" s="22"/>
      <c r="I118" s="30"/>
    </row>
    <row r="119" spans="2:9">
      <c r="B119" s="31"/>
      <c r="C119" s="31"/>
      <c r="D119" s="32"/>
      <c r="E119" s="22"/>
      <c r="I119" s="30"/>
    </row>
    <row r="120" spans="2:9">
      <c r="B120" s="31"/>
      <c r="C120" s="31"/>
      <c r="D120" s="32"/>
      <c r="E120" s="22"/>
      <c r="I120" s="30"/>
    </row>
    <row r="121" spans="2:9">
      <c r="B121" s="31"/>
      <c r="C121" s="31"/>
      <c r="D121" s="32"/>
      <c r="E121" s="22"/>
      <c r="I121" s="30"/>
    </row>
    <row r="122" spans="2:9">
      <c r="B122" s="31"/>
      <c r="C122" s="31"/>
      <c r="D122" s="32"/>
      <c r="E122" s="22"/>
      <c r="I122" s="30"/>
    </row>
    <row r="123" spans="2:9">
      <c r="B123" s="31"/>
      <c r="C123" s="31"/>
      <c r="D123" s="32"/>
      <c r="E123" s="22"/>
      <c r="I123" s="30"/>
    </row>
    <row r="124" spans="2:9">
      <c r="B124" s="31"/>
      <c r="C124" s="31"/>
      <c r="D124" s="32"/>
      <c r="E124" s="22"/>
      <c r="I124" s="30"/>
    </row>
    <row r="125" spans="2:9">
      <c r="B125" s="31"/>
      <c r="C125" s="31"/>
      <c r="D125" s="32"/>
      <c r="E125" s="22"/>
      <c r="I125" s="30"/>
    </row>
    <row r="126" spans="2:9">
      <c r="B126" s="31"/>
      <c r="C126" s="31"/>
      <c r="D126" s="32"/>
      <c r="E126" s="22"/>
      <c r="I126" s="30"/>
    </row>
    <row r="127" spans="2:9">
      <c r="B127" s="31"/>
      <c r="C127" s="31"/>
      <c r="D127" s="32"/>
      <c r="E127" s="22"/>
      <c r="I127" s="30"/>
    </row>
    <row r="128" spans="2:9">
      <c r="B128" s="31"/>
      <c r="C128" s="31"/>
      <c r="D128" s="32"/>
      <c r="E128" s="22"/>
      <c r="I128" s="30"/>
    </row>
    <row r="129" spans="2:9">
      <c r="B129" s="31"/>
      <c r="C129" s="31"/>
      <c r="D129" s="32"/>
      <c r="E129" s="22"/>
      <c r="I129" s="30"/>
    </row>
    <row r="130" spans="2:9">
      <c r="B130" s="31"/>
      <c r="C130" s="31"/>
      <c r="D130" s="32"/>
      <c r="E130" s="22"/>
      <c r="I130" s="30"/>
    </row>
    <row r="131" spans="2:9">
      <c r="B131" s="31"/>
      <c r="C131" s="31"/>
      <c r="D131" s="32"/>
      <c r="E131" s="22"/>
      <c r="I131" s="30"/>
    </row>
    <row r="132" spans="2:9">
      <c r="B132" s="31"/>
      <c r="C132" s="31"/>
      <c r="D132" s="32"/>
      <c r="E132" s="22"/>
      <c r="I132" s="30"/>
    </row>
    <row r="133" spans="2:9">
      <c r="B133" s="31"/>
      <c r="C133" s="31"/>
      <c r="D133" s="32"/>
      <c r="E133" s="22"/>
      <c r="I133" s="30"/>
    </row>
    <row r="134" spans="2:9">
      <c r="B134" s="31"/>
      <c r="C134" s="31"/>
      <c r="D134" s="32"/>
      <c r="E134" s="22"/>
      <c r="I134" s="30"/>
    </row>
    <row r="135" spans="2:9">
      <c r="B135" s="31"/>
      <c r="C135" s="31"/>
      <c r="D135" s="32"/>
      <c r="E135" s="22"/>
      <c r="I135" s="30"/>
    </row>
    <row r="136" spans="2:9">
      <c r="B136" s="31"/>
      <c r="C136" s="31"/>
      <c r="D136" s="32"/>
      <c r="E136" s="22"/>
      <c r="I136" s="30"/>
    </row>
    <row r="137" spans="2:9">
      <c r="B137" s="31"/>
      <c r="C137" s="31"/>
      <c r="D137" s="32"/>
      <c r="E137" s="22"/>
      <c r="I137" s="30"/>
    </row>
    <row r="138" spans="2:9">
      <c r="B138" s="31"/>
      <c r="C138" s="31"/>
      <c r="D138" s="32"/>
      <c r="E138" s="22"/>
      <c r="I138" s="30"/>
    </row>
    <row r="139" spans="2:9">
      <c r="B139" s="31"/>
      <c r="C139" s="31"/>
      <c r="D139" s="32"/>
      <c r="E139" s="22"/>
      <c r="I139" s="30"/>
    </row>
    <row r="140" spans="2:9">
      <c r="B140" s="31"/>
      <c r="C140" s="31"/>
      <c r="D140" s="32"/>
      <c r="E140" s="22"/>
      <c r="I140" s="30"/>
    </row>
    <row r="141" spans="2:9">
      <c r="B141" s="31"/>
      <c r="C141" s="31"/>
      <c r="D141" s="32"/>
      <c r="E141" s="22"/>
      <c r="I141" s="30"/>
    </row>
    <row r="142" spans="2:9">
      <c r="B142" s="31"/>
      <c r="C142" s="31"/>
      <c r="D142" s="32"/>
      <c r="E142" s="22"/>
      <c r="I142" s="30"/>
    </row>
    <row r="143" spans="2:9">
      <c r="B143" s="31"/>
      <c r="C143" s="31"/>
      <c r="D143" s="32"/>
      <c r="E143" s="22"/>
      <c r="I143" s="30"/>
    </row>
    <row r="144" spans="2:9">
      <c r="B144" s="31"/>
      <c r="C144" s="31"/>
      <c r="D144" s="32"/>
      <c r="E144" s="22"/>
      <c r="I144" s="30"/>
    </row>
    <row r="145" spans="2:9">
      <c r="B145" s="31"/>
      <c r="C145" s="31"/>
      <c r="D145" s="32"/>
      <c r="E145" s="22"/>
      <c r="I145" s="30"/>
    </row>
    <row r="146" spans="2:9">
      <c r="B146" s="31"/>
      <c r="C146" s="31"/>
      <c r="D146" s="32"/>
      <c r="E146" s="22"/>
      <c r="I146" s="30"/>
    </row>
    <row r="147" spans="2:9">
      <c r="B147" s="31"/>
      <c r="C147" s="31"/>
      <c r="D147" s="32"/>
      <c r="E147" s="22"/>
      <c r="I147" s="30"/>
    </row>
    <row r="148" spans="2:9">
      <c r="B148" s="31"/>
      <c r="C148" s="31"/>
      <c r="D148" s="32"/>
      <c r="E148" s="22"/>
      <c r="I148" s="30"/>
    </row>
    <row r="149" spans="2:9">
      <c r="B149" s="31"/>
      <c r="C149" s="31"/>
      <c r="D149" s="32"/>
      <c r="E149" s="22"/>
      <c r="I149" s="30"/>
    </row>
    <row r="150" spans="2:9">
      <c r="B150" s="31"/>
      <c r="C150" s="31"/>
      <c r="D150" s="32"/>
      <c r="E150" s="22"/>
      <c r="I150" s="30"/>
    </row>
    <row r="151" spans="2:9">
      <c r="B151" s="31"/>
      <c r="C151" s="31"/>
      <c r="D151" s="32"/>
      <c r="E151" s="30"/>
      <c r="I151" s="30"/>
    </row>
    <row r="152" spans="2:9">
      <c r="B152" s="31"/>
      <c r="C152" s="31"/>
      <c r="D152" s="32"/>
      <c r="E152" s="30"/>
      <c r="I152" s="30"/>
    </row>
    <row r="153" spans="2:9">
      <c r="B153" s="31"/>
      <c r="C153" s="31"/>
      <c r="D153" s="32"/>
      <c r="E153" s="30"/>
      <c r="I153" s="30"/>
    </row>
    <row r="154" spans="2:9">
      <c r="B154" s="31"/>
      <c r="C154" s="31"/>
      <c r="D154" s="32"/>
      <c r="E154" s="30"/>
      <c r="I154" s="30"/>
    </row>
    <row r="155" spans="2:9">
      <c r="B155" s="31"/>
      <c r="C155" s="31"/>
      <c r="D155" s="32"/>
      <c r="E155" s="30"/>
      <c r="I155" s="30"/>
    </row>
    <row r="156" spans="2:9">
      <c r="B156" s="31"/>
      <c r="C156" s="31"/>
      <c r="D156" s="32"/>
      <c r="E156" s="30"/>
      <c r="I156" s="30"/>
    </row>
    <row r="157" spans="2:9">
      <c r="B157" s="31"/>
      <c r="C157" s="31"/>
      <c r="D157" s="32"/>
      <c r="E157" s="30"/>
      <c r="I157" s="30"/>
    </row>
    <row r="158" spans="2:9">
      <c r="B158" s="31"/>
      <c r="C158" s="31"/>
      <c r="D158" s="32"/>
      <c r="E158" s="30"/>
      <c r="I158" s="30"/>
    </row>
    <row r="159" spans="2:9">
      <c r="B159" s="31"/>
      <c r="C159" s="31"/>
      <c r="D159" s="32"/>
      <c r="E159" s="30"/>
      <c r="I159" s="30"/>
    </row>
    <row r="160" spans="2:9">
      <c r="B160" s="31"/>
      <c r="C160" s="31"/>
      <c r="D160" s="32"/>
      <c r="E160" s="30"/>
      <c r="I160" s="30"/>
    </row>
    <row r="161" spans="2:9">
      <c r="B161" s="31"/>
      <c r="C161" s="31"/>
      <c r="D161" s="32"/>
      <c r="E161" s="30"/>
      <c r="I161" s="30"/>
    </row>
    <row r="162" spans="2:9">
      <c r="B162" s="31"/>
      <c r="C162" s="31"/>
      <c r="D162" s="32"/>
      <c r="E162" s="30"/>
      <c r="I162" s="30"/>
    </row>
    <row r="163" spans="2:9">
      <c r="B163" s="31"/>
      <c r="C163" s="31"/>
      <c r="D163" s="32"/>
      <c r="E163" s="30"/>
      <c r="I163" s="30"/>
    </row>
    <row r="164" spans="2:9">
      <c r="B164" s="31"/>
      <c r="C164" s="31"/>
      <c r="D164" s="32"/>
      <c r="E164" s="30"/>
      <c r="I164" s="30"/>
    </row>
    <row r="165" spans="2:9">
      <c r="B165" s="31"/>
      <c r="C165" s="31"/>
      <c r="D165" s="32"/>
      <c r="E165" s="30"/>
      <c r="I165" s="30"/>
    </row>
    <row r="166" spans="2:9">
      <c r="B166" s="31"/>
      <c r="C166" s="31"/>
      <c r="D166" s="32"/>
      <c r="E166" s="30"/>
      <c r="I166" s="30"/>
    </row>
    <row r="167" spans="2:9">
      <c r="B167" s="31"/>
      <c r="C167" s="31"/>
      <c r="D167" s="32"/>
      <c r="E167" s="30"/>
      <c r="I167" s="30"/>
    </row>
    <row r="168" spans="2:9">
      <c r="B168" s="31"/>
      <c r="C168" s="31"/>
      <c r="D168" s="32"/>
      <c r="E168" s="30"/>
      <c r="I168" s="30"/>
    </row>
    <row r="169" spans="2:9">
      <c r="B169" s="31"/>
      <c r="C169" s="31"/>
      <c r="D169" s="32"/>
      <c r="E169" s="30"/>
      <c r="I169" s="30"/>
    </row>
    <row r="170" spans="2:9">
      <c r="B170" s="31"/>
      <c r="C170" s="31"/>
      <c r="D170" s="32"/>
      <c r="E170" s="30"/>
      <c r="I170" s="30"/>
    </row>
    <row r="171" spans="2:9">
      <c r="B171" s="31"/>
      <c r="C171" s="31"/>
      <c r="D171" s="32"/>
      <c r="E171" s="30"/>
      <c r="I171" s="30"/>
    </row>
    <row r="172" spans="2:9">
      <c r="B172" s="31"/>
      <c r="C172" s="31"/>
      <c r="D172" s="32"/>
      <c r="E172" s="30"/>
      <c r="I172" s="30"/>
    </row>
    <row r="173" spans="2:9">
      <c r="B173" s="31"/>
      <c r="C173" s="31"/>
      <c r="D173" s="32"/>
      <c r="E173" s="30"/>
      <c r="I173" s="30"/>
    </row>
    <row r="174" spans="2:9">
      <c r="B174" s="31"/>
      <c r="C174" s="31"/>
      <c r="D174" s="32"/>
      <c r="E174" s="30"/>
      <c r="I174" s="30"/>
    </row>
    <row r="175" spans="2:9">
      <c r="B175" s="31"/>
      <c r="C175" s="31"/>
      <c r="D175" s="32"/>
      <c r="E175" s="30"/>
      <c r="I175" s="30"/>
    </row>
    <row r="176" spans="2:9">
      <c r="B176" s="31"/>
      <c r="C176" s="31"/>
      <c r="D176" s="32"/>
      <c r="E176" s="30"/>
      <c r="I176" s="30"/>
    </row>
    <row r="177" spans="2:9">
      <c r="B177" s="31"/>
      <c r="C177" s="31"/>
      <c r="D177" s="32"/>
      <c r="E177" s="30"/>
      <c r="I177" s="30"/>
    </row>
    <row r="178" spans="2:9">
      <c r="B178" s="31"/>
      <c r="C178" s="31"/>
      <c r="D178" s="32"/>
      <c r="E178" s="30"/>
      <c r="I178" s="30"/>
    </row>
    <row r="179" spans="2:9">
      <c r="B179" s="31"/>
      <c r="C179" s="31"/>
      <c r="D179" s="32"/>
      <c r="E179" s="30"/>
      <c r="I179" s="30"/>
    </row>
    <row r="180" spans="2:9">
      <c r="B180" s="31"/>
      <c r="C180" s="31"/>
      <c r="D180" s="32"/>
      <c r="E180" s="30"/>
      <c r="I180" s="30"/>
    </row>
    <row r="181" spans="2:9">
      <c r="B181" s="31"/>
      <c r="C181" s="31"/>
      <c r="D181" s="32"/>
      <c r="E181" s="30"/>
      <c r="I181" s="30"/>
    </row>
    <row r="182" spans="2:9">
      <c r="B182" s="31"/>
      <c r="C182" s="31"/>
      <c r="D182" s="32"/>
      <c r="E182" s="30"/>
      <c r="I182" s="30"/>
    </row>
    <row r="183" spans="2:9">
      <c r="B183" s="31"/>
      <c r="C183" s="31"/>
      <c r="D183" s="32"/>
      <c r="E183" s="30"/>
      <c r="I183" s="30"/>
    </row>
    <row r="184" spans="2:9">
      <c r="B184" s="31"/>
      <c r="C184" s="31"/>
      <c r="D184" s="32"/>
      <c r="E184" s="30"/>
      <c r="I184" s="30"/>
    </row>
    <row r="185" spans="2:9">
      <c r="B185" s="31"/>
      <c r="C185" s="31"/>
      <c r="D185" s="32"/>
      <c r="E185" s="30"/>
      <c r="I185" s="30"/>
    </row>
    <row r="186" spans="2:9">
      <c r="B186" s="31"/>
      <c r="C186" s="31"/>
      <c r="D186" s="32"/>
      <c r="E186" s="30"/>
      <c r="I186" s="30"/>
    </row>
    <row r="187" spans="2:9">
      <c r="B187" s="31"/>
      <c r="C187" s="31"/>
      <c r="D187" s="32"/>
      <c r="E187" s="30"/>
      <c r="I187" s="30"/>
    </row>
    <row r="188" spans="2:9">
      <c r="B188" s="31"/>
      <c r="C188" s="31"/>
      <c r="D188" s="32"/>
      <c r="E188" s="30"/>
      <c r="I188" s="30"/>
    </row>
    <row r="189" spans="2:9">
      <c r="B189" s="31"/>
      <c r="C189" s="31"/>
      <c r="D189" s="32"/>
      <c r="E189" s="30"/>
      <c r="I189" s="30"/>
    </row>
    <row r="190" spans="2:9">
      <c r="B190" s="31"/>
      <c r="C190" s="31"/>
      <c r="D190" s="32"/>
      <c r="E190" s="30"/>
      <c r="I190" s="30"/>
    </row>
    <row r="191" spans="2:9">
      <c r="B191" s="31"/>
      <c r="C191" s="31"/>
      <c r="D191" s="32"/>
      <c r="E191" s="30"/>
      <c r="I191" s="30"/>
    </row>
    <row r="192" spans="2:9">
      <c r="B192" s="31"/>
      <c r="C192" s="31"/>
      <c r="D192" s="32"/>
      <c r="E192" s="30"/>
      <c r="I192" s="30"/>
    </row>
    <row r="193" spans="2:9">
      <c r="B193" s="31"/>
      <c r="C193" s="31"/>
      <c r="D193" s="32"/>
      <c r="E193" s="30"/>
      <c r="I193" s="30"/>
    </row>
    <row r="194" spans="2:9">
      <c r="B194" s="31"/>
      <c r="C194" s="31"/>
      <c r="D194" s="32"/>
      <c r="E194" s="30"/>
      <c r="I194" s="30"/>
    </row>
    <row r="195" spans="2:9">
      <c r="B195" s="31"/>
      <c r="C195" s="31"/>
      <c r="D195" s="32"/>
      <c r="E195" s="30"/>
      <c r="I195" s="30"/>
    </row>
    <row r="196" spans="2:9">
      <c r="B196" s="31"/>
      <c r="C196" s="31"/>
      <c r="D196" s="32"/>
      <c r="E196" s="30"/>
      <c r="I196" s="30"/>
    </row>
    <row r="197" spans="2:9">
      <c r="B197" s="31"/>
      <c r="C197" s="31"/>
      <c r="D197" s="32"/>
      <c r="E197" s="30"/>
      <c r="I197" s="30"/>
    </row>
    <row r="198" spans="2:9">
      <c r="B198" s="31"/>
      <c r="C198" s="31"/>
      <c r="D198" s="32"/>
      <c r="E198" s="30"/>
      <c r="I198" s="30"/>
    </row>
    <row r="199" spans="2:9">
      <c r="B199" s="31"/>
      <c r="C199" s="31"/>
      <c r="D199" s="32"/>
      <c r="E199" s="30"/>
      <c r="I199" s="30"/>
    </row>
    <row r="200" spans="2:9">
      <c r="B200" s="31"/>
      <c r="C200" s="31"/>
      <c r="D200" s="32"/>
      <c r="E200" s="30"/>
      <c r="I200" s="30"/>
    </row>
    <row r="201" spans="2:9">
      <c r="B201" s="31"/>
      <c r="C201" s="31"/>
      <c r="D201" s="32"/>
      <c r="E201" s="30"/>
      <c r="I201" s="30"/>
    </row>
    <row r="202" spans="2:9">
      <c r="B202" s="31"/>
      <c r="C202" s="31"/>
      <c r="D202" s="32"/>
      <c r="E202" s="30"/>
      <c r="I202" s="30"/>
    </row>
    <row r="203" spans="2:9">
      <c r="B203" s="31"/>
      <c r="C203" s="31"/>
      <c r="D203" s="32"/>
      <c r="E203" s="30"/>
      <c r="I203" s="30"/>
    </row>
    <row r="204" spans="2:9">
      <c r="B204" s="31"/>
      <c r="C204" s="31"/>
      <c r="D204" s="32"/>
      <c r="E204" s="30"/>
      <c r="I204" s="30"/>
    </row>
    <row r="205" spans="2:9">
      <c r="B205" s="31"/>
      <c r="C205" s="31"/>
      <c r="D205" s="32"/>
      <c r="E205" s="30"/>
      <c r="I205" s="30"/>
    </row>
    <row r="206" spans="2:9">
      <c r="B206" s="31"/>
      <c r="C206" s="31"/>
      <c r="D206" s="32"/>
      <c r="E206" s="30"/>
      <c r="I206" s="30"/>
    </row>
    <row r="207" spans="2:9">
      <c r="B207" s="31"/>
      <c r="C207" s="31"/>
      <c r="D207" s="32"/>
      <c r="E207" s="30"/>
      <c r="I207" s="30"/>
    </row>
    <row r="208" spans="2:9">
      <c r="B208" s="31"/>
      <c r="C208" s="31"/>
      <c r="D208" s="32"/>
      <c r="E208" s="30"/>
      <c r="I208" s="30"/>
    </row>
    <row r="209" spans="2:9">
      <c r="B209" s="31"/>
      <c r="C209" s="31"/>
      <c r="D209" s="32"/>
      <c r="E209" s="30"/>
      <c r="I209" s="30"/>
    </row>
    <row r="210" spans="2:9">
      <c r="B210" s="31"/>
      <c r="C210" s="31"/>
      <c r="D210" s="32"/>
      <c r="E210" s="30"/>
      <c r="I210" s="30"/>
    </row>
    <row r="211" spans="2:9">
      <c r="B211" s="31"/>
      <c r="C211" s="31"/>
      <c r="D211" s="32"/>
      <c r="E211" s="30"/>
      <c r="I211" s="30"/>
    </row>
    <row r="212" spans="2:9">
      <c r="B212" s="31"/>
      <c r="C212" s="31"/>
      <c r="D212" s="32"/>
      <c r="E212" s="30"/>
      <c r="I212" s="30"/>
    </row>
    <row r="213" spans="2:9">
      <c r="B213" s="31"/>
      <c r="C213" s="31"/>
      <c r="D213" s="32"/>
      <c r="E213" s="30"/>
      <c r="I213" s="30"/>
    </row>
    <row r="214" spans="2:9">
      <c r="B214" s="31"/>
      <c r="C214" s="31"/>
      <c r="D214" s="32"/>
      <c r="E214" s="30"/>
      <c r="I214" s="30"/>
    </row>
    <row r="215" spans="2:9">
      <c r="B215" s="31"/>
      <c r="C215" s="31"/>
      <c r="D215" s="32"/>
      <c r="E215" s="30"/>
      <c r="I215" s="30"/>
    </row>
    <row r="216" spans="2:9">
      <c r="B216" s="31"/>
      <c r="C216" s="31"/>
      <c r="D216" s="32"/>
      <c r="E216" s="30"/>
      <c r="I216" s="30"/>
    </row>
    <row r="217" spans="2:9">
      <c r="B217" s="31"/>
      <c r="C217" s="31"/>
      <c r="D217" s="32"/>
      <c r="E217" s="30"/>
      <c r="I217" s="30"/>
    </row>
    <row r="218" spans="2:9">
      <c r="B218" s="31"/>
      <c r="C218" s="31"/>
      <c r="D218" s="32"/>
      <c r="E218" s="30"/>
      <c r="I218" s="30"/>
    </row>
    <row r="219" spans="2:9">
      <c r="B219" s="31"/>
      <c r="C219" s="31"/>
      <c r="D219" s="32"/>
      <c r="E219" s="30"/>
      <c r="I219" s="30"/>
    </row>
    <row r="220" spans="2:9">
      <c r="B220" s="31"/>
      <c r="C220" s="31"/>
      <c r="D220" s="32"/>
      <c r="E220" s="30"/>
      <c r="I220" s="30"/>
    </row>
    <row r="221" spans="2:9">
      <c r="B221" s="31"/>
      <c r="C221" s="31"/>
      <c r="D221" s="32"/>
      <c r="E221" s="30"/>
      <c r="I221" s="30"/>
    </row>
    <row r="222" spans="2:9">
      <c r="B222" s="31"/>
      <c r="C222" s="31"/>
      <c r="D222" s="32"/>
      <c r="E222" s="30"/>
      <c r="I222" s="30"/>
    </row>
    <row r="223" spans="2:9">
      <c r="B223" s="31"/>
      <c r="C223" s="31"/>
      <c r="D223" s="32"/>
      <c r="E223" s="30"/>
      <c r="I223" s="30"/>
    </row>
    <row r="224" spans="2:9">
      <c r="B224" s="31"/>
      <c r="C224" s="31"/>
      <c r="D224" s="32"/>
      <c r="E224" s="30"/>
      <c r="I224" s="30"/>
    </row>
    <row r="225" spans="2:9">
      <c r="B225" s="31"/>
      <c r="C225" s="31"/>
      <c r="D225" s="32"/>
      <c r="E225" s="30"/>
      <c r="I225" s="30"/>
    </row>
    <row r="226" spans="2:9">
      <c r="B226" s="31"/>
      <c r="C226" s="31"/>
      <c r="D226" s="32"/>
      <c r="E226" s="30"/>
      <c r="I226" s="30"/>
    </row>
    <row r="227" spans="2:9">
      <c r="B227" s="31"/>
      <c r="C227" s="31"/>
      <c r="D227" s="32"/>
      <c r="E227" s="30"/>
      <c r="I227" s="30"/>
    </row>
    <row r="228" spans="2:9">
      <c r="B228" s="31"/>
      <c r="C228" s="31"/>
      <c r="D228" s="32"/>
      <c r="E228" s="30"/>
      <c r="I228" s="30"/>
    </row>
    <row r="229" spans="2:9">
      <c r="B229" s="31"/>
      <c r="C229" s="31"/>
      <c r="D229" s="32"/>
      <c r="E229" s="30"/>
      <c r="I229" s="30"/>
    </row>
    <row r="230" spans="2:9">
      <c r="B230" s="31"/>
      <c r="C230" s="31"/>
      <c r="D230" s="32"/>
      <c r="E230" s="30"/>
      <c r="I230" s="30"/>
    </row>
    <row r="231" spans="2:9">
      <c r="B231" s="31"/>
      <c r="C231" s="31"/>
      <c r="D231" s="32"/>
      <c r="E231" s="30"/>
      <c r="I231" s="30"/>
    </row>
    <row r="232" spans="2:9">
      <c r="B232" s="31"/>
      <c r="C232" s="31"/>
      <c r="D232" s="32"/>
      <c r="E232" s="30"/>
      <c r="I232" s="30"/>
    </row>
    <row r="233" spans="2:9">
      <c r="B233" s="31"/>
      <c r="C233" s="31"/>
      <c r="D233" s="32"/>
      <c r="E233" s="30"/>
      <c r="I233" s="30"/>
    </row>
    <row r="234" spans="2:9">
      <c r="B234" s="31"/>
      <c r="C234" s="31"/>
      <c r="D234" s="32"/>
      <c r="E234" s="30"/>
      <c r="I234" s="30"/>
    </row>
    <row r="235" spans="2:9">
      <c r="B235" s="31"/>
      <c r="C235" s="31"/>
      <c r="D235" s="32"/>
      <c r="E235" s="30"/>
      <c r="I235" s="30"/>
    </row>
    <row r="236" spans="2:9">
      <c r="B236" s="31"/>
      <c r="C236" s="31"/>
      <c r="D236" s="32"/>
      <c r="E236" s="30"/>
      <c r="I236" s="30"/>
    </row>
    <row r="237" spans="2:9">
      <c r="B237" s="31"/>
      <c r="C237" s="31"/>
      <c r="D237" s="32"/>
      <c r="E237" s="30"/>
      <c r="I237" s="30"/>
    </row>
    <row r="238" spans="2:9">
      <c r="B238" s="31"/>
      <c r="C238" s="31"/>
      <c r="D238" s="32"/>
      <c r="E238" s="30"/>
      <c r="I238" s="30"/>
    </row>
    <row r="239" spans="2:9">
      <c r="B239" s="31"/>
      <c r="C239" s="31"/>
      <c r="D239" s="32"/>
      <c r="E239" s="30"/>
      <c r="I239" s="30"/>
    </row>
    <row r="240" spans="2:9">
      <c r="B240" s="31"/>
      <c r="C240" s="31"/>
      <c r="D240" s="32"/>
      <c r="E240" s="30"/>
      <c r="I240" s="30"/>
    </row>
    <row r="241" spans="2:9">
      <c r="B241" s="31"/>
      <c r="C241" s="31"/>
      <c r="D241" s="32"/>
      <c r="E241" s="30"/>
      <c r="I241" s="30"/>
    </row>
    <row r="242" spans="2:9">
      <c r="B242" s="31"/>
      <c r="C242" s="31"/>
      <c r="D242" s="32"/>
      <c r="E242" s="30"/>
      <c r="I242" s="30"/>
    </row>
    <row r="243" spans="2:9">
      <c r="B243" s="31"/>
      <c r="C243" s="31"/>
      <c r="D243" s="32"/>
      <c r="E243" s="30"/>
      <c r="I243" s="30"/>
    </row>
    <row r="244" spans="2:9">
      <c r="B244" s="31"/>
      <c r="C244" s="31"/>
      <c r="D244" s="32"/>
      <c r="E244" s="30"/>
      <c r="I244" s="30"/>
    </row>
    <row r="245" spans="2:9">
      <c r="B245" s="31"/>
      <c r="C245" s="31"/>
      <c r="D245" s="32"/>
      <c r="E245" s="30"/>
      <c r="I245" s="30"/>
    </row>
    <row r="246" spans="2:9">
      <c r="B246" s="31"/>
      <c r="C246" s="31"/>
      <c r="D246" s="32"/>
      <c r="E246" s="30"/>
      <c r="I246" s="30"/>
    </row>
    <row r="247" spans="2:9">
      <c r="B247" s="31"/>
      <c r="C247" s="31"/>
      <c r="D247" s="32"/>
      <c r="E247" s="30"/>
      <c r="I247" s="30"/>
    </row>
    <row r="248" spans="2:9">
      <c r="B248" s="31"/>
      <c r="C248" s="31"/>
      <c r="D248" s="32"/>
      <c r="E248" s="30"/>
      <c r="I248" s="30"/>
    </row>
    <row r="249" spans="2:9">
      <c r="B249" s="31"/>
      <c r="C249" s="31"/>
      <c r="D249" s="32"/>
      <c r="E249" s="30"/>
      <c r="I249" s="30"/>
    </row>
    <row r="250" spans="2:9">
      <c r="B250" s="31"/>
      <c r="C250" s="31"/>
      <c r="D250" s="32"/>
      <c r="E250" s="30"/>
      <c r="I250" s="30"/>
    </row>
    <row r="251" spans="2:9">
      <c r="B251" s="31"/>
      <c r="C251" s="31"/>
      <c r="D251" s="32"/>
      <c r="E251" s="30"/>
      <c r="I251" s="30"/>
    </row>
    <row r="252" spans="2:9">
      <c r="B252" s="31"/>
      <c r="C252" s="31"/>
      <c r="D252" s="32"/>
      <c r="E252" s="30"/>
      <c r="I252" s="30"/>
    </row>
    <row r="253" spans="2:9">
      <c r="B253" s="31"/>
      <c r="C253" s="31"/>
      <c r="D253" s="32"/>
      <c r="E253" s="30"/>
      <c r="I253" s="30"/>
    </row>
    <row r="254" spans="2:9">
      <c r="B254" s="31"/>
      <c r="C254" s="31"/>
      <c r="D254" s="32"/>
      <c r="E254" s="30"/>
      <c r="I254" s="30"/>
    </row>
    <row r="255" spans="2:9">
      <c r="B255" s="31"/>
      <c r="C255" s="31"/>
      <c r="D255" s="32"/>
      <c r="E255" s="30"/>
      <c r="I255" s="30"/>
    </row>
    <row r="256" spans="2:9">
      <c r="B256" s="31"/>
      <c r="C256" s="31"/>
      <c r="D256" s="32"/>
      <c r="E256" s="30"/>
      <c r="I256" s="30"/>
    </row>
    <row r="257" spans="2:9">
      <c r="B257" s="31"/>
      <c r="C257" s="31"/>
      <c r="D257" s="32"/>
      <c r="E257" s="30"/>
      <c r="I257" s="30"/>
    </row>
    <row r="258" spans="2:9">
      <c r="B258" s="31"/>
      <c r="C258" s="31"/>
      <c r="D258" s="32"/>
      <c r="E258" s="30"/>
      <c r="I258" s="30"/>
    </row>
    <row r="259" spans="2:9">
      <c r="B259" s="31"/>
      <c r="C259" s="31"/>
      <c r="D259" s="32"/>
      <c r="E259" s="30"/>
      <c r="I259" s="30"/>
    </row>
    <row r="260" spans="2:9">
      <c r="B260" s="31"/>
      <c r="C260" s="31"/>
      <c r="D260" s="32"/>
      <c r="E260" s="30"/>
      <c r="I260" s="30"/>
    </row>
    <row r="261" spans="2:9">
      <c r="B261" s="31"/>
      <c r="C261" s="31"/>
      <c r="D261" s="32"/>
      <c r="E261" s="30"/>
      <c r="I261" s="30"/>
    </row>
    <row r="262" spans="2:9">
      <c r="B262" s="31"/>
      <c r="C262" s="31"/>
      <c r="D262" s="32"/>
      <c r="E262" s="30"/>
      <c r="I262" s="30"/>
    </row>
    <row r="263" spans="2:9">
      <c r="B263" s="31"/>
      <c r="C263" s="31"/>
      <c r="D263" s="32"/>
      <c r="E263" s="30"/>
      <c r="I263" s="30"/>
    </row>
    <row r="264" spans="2:9">
      <c r="B264" s="31"/>
      <c r="C264" s="31"/>
      <c r="D264" s="32"/>
      <c r="E264" s="30"/>
      <c r="I264" s="30"/>
    </row>
    <row r="265" spans="2:9">
      <c r="B265" s="31"/>
      <c r="C265" s="31"/>
      <c r="D265" s="32"/>
      <c r="E265" s="30"/>
      <c r="I265" s="30"/>
    </row>
    <row r="266" spans="2:9">
      <c r="B266" s="31"/>
      <c r="C266" s="31"/>
      <c r="D266" s="32"/>
      <c r="E266" s="30"/>
      <c r="I266" s="30"/>
    </row>
    <row r="267" spans="2:9">
      <c r="B267" s="31"/>
      <c r="C267" s="31"/>
      <c r="D267" s="32"/>
      <c r="E267" s="30"/>
      <c r="I267" s="30"/>
    </row>
    <row r="268" spans="2:9">
      <c r="B268" s="31"/>
      <c r="C268" s="31"/>
      <c r="D268" s="32"/>
      <c r="E268" s="30"/>
      <c r="I268" s="30"/>
    </row>
    <row r="269" spans="2:9">
      <c r="B269" s="31"/>
      <c r="C269" s="31"/>
      <c r="D269" s="32"/>
      <c r="E269" s="30"/>
      <c r="I269" s="30"/>
    </row>
    <row r="270" spans="2:9">
      <c r="B270" s="31"/>
      <c r="C270" s="31"/>
      <c r="D270" s="32"/>
      <c r="E270" s="30"/>
      <c r="I270" s="30"/>
    </row>
    <row r="271" spans="2:9">
      <c r="B271" s="31"/>
      <c r="C271" s="31"/>
      <c r="D271" s="32"/>
      <c r="E271" s="30"/>
      <c r="I271" s="30"/>
    </row>
    <row r="272" spans="2:9">
      <c r="B272" s="31"/>
      <c r="C272" s="31"/>
      <c r="D272" s="32"/>
      <c r="E272" s="30"/>
      <c r="I272" s="30"/>
    </row>
    <row r="273" spans="2:9">
      <c r="B273" s="31"/>
      <c r="C273" s="31"/>
      <c r="D273" s="32"/>
      <c r="E273" s="30"/>
      <c r="I273" s="30"/>
    </row>
    <row r="274" spans="2:9">
      <c r="B274" s="31"/>
      <c r="C274" s="31"/>
      <c r="D274" s="32"/>
      <c r="E274" s="30"/>
      <c r="I274" s="30"/>
    </row>
    <row r="275" spans="2:9">
      <c r="B275" s="31"/>
      <c r="C275" s="31"/>
      <c r="D275" s="32"/>
      <c r="E275" s="30"/>
      <c r="I275" s="30"/>
    </row>
    <row r="276" spans="2:9">
      <c r="B276" s="31"/>
      <c r="C276" s="31"/>
      <c r="D276" s="32"/>
      <c r="E276" s="30"/>
      <c r="I276" s="30"/>
    </row>
    <row r="277" spans="2:9">
      <c r="B277" s="31"/>
      <c r="C277" s="31"/>
      <c r="D277" s="32"/>
      <c r="E277" s="30"/>
      <c r="I277" s="30"/>
    </row>
    <row r="278" spans="2:9">
      <c r="B278" s="31"/>
      <c r="C278" s="31"/>
      <c r="D278" s="32"/>
      <c r="E278" s="30"/>
      <c r="I278" s="30"/>
    </row>
    <row r="279" spans="2:9">
      <c r="B279" s="31"/>
      <c r="C279" s="31"/>
      <c r="D279" s="32"/>
      <c r="E279" s="30"/>
      <c r="I279" s="30"/>
    </row>
    <row r="280" spans="2:9">
      <c r="B280" s="31"/>
      <c r="C280" s="31"/>
      <c r="D280" s="32"/>
      <c r="E280" s="30"/>
      <c r="I280" s="30"/>
    </row>
    <row r="281" spans="2:9">
      <c r="B281" s="31"/>
      <c r="C281" s="31"/>
      <c r="D281" s="32"/>
      <c r="E281" s="30"/>
      <c r="I281" s="30"/>
    </row>
    <row r="282" spans="2:9">
      <c r="B282" s="31"/>
      <c r="C282" s="31"/>
      <c r="D282" s="32"/>
      <c r="E282" s="30"/>
      <c r="I282" s="30"/>
    </row>
    <row r="283" spans="2:9">
      <c r="B283" s="31"/>
      <c r="C283" s="31"/>
      <c r="D283" s="32"/>
      <c r="E283" s="30"/>
      <c r="I283" s="30"/>
    </row>
    <row r="284" spans="2:9">
      <c r="B284" s="31"/>
      <c r="C284" s="31"/>
      <c r="D284" s="32"/>
      <c r="E284" s="30"/>
      <c r="I284" s="30"/>
    </row>
    <row r="285" spans="2:9">
      <c r="B285" s="31"/>
      <c r="C285" s="31"/>
      <c r="D285" s="32"/>
      <c r="E285" s="30"/>
      <c r="I285" s="30"/>
    </row>
    <row r="286" spans="2:9">
      <c r="B286" s="31"/>
      <c r="C286" s="31"/>
      <c r="D286" s="32"/>
      <c r="E286" s="30"/>
      <c r="I286" s="30"/>
    </row>
    <row r="287" spans="2:9">
      <c r="B287" s="31"/>
      <c r="C287" s="31"/>
      <c r="D287" s="32"/>
      <c r="E287" s="30"/>
      <c r="I287" s="30"/>
    </row>
    <row r="288" spans="2:9">
      <c r="B288" s="31"/>
      <c r="C288" s="31"/>
      <c r="D288" s="32"/>
      <c r="E288" s="30"/>
      <c r="I288" s="30"/>
    </row>
    <row r="289" spans="2:9">
      <c r="B289" s="31"/>
      <c r="C289" s="31"/>
      <c r="D289" s="32"/>
      <c r="E289" s="30"/>
      <c r="I289" s="30"/>
    </row>
    <row r="290" spans="2:9">
      <c r="B290" s="31"/>
      <c r="C290" s="31"/>
      <c r="D290" s="32"/>
      <c r="E290" s="30"/>
      <c r="I290" s="30"/>
    </row>
    <row r="291" spans="2:9">
      <c r="B291" s="31"/>
      <c r="C291" s="31"/>
      <c r="D291" s="32"/>
      <c r="E291" s="30"/>
      <c r="I291" s="30"/>
    </row>
    <row r="292" spans="2:9">
      <c r="B292" s="31"/>
      <c r="C292" s="31"/>
      <c r="D292" s="32"/>
      <c r="E292" s="30"/>
      <c r="I292" s="30"/>
    </row>
    <row r="293" spans="2:9">
      <c r="B293" s="31"/>
      <c r="C293" s="31"/>
      <c r="D293" s="32"/>
      <c r="E293" s="30"/>
      <c r="I293" s="30"/>
    </row>
    <row r="294" spans="2:9">
      <c r="B294" s="31"/>
      <c r="C294" s="31"/>
      <c r="D294" s="32"/>
      <c r="E294" s="30"/>
      <c r="I294" s="30"/>
    </row>
    <row r="295" spans="2:9">
      <c r="B295" s="31"/>
      <c r="C295" s="31"/>
      <c r="D295" s="32"/>
      <c r="E295" s="30"/>
      <c r="I295" s="30"/>
    </row>
    <row r="296" spans="2:9">
      <c r="B296" s="31"/>
      <c r="C296" s="31"/>
      <c r="D296" s="32"/>
      <c r="E296" s="30"/>
      <c r="I296" s="30"/>
    </row>
    <row r="297" spans="2:9">
      <c r="B297" s="31"/>
      <c r="C297" s="31"/>
      <c r="D297" s="32"/>
      <c r="E297" s="30"/>
      <c r="I297" s="30"/>
    </row>
    <row r="298" spans="2:9">
      <c r="B298" s="31"/>
      <c r="C298" s="31"/>
      <c r="D298" s="32"/>
      <c r="E298" s="30"/>
      <c r="I298" s="30"/>
    </row>
    <row r="299" spans="2:9">
      <c r="B299" s="31"/>
      <c r="C299" s="31"/>
      <c r="D299" s="32"/>
      <c r="E299" s="30"/>
      <c r="I299" s="30"/>
    </row>
    <row r="300" spans="2:9">
      <c r="B300" s="31"/>
      <c r="C300" s="31"/>
      <c r="D300" s="32"/>
      <c r="E300" s="30"/>
      <c r="I300" s="30"/>
    </row>
    <row r="301" spans="2:9">
      <c r="B301" s="31"/>
      <c r="C301" s="31"/>
      <c r="D301" s="32"/>
      <c r="E301" s="30"/>
      <c r="I301" s="30"/>
    </row>
    <row r="302" spans="2:9">
      <c r="B302" s="31"/>
      <c r="C302" s="31"/>
      <c r="D302" s="32"/>
      <c r="E302" s="30"/>
      <c r="I302" s="30"/>
    </row>
    <row r="303" spans="2:9">
      <c r="B303" s="31"/>
      <c r="C303" s="31"/>
      <c r="D303" s="32"/>
      <c r="E303" s="30"/>
      <c r="I303" s="30"/>
    </row>
    <row r="304" spans="2:9">
      <c r="B304" s="31"/>
      <c r="C304" s="31"/>
      <c r="D304" s="32"/>
      <c r="E304" s="30"/>
      <c r="I304" s="30"/>
    </row>
    <row r="305" spans="2:9">
      <c r="B305" s="31"/>
      <c r="C305" s="31"/>
      <c r="D305" s="32"/>
      <c r="E305" s="30"/>
      <c r="I305" s="30"/>
    </row>
    <row r="306" spans="2:9">
      <c r="B306" s="31"/>
      <c r="C306" s="31"/>
      <c r="D306" s="32"/>
      <c r="E306" s="30"/>
      <c r="I306" s="30"/>
    </row>
    <row r="307" spans="2:9">
      <c r="B307" s="31"/>
      <c r="C307" s="31"/>
      <c r="D307" s="32"/>
      <c r="E307" s="30"/>
      <c r="I307" s="30"/>
    </row>
    <row r="308" spans="2:9">
      <c r="B308" s="31"/>
      <c r="C308" s="31"/>
      <c r="D308" s="32"/>
      <c r="E308" s="30"/>
      <c r="I308" s="30"/>
    </row>
    <row r="309" spans="2:9">
      <c r="B309" s="31"/>
      <c r="C309" s="31"/>
      <c r="D309" s="32"/>
      <c r="E309" s="30"/>
      <c r="I309" s="30"/>
    </row>
    <row r="310" spans="2:9">
      <c r="B310" s="31"/>
      <c r="C310" s="31"/>
      <c r="D310" s="32"/>
      <c r="E310" s="30"/>
      <c r="I310" s="30"/>
    </row>
    <row r="311" spans="2:9">
      <c r="B311" s="31"/>
      <c r="C311" s="31"/>
      <c r="D311" s="32"/>
      <c r="E311" s="30"/>
      <c r="I311" s="30"/>
    </row>
    <row r="312" spans="2:9">
      <c r="B312" s="31"/>
      <c r="C312" s="31"/>
      <c r="D312" s="32"/>
      <c r="E312" s="30"/>
      <c r="I312" s="30"/>
    </row>
    <row r="313" spans="2:9">
      <c r="B313" s="31"/>
      <c r="C313" s="31"/>
      <c r="D313" s="32"/>
      <c r="E313" s="30"/>
      <c r="I313" s="30"/>
    </row>
    <row r="314" spans="2:9">
      <c r="B314" s="31"/>
      <c r="C314" s="31"/>
      <c r="D314" s="32"/>
      <c r="E314" s="30"/>
      <c r="I314" s="30"/>
    </row>
    <row r="315" spans="2:9">
      <c r="B315" s="31"/>
      <c r="C315" s="31"/>
      <c r="D315" s="32"/>
      <c r="E315" s="30"/>
      <c r="I315" s="30"/>
    </row>
    <row r="316" spans="2:9">
      <c r="B316" s="31"/>
      <c r="C316" s="31"/>
      <c r="D316" s="32"/>
      <c r="E316" s="30"/>
      <c r="I316" s="30"/>
    </row>
    <row r="317" spans="2:9">
      <c r="B317" s="31"/>
      <c r="C317" s="31"/>
      <c r="D317" s="32"/>
      <c r="E317" s="30"/>
      <c r="I317" s="30"/>
    </row>
    <row r="318" spans="2:9">
      <c r="B318" s="31"/>
      <c r="C318" s="31"/>
      <c r="D318" s="32"/>
      <c r="E318" s="30"/>
      <c r="I318" s="30"/>
    </row>
    <row r="319" spans="2:9">
      <c r="B319" s="31"/>
      <c r="C319" s="31"/>
      <c r="D319" s="32"/>
      <c r="E319" s="30"/>
      <c r="I319" s="30"/>
    </row>
    <row r="320" spans="2:9">
      <c r="B320" s="31"/>
      <c r="C320" s="31"/>
      <c r="D320" s="32"/>
      <c r="E320" s="30"/>
      <c r="I320" s="30"/>
    </row>
    <row r="321" spans="2:9">
      <c r="B321" s="31"/>
      <c r="C321" s="31"/>
      <c r="D321" s="32"/>
      <c r="E321" s="30"/>
      <c r="I321" s="30"/>
    </row>
    <row r="322" spans="2:9">
      <c r="B322" s="31"/>
      <c r="C322" s="31"/>
      <c r="D322" s="32"/>
      <c r="E322" s="30"/>
      <c r="I322" s="30"/>
    </row>
    <row r="323" spans="2:9">
      <c r="B323" s="31"/>
      <c r="C323" s="31"/>
      <c r="D323" s="32"/>
      <c r="E323" s="30"/>
      <c r="I323" s="30"/>
    </row>
    <row r="324" spans="2:9">
      <c r="B324" s="31"/>
      <c r="C324" s="31"/>
      <c r="D324" s="32"/>
      <c r="E324" s="30"/>
      <c r="I324" s="30"/>
    </row>
    <row r="325" spans="2:9">
      <c r="B325" s="31"/>
      <c r="C325" s="31"/>
      <c r="D325" s="32"/>
      <c r="E325" s="30"/>
      <c r="I325" s="30"/>
    </row>
    <row r="326" spans="2:9">
      <c r="B326" s="31"/>
      <c r="C326" s="31"/>
      <c r="D326" s="32"/>
      <c r="E326" s="30"/>
      <c r="I326" s="30"/>
    </row>
    <row r="327" spans="2:9">
      <c r="B327" s="31"/>
      <c r="C327" s="31"/>
      <c r="D327" s="32"/>
      <c r="E327" s="30"/>
      <c r="I327" s="30"/>
    </row>
    <row r="328" spans="2:9">
      <c r="B328" s="31"/>
      <c r="C328" s="31"/>
      <c r="D328" s="32"/>
      <c r="E328" s="30"/>
      <c r="I328" s="30"/>
    </row>
    <row r="329" spans="2:9">
      <c r="B329" s="31"/>
      <c r="C329" s="31"/>
      <c r="D329" s="32"/>
      <c r="E329" s="30"/>
      <c r="I329" s="30"/>
    </row>
    <row r="330" spans="2:9">
      <c r="B330" s="31"/>
      <c r="C330" s="31"/>
      <c r="D330" s="32"/>
      <c r="E330" s="30"/>
      <c r="I330" s="30"/>
    </row>
    <row r="331" spans="2:9">
      <c r="B331" s="31"/>
      <c r="C331" s="31"/>
      <c r="D331" s="32"/>
      <c r="E331" s="30"/>
      <c r="I331" s="30"/>
    </row>
    <row r="332" spans="2:9">
      <c r="B332" s="31"/>
      <c r="C332" s="31"/>
      <c r="D332" s="32"/>
      <c r="E332" s="30"/>
      <c r="I332" s="30"/>
    </row>
    <row r="333" spans="2:9">
      <c r="B333" s="31"/>
      <c r="C333" s="31"/>
      <c r="D333" s="32"/>
      <c r="E333" s="30"/>
      <c r="I333" s="30"/>
    </row>
    <row r="334" spans="2:9">
      <c r="B334" s="31"/>
      <c r="C334" s="31"/>
      <c r="D334" s="32"/>
      <c r="E334" s="30"/>
      <c r="I334" s="30"/>
    </row>
    <row r="335" spans="2:9">
      <c r="B335" s="31"/>
      <c r="C335" s="31"/>
      <c r="D335" s="32"/>
      <c r="E335" s="30"/>
      <c r="I335" s="30"/>
    </row>
    <row r="336" spans="2:9">
      <c r="B336" s="31"/>
      <c r="C336" s="31"/>
      <c r="D336" s="32"/>
      <c r="E336" s="30"/>
      <c r="I336" s="30"/>
    </row>
    <row r="337" spans="2:9">
      <c r="B337" s="31"/>
      <c r="C337" s="31"/>
      <c r="D337" s="32"/>
      <c r="E337" s="30"/>
      <c r="I337" s="30"/>
    </row>
    <row r="338" spans="2:9">
      <c r="B338" s="31"/>
      <c r="C338" s="31"/>
      <c r="D338" s="32"/>
      <c r="E338" s="30"/>
      <c r="I338" s="30"/>
    </row>
    <row r="339" spans="2:9">
      <c r="B339" s="31"/>
      <c r="C339" s="31"/>
      <c r="D339" s="32"/>
      <c r="E339" s="30"/>
      <c r="I339" s="30"/>
    </row>
    <row r="340" spans="2:9">
      <c r="B340" s="31"/>
      <c r="C340" s="31"/>
      <c r="D340" s="32"/>
      <c r="E340" s="30"/>
      <c r="I340" s="30"/>
    </row>
    <row r="341" spans="2:9">
      <c r="B341" s="31"/>
      <c r="C341" s="31"/>
      <c r="D341" s="32"/>
      <c r="E341" s="30"/>
      <c r="I341" s="30"/>
    </row>
    <row r="342" spans="2:9">
      <c r="B342" s="31"/>
      <c r="C342" s="31"/>
      <c r="D342" s="32"/>
      <c r="E342" s="30"/>
      <c r="I342" s="30"/>
    </row>
    <row r="343" spans="2:9">
      <c r="B343" s="31"/>
      <c r="C343" s="31"/>
      <c r="D343" s="32"/>
      <c r="E343" s="30"/>
      <c r="I343" s="30"/>
    </row>
    <row r="344" spans="2:9">
      <c r="B344" s="31"/>
      <c r="C344" s="31"/>
      <c r="D344" s="32"/>
      <c r="E344" s="30"/>
      <c r="I344" s="30"/>
    </row>
    <row r="345" spans="2:9">
      <c r="B345" s="31"/>
      <c r="C345" s="31"/>
      <c r="D345" s="32"/>
      <c r="E345" s="30"/>
      <c r="I345" s="30"/>
    </row>
    <row r="346" spans="2:9">
      <c r="B346" s="31"/>
      <c r="C346" s="31"/>
      <c r="D346" s="32"/>
      <c r="E346" s="30"/>
      <c r="I346" s="30"/>
    </row>
    <row r="347" spans="2:9">
      <c r="B347" s="31"/>
      <c r="C347" s="31"/>
      <c r="D347" s="32"/>
      <c r="E347" s="30"/>
      <c r="I347" s="30"/>
    </row>
    <row r="348" spans="2:9">
      <c r="B348" s="31"/>
      <c r="C348" s="31"/>
      <c r="D348" s="32"/>
      <c r="E348" s="30"/>
      <c r="I348" s="30"/>
    </row>
    <row r="349" spans="2:9">
      <c r="B349" s="31"/>
      <c r="C349" s="31"/>
      <c r="D349" s="32"/>
      <c r="E349" s="30"/>
      <c r="I349" s="30"/>
    </row>
    <row r="350" spans="2:9">
      <c r="B350" s="31"/>
      <c r="C350" s="31"/>
      <c r="D350" s="32"/>
      <c r="E350" s="30"/>
      <c r="I350" s="30"/>
    </row>
    <row r="351" spans="2:9">
      <c r="B351" s="31"/>
      <c r="C351" s="31"/>
      <c r="D351" s="32"/>
      <c r="E351" s="30"/>
      <c r="I351" s="30"/>
    </row>
    <row r="352" spans="2:9">
      <c r="B352" s="31"/>
      <c r="C352" s="31"/>
      <c r="D352" s="32"/>
      <c r="E352" s="30"/>
      <c r="I352" s="30"/>
    </row>
    <row r="353" spans="2:9">
      <c r="B353" s="31"/>
      <c r="C353" s="31"/>
      <c r="D353" s="32"/>
      <c r="E353" s="30"/>
      <c r="I353" s="30"/>
    </row>
    <row r="354" spans="2:9">
      <c r="B354" s="31"/>
      <c r="C354" s="31"/>
      <c r="D354" s="32"/>
      <c r="E354" s="30"/>
      <c r="I354" s="30"/>
    </row>
    <row r="355" spans="2:9">
      <c r="B355" s="31"/>
      <c r="C355" s="31"/>
      <c r="D355" s="32"/>
      <c r="E355" s="30"/>
      <c r="I355" s="30"/>
    </row>
    <row r="356" spans="2:9">
      <c r="B356" s="31"/>
      <c r="C356" s="31"/>
      <c r="D356" s="32"/>
      <c r="E356" s="30"/>
      <c r="I356" s="30"/>
    </row>
    <row r="357" spans="2:9">
      <c r="B357" s="31"/>
      <c r="C357" s="31"/>
      <c r="D357" s="32"/>
      <c r="E357" s="30"/>
      <c r="I357" s="30"/>
    </row>
    <row r="358" spans="2:9">
      <c r="B358" s="31"/>
      <c r="C358" s="31"/>
      <c r="D358" s="32"/>
      <c r="E358" s="30"/>
      <c r="I358" s="30"/>
    </row>
    <row r="359" spans="2:9">
      <c r="B359" s="31"/>
      <c r="C359" s="31"/>
      <c r="D359" s="32"/>
      <c r="E359" s="30"/>
      <c r="I359" s="30"/>
    </row>
    <row r="360" spans="2:9">
      <c r="B360" s="31"/>
      <c r="C360" s="31"/>
      <c r="D360" s="32"/>
      <c r="E360" s="30"/>
      <c r="I360" s="30"/>
    </row>
    <row r="361" spans="2:9">
      <c r="B361" s="31"/>
      <c r="C361" s="31"/>
      <c r="D361" s="32"/>
      <c r="E361" s="30"/>
      <c r="I361" s="30"/>
    </row>
    <row r="362" spans="2:9">
      <c r="B362" s="31"/>
      <c r="C362" s="31"/>
      <c r="D362" s="32"/>
      <c r="E362" s="30"/>
      <c r="I362" s="30"/>
    </row>
    <row r="363" spans="2:9">
      <c r="B363" s="31"/>
      <c r="C363" s="31"/>
      <c r="D363" s="32"/>
      <c r="E363" s="30"/>
      <c r="I363" s="30"/>
    </row>
    <row r="364" spans="2:9">
      <c r="B364" s="31"/>
      <c r="C364" s="31"/>
      <c r="D364" s="32"/>
      <c r="E364" s="30"/>
      <c r="I364" s="30"/>
    </row>
    <row r="365" spans="2:9">
      <c r="B365" s="31"/>
      <c r="C365" s="31"/>
      <c r="D365" s="32"/>
      <c r="E365" s="30"/>
      <c r="I365" s="30"/>
    </row>
    <row r="366" spans="2:9">
      <c r="B366" s="31"/>
      <c r="C366" s="31"/>
      <c r="D366" s="32"/>
      <c r="E366" s="30"/>
      <c r="I366" s="30"/>
    </row>
    <row r="367" spans="2:9">
      <c r="B367" s="31"/>
      <c r="C367" s="31"/>
      <c r="D367" s="32"/>
      <c r="E367" s="30"/>
      <c r="I367" s="30"/>
    </row>
    <row r="368" spans="2:9">
      <c r="B368" s="31"/>
      <c r="C368" s="31"/>
      <c r="D368" s="32"/>
      <c r="E368" s="30"/>
      <c r="I368" s="30"/>
    </row>
    <row r="369" spans="2:9">
      <c r="B369" s="31"/>
      <c r="C369" s="31"/>
      <c r="D369" s="32"/>
      <c r="E369" s="30"/>
      <c r="I369" s="30"/>
    </row>
    <row r="370" spans="2:9">
      <c r="B370" s="31"/>
      <c r="C370" s="31"/>
      <c r="D370" s="32"/>
      <c r="E370" s="30"/>
      <c r="I370" s="30"/>
    </row>
    <row r="371" spans="2:9">
      <c r="B371" s="31"/>
      <c r="C371" s="31"/>
      <c r="D371" s="32"/>
      <c r="E371" s="30"/>
      <c r="I371" s="30"/>
    </row>
    <row r="372" spans="2:9">
      <c r="B372" s="31"/>
      <c r="C372" s="31"/>
      <c r="D372" s="32"/>
      <c r="E372" s="30"/>
      <c r="I372" s="30"/>
    </row>
    <row r="373" spans="2:9">
      <c r="B373" s="31"/>
      <c r="C373" s="31"/>
      <c r="D373" s="32"/>
      <c r="E373" s="30"/>
      <c r="I373" s="30"/>
    </row>
    <row r="374" spans="2:9">
      <c r="B374" s="31"/>
      <c r="C374" s="31"/>
      <c r="D374" s="32"/>
      <c r="E374" s="30"/>
      <c r="I374" s="30"/>
    </row>
    <row r="375" spans="2:9">
      <c r="B375" s="31"/>
      <c r="C375" s="31"/>
      <c r="D375" s="32"/>
      <c r="E375" s="30"/>
      <c r="I375" s="30"/>
    </row>
    <row r="376" spans="2:9">
      <c r="B376" s="31"/>
      <c r="C376" s="31"/>
      <c r="D376" s="32"/>
      <c r="E376" s="30"/>
      <c r="I376" s="30"/>
    </row>
    <row r="377" spans="2:9">
      <c r="B377" s="31"/>
      <c r="C377" s="31"/>
      <c r="D377" s="32"/>
      <c r="E377" s="30"/>
      <c r="I377" s="30"/>
    </row>
    <row r="378" spans="2:9">
      <c r="B378" s="31"/>
      <c r="C378" s="31"/>
      <c r="D378" s="32"/>
      <c r="E378" s="30"/>
      <c r="I378" s="30"/>
    </row>
    <row r="379" spans="2:9">
      <c r="B379" s="31"/>
      <c r="C379" s="31"/>
      <c r="D379" s="32"/>
      <c r="E379" s="30"/>
      <c r="I379" s="30"/>
    </row>
    <row r="380" spans="2:9">
      <c r="B380" s="31"/>
      <c r="C380" s="31"/>
      <c r="D380" s="32"/>
      <c r="E380" s="30"/>
      <c r="I380" s="30"/>
    </row>
    <row r="381" spans="2:9">
      <c r="B381" s="31"/>
      <c r="C381" s="31"/>
      <c r="D381" s="32"/>
      <c r="E381" s="30"/>
      <c r="I381" s="30"/>
    </row>
    <row r="382" spans="2:9">
      <c r="B382" s="31"/>
      <c r="C382" s="31"/>
      <c r="D382" s="32"/>
      <c r="E382" s="30"/>
      <c r="I382" s="30"/>
    </row>
    <row r="383" spans="2:9">
      <c r="B383" s="31"/>
      <c r="C383" s="31"/>
      <c r="D383" s="32"/>
      <c r="E383" s="30"/>
      <c r="I383" s="30"/>
    </row>
    <row r="384" spans="2:9">
      <c r="B384" s="31"/>
      <c r="C384" s="31"/>
      <c r="D384" s="32"/>
      <c r="E384" s="30"/>
      <c r="I384" s="30"/>
    </row>
    <row r="385" spans="2:9">
      <c r="B385" s="31"/>
      <c r="C385" s="31"/>
      <c r="D385" s="32"/>
      <c r="E385" s="30"/>
      <c r="I385" s="30"/>
    </row>
    <row r="386" spans="2:9">
      <c r="B386" s="31"/>
      <c r="C386" s="31"/>
      <c r="D386" s="32"/>
      <c r="E386" s="30"/>
      <c r="I386" s="30"/>
    </row>
    <row r="387" spans="2:9">
      <c r="B387" s="31"/>
      <c r="C387" s="31"/>
      <c r="D387" s="32"/>
      <c r="E387" s="30"/>
      <c r="I387" s="30"/>
    </row>
    <row r="388" spans="2:9">
      <c r="B388" s="31"/>
      <c r="C388" s="31"/>
      <c r="D388" s="32"/>
      <c r="E388" s="30"/>
      <c r="I388" s="30"/>
    </row>
    <row r="389" spans="2:9">
      <c r="B389" s="31"/>
      <c r="C389" s="31"/>
      <c r="D389" s="32"/>
      <c r="E389" s="30"/>
      <c r="I389" s="30"/>
    </row>
    <row r="390" spans="2:9">
      <c r="B390" s="31"/>
      <c r="C390" s="31"/>
      <c r="D390" s="32"/>
      <c r="E390" s="30"/>
      <c r="I390" s="30"/>
    </row>
    <row r="391" spans="2:9">
      <c r="B391" s="31"/>
      <c r="C391" s="31"/>
      <c r="D391" s="32"/>
      <c r="E391" s="30"/>
      <c r="I391" s="30"/>
    </row>
    <row r="392" spans="2:9">
      <c r="B392" s="31"/>
      <c r="C392" s="31"/>
      <c r="D392" s="32"/>
      <c r="E392" s="30"/>
      <c r="I392" s="30"/>
    </row>
    <row r="393" spans="2:9">
      <c r="B393" s="31"/>
      <c r="C393" s="31"/>
      <c r="D393" s="32"/>
      <c r="E393" s="30"/>
      <c r="I393" s="30"/>
    </row>
    <row r="394" spans="2:9">
      <c r="B394" s="31"/>
      <c r="C394" s="31"/>
      <c r="D394" s="32"/>
      <c r="E394" s="30"/>
      <c r="I394" s="30"/>
    </row>
    <row r="395" spans="2:9">
      <c r="B395" s="31"/>
      <c r="C395" s="31"/>
      <c r="D395" s="32"/>
      <c r="E395" s="30"/>
      <c r="I395" s="30"/>
    </row>
    <row r="396" spans="2:9">
      <c r="B396" s="31"/>
      <c r="C396" s="31"/>
      <c r="D396" s="32"/>
      <c r="E396" s="30"/>
      <c r="I396" s="30"/>
    </row>
    <row r="397" spans="2:9">
      <c r="B397" s="31"/>
      <c r="C397" s="31"/>
      <c r="D397" s="32"/>
      <c r="E397" s="30"/>
      <c r="I397" s="30"/>
    </row>
    <row r="398" spans="2:9">
      <c r="B398" s="31"/>
      <c r="C398" s="31"/>
      <c r="D398" s="32"/>
      <c r="E398" s="30"/>
      <c r="I398" s="30"/>
    </row>
    <row r="399" spans="2:9">
      <c r="B399" s="31"/>
      <c r="C399" s="31"/>
      <c r="D399" s="32"/>
      <c r="E399" s="30"/>
      <c r="I399" s="30"/>
    </row>
    <row r="400" spans="2:9">
      <c r="B400" s="31"/>
      <c r="C400" s="31"/>
      <c r="D400" s="32"/>
      <c r="E400" s="30"/>
      <c r="I400" s="30"/>
    </row>
    <row r="401" spans="2:9">
      <c r="B401" s="31"/>
      <c r="C401" s="31"/>
      <c r="D401" s="32"/>
      <c r="E401" s="30"/>
      <c r="I401" s="30"/>
    </row>
    <row r="402" spans="2:9">
      <c r="B402" s="31"/>
      <c r="C402" s="31"/>
      <c r="D402" s="32"/>
      <c r="E402" s="30"/>
      <c r="I402" s="30"/>
    </row>
    <row r="403" spans="2:9">
      <c r="B403" s="31"/>
      <c r="C403" s="31"/>
      <c r="D403" s="32"/>
      <c r="E403" s="30"/>
      <c r="I403" s="30"/>
    </row>
    <row r="404" spans="2:9">
      <c r="B404" s="31"/>
      <c r="C404" s="31"/>
      <c r="D404" s="32"/>
      <c r="E404" s="30"/>
      <c r="I404" s="30"/>
    </row>
    <row r="405" spans="2:9">
      <c r="B405" s="31"/>
      <c r="C405" s="31"/>
      <c r="D405" s="32"/>
      <c r="E405" s="30"/>
      <c r="I405" s="30"/>
    </row>
    <row r="406" spans="2:9">
      <c r="B406" s="31"/>
      <c r="C406" s="31"/>
      <c r="D406" s="32"/>
      <c r="E406" s="30"/>
      <c r="I406" s="30"/>
    </row>
    <row r="407" spans="2:9">
      <c r="B407" s="31"/>
      <c r="C407" s="31"/>
      <c r="D407" s="32"/>
      <c r="E407" s="30"/>
      <c r="I407" s="30"/>
    </row>
    <row r="408" spans="2:9">
      <c r="B408" s="31"/>
      <c r="C408" s="31"/>
      <c r="D408" s="32"/>
      <c r="E408" s="30"/>
      <c r="I408" s="30"/>
    </row>
    <row r="409" spans="2:9">
      <c r="B409" s="31"/>
      <c r="C409" s="31"/>
      <c r="D409" s="32"/>
      <c r="E409" s="30"/>
      <c r="I409" s="30"/>
    </row>
    <row r="410" spans="2:9">
      <c r="B410" s="31"/>
      <c r="C410" s="31"/>
      <c r="D410" s="32"/>
      <c r="E410" s="30"/>
      <c r="I410" s="30"/>
    </row>
    <row r="411" spans="2:9">
      <c r="B411" s="31"/>
      <c r="C411" s="31"/>
      <c r="D411" s="32"/>
      <c r="E411" s="30"/>
      <c r="I411" s="30"/>
    </row>
    <row r="412" spans="2:9">
      <c r="B412" s="31"/>
      <c r="C412" s="31"/>
      <c r="D412" s="32"/>
      <c r="E412" s="30"/>
      <c r="I412" s="30"/>
    </row>
    <row r="413" spans="2:9">
      <c r="B413" s="31"/>
      <c r="C413" s="31"/>
      <c r="D413" s="32"/>
      <c r="E413" s="30"/>
      <c r="I413" s="30"/>
    </row>
    <row r="414" spans="2:9">
      <c r="B414" s="31"/>
      <c r="C414" s="31"/>
      <c r="D414" s="32"/>
      <c r="E414" s="30"/>
      <c r="I414" s="30"/>
    </row>
    <row r="415" spans="2:9">
      <c r="B415" s="31"/>
      <c r="C415" s="31"/>
      <c r="D415" s="32"/>
      <c r="E415" s="30"/>
      <c r="I415" s="30"/>
    </row>
    <row r="416" spans="2:9">
      <c r="B416" s="31"/>
      <c r="C416" s="31"/>
      <c r="D416" s="32"/>
      <c r="E416" s="30"/>
      <c r="I416" s="30"/>
    </row>
    <row r="417" spans="2:9">
      <c r="B417" s="31"/>
      <c r="C417" s="31"/>
      <c r="D417" s="32"/>
      <c r="E417" s="30"/>
      <c r="I417" s="30"/>
    </row>
    <row r="418" spans="2:9">
      <c r="B418" s="31"/>
      <c r="C418" s="31"/>
      <c r="D418" s="32"/>
      <c r="E418" s="30"/>
      <c r="I418" s="30"/>
    </row>
    <row r="419" spans="2:9">
      <c r="B419" s="31"/>
      <c r="C419" s="31"/>
      <c r="D419" s="32"/>
      <c r="E419" s="30"/>
      <c r="I419" s="30"/>
    </row>
    <row r="420" spans="2:9">
      <c r="B420" s="31"/>
      <c r="C420" s="31"/>
      <c r="D420" s="32"/>
      <c r="E420" s="30"/>
      <c r="I420" s="30"/>
    </row>
    <row r="421" spans="2:9">
      <c r="B421" s="31"/>
      <c r="C421" s="31"/>
      <c r="D421" s="32"/>
      <c r="E421" s="30"/>
      <c r="I421" s="30"/>
    </row>
    <row r="422" spans="2:9">
      <c r="B422" s="31"/>
      <c r="C422" s="31"/>
      <c r="D422" s="32"/>
      <c r="E422" s="30"/>
      <c r="I422" s="30"/>
    </row>
    <row r="423" spans="2:9">
      <c r="B423" s="31"/>
      <c r="C423" s="31"/>
      <c r="D423" s="32"/>
      <c r="E423" s="30"/>
      <c r="I423" s="30"/>
    </row>
    <row r="424" spans="2:9">
      <c r="B424" s="31"/>
      <c r="C424" s="31"/>
      <c r="D424" s="32"/>
      <c r="E424" s="30"/>
      <c r="I424" s="30"/>
    </row>
    <row r="425" spans="2:9">
      <c r="B425" s="31"/>
      <c r="C425" s="31"/>
      <c r="D425" s="32"/>
      <c r="E425" s="30"/>
      <c r="I425" s="30"/>
    </row>
    <row r="426" spans="2:9">
      <c r="B426" s="31"/>
      <c r="C426" s="31"/>
      <c r="D426" s="32"/>
      <c r="E426" s="30"/>
      <c r="I426" s="30"/>
    </row>
    <row r="427" spans="2:9">
      <c r="B427" s="31"/>
      <c r="C427" s="31"/>
      <c r="D427" s="32"/>
      <c r="E427" s="30"/>
      <c r="I427" s="30"/>
    </row>
    <row r="428" spans="2:9">
      <c r="B428" s="31"/>
      <c r="C428" s="31"/>
      <c r="D428" s="32"/>
      <c r="E428" s="30"/>
      <c r="I428" s="30"/>
    </row>
    <row r="429" spans="2:9">
      <c r="B429" s="31"/>
      <c r="C429" s="31"/>
      <c r="D429" s="32"/>
      <c r="E429" s="30"/>
      <c r="I429" s="30"/>
    </row>
    <row r="430" spans="2:9">
      <c r="B430" s="31"/>
      <c r="C430" s="31"/>
      <c r="D430" s="32"/>
      <c r="E430" s="30"/>
      <c r="I430" s="30"/>
    </row>
    <row r="431" spans="2:9">
      <c r="B431" s="31"/>
      <c r="C431" s="31"/>
      <c r="D431" s="32"/>
      <c r="E431" s="30"/>
      <c r="I431" s="30"/>
    </row>
    <row r="432" spans="2:9">
      <c r="B432" s="31"/>
      <c r="C432" s="31"/>
      <c r="D432" s="32"/>
      <c r="E432" s="30"/>
      <c r="I432" s="30"/>
    </row>
    <row r="433" spans="2:9">
      <c r="B433" s="31"/>
      <c r="C433" s="31"/>
      <c r="D433" s="32"/>
      <c r="E433" s="30"/>
      <c r="I433" s="30"/>
    </row>
    <row r="434" spans="2:9">
      <c r="B434" s="31"/>
      <c r="C434" s="31"/>
      <c r="D434" s="32"/>
      <c r="E434" s="30"/>
      <c r="I434" s="30"/>
    </row>
    <row r="435" spans="2:9">
      <c r="B435" s="31"/>
      <c r="C435" s="31"/>
      <c r="D435" s="32"/>
      <c r="E435" s="30"/>
      <c r="I435" s="30"/>
    </row>
    <row r="436" spans="2:9">
      <c r="B436" s="31"/>
      <c r="C436" s="31"/>
      <c r="D436" s="32"/>
      <c r="E436" s="30"/>
      <c r="I436" s="30"/>
    </row>
    <row r="437" spans="2:9">
      <c r="B437" s="31"/>
      <c r="C437" s="31"/>
      <c r="D437" s="32"/>
      <c r="E437" s="30"/>
      <c r="I437" s="30"/>
    </row>
    <row r="438" spans="2:9">
      <c r="B438" s="31"/>
      <c r="C438" s="31"/>
      <c r="D438" s="32"/>
      <c r="E438" s="30"/>
      <c r="I438" s="30"/>
    </row>
    <row r="439" spans="2:9">
      <c r="B439" s="31"/>
      <c r="C439" s="31"/>
      <c r="D439" s="32"/>
      <c r="E439" s="30"/>
      <c r="I439" s="30"/>
    </row>
    <row r="440" spans="2:9">
      <c r="B440" s="31"/>
      <c r="C440" s="31"/>
      <c r="D440" s="32"/>
      <c r="E440" s="30"/>
      <c r="I440" s="30"/>
    </row>
    <row r="441" spans="2:9">
      <c r="B441" s="31"/>
      <c r="C441" s="31"/>
      <c r="D441" s="32"/>
      <c r="E441" s="30"/>
      <c r="I441" s="30"/>
    </row>
    <row r="442" spans="2:9">
      <c r="B442" s="31"/>
      <c r="C442" s="31"/>
      <c r="D442" s="32"/>
      <c r="E442" s="30"/>
      <c r="I442" s="30"/>
    </row>
    <row r="443" spans="2:9">
      <c r="B443" s="31"/>
      <c r="C443" s="31"/>
      <c r="D443" s="32"/>
      <c r="E443" s="30"/>
      <c r="I443" s="30"/>
    </row>
    <row r="444" spans="2:9">
      <c r="B444" s="31"/>
      <c r="C444" s="31"/>
      <c r="D444" s="32"/>
      <c r="E444" s="30"/>
      <c r="I444" s="30"/>
    </row>
    <row r="445" spans="2:9">
      <c r="B445" s="31"/>
      <c r="C445" s="31"/>
      <c r="D445" s="32"/>
      <c r="E445" s="30"/>
      <c r="I445" s="30"/>
    </row>
    <row r="446" spans="2:9">
      <c r="B446" s="31"/>
      <c r="C446" s="31"/>
      <c r="D446" s="32"/>
      <c r="E446" s="30"/>
      <c r="I446" s="30"/>
    </row>
    <row r="447" spans="2:9">
      <c r="B447" s="31"/>
      <c r="C447" s="31"/>
      <c r="D447" s="32"/>
      <c r="E447" s="30"/>
      <c r="I447" s="30"/>
    </row>
    <row r="448" spans="2:9">
      <c r="B448" s="31"/>
      <c r="C448" s="31"/>
      <c r="D448" s="32"/>
      <c r="E448" s="30"/>
      <c r="I448" s="30"/>
    </row>
    <row r="449" spans="2:9">
      <c r="B449" s="31"/>
      <c r="C449" s="31"/>
      <c r="D449" s="32"/>
      <c r="E449" s="30"/>
      <c r="I449" s="30"/>
    </row>
    <row r="450" spans="2:9">
      <c r="B450" s="31"/>
      <c r="C450" s="31"/>
      <c r="D450" s="32"/>
      <c r="E450" s="30"/>
      <c r="I450" s="30"/>
    </row>
    <row r="451" spans="2:9">
      <c r="B451" s="31"/>
      <c r="C451" s="31"/>
      <c r="D451" s="32"/>
      <c r="E451" s="30"/>
      <c r="I451" s="30"/>
    </row>
    <row r="452" spans="2:9">
      <c r="B452" s="31"/>
      <c r="C452" s="31"/>
      <c r="D452" s="32"/>
      <c r="E452" s="30"/>
      <c r="I452" s="30"/>
    </row>
    <row r="453" spans="2:9">
      <c r="B453" s="31"/>
      <c r="C453" s="31"/>
      <c r="D453" s="32"/>
      <c r="E453" s="30"/>
      <c r="I453" s="30"/>
    </row>
    <row r="454" spans="2:9">
      <c r="B454" s="31"/>
      <c r="C454" s="31"/>
      <c r="D454" s="32"/>
      <c r="E454" s="30"/>
      <c r="I454" s="30"/>
    </row>
    <row r="455" spans="2:9">
      <c r="B455" s="31"/>
      <c r="C455" s="31"/>
      <c r="D455" s="32"/>
      <c r="E455" s="30"/>
      <c r="I455" s="30"/>
    </row>
    <row r="456" spans="2:9">
      <c r="B456" s="31"/>
      <c r="C456" s="31"/>
      <c r="D456" s="32"/>
      <c r="E456" s="30"/>
      <c r="I456" s="30"/>
    </row>
    <row r="457" spans="2:9">
      <c r="B457" s="31"/>
      <c r="C457" s="31"/>
      <c r="D457" s="32"/>
      <c r="E457" s="30"/>
      <c r="I457" s="30"/>
    </row>
    <row r="458" spans="2:9">
      <c r="B458" s="31"/>
      <c r="C458" s="31"/>
      <c r="D458" s="32"/>
      <c r="E458" s="30"/>
      <c r="I458" s="30"/>
    </row>
    <row r="459" spans="2:9">
      <c r="B459" s="31"/>
      <c r="C459" s="31"/>
      <c r="D459" s="32"/>
      <c r="E459" s="30"/>
      <c r="I459" s="30"/>
    </row>
    <row r="460" spans="2:9">
      <c r="B460" s="31"/>
      <c r="C460" s="31"/>
      <c r="D460" s="32"/>
      <c r="E460" s="30"/>
      <c r="I460" s="30"/>
    </row>
    <row r="461" spans="2:9">
      <c r="B461" s="31"/>
      <c r="C461" s="31"/>
      <c r="D461" s="32"/>
      <c r="E461" s="30"/>
      <c r="I461" s="30"/>
    </row>
    <row r="462" spans="2:9">
      <c r="B462" s="31"/>
      <c r="C462" s="31"/>
      <c r="D462" s="32"/>
      <c r="E462" s="30"/>
      <c r="I462" s="30"/>
    </row>
    <row r="463" spans="2:9">
      <c r="B463" s="31"/>
      <c r="C463" s="31"/>
      <c r="D463" s="32"/>
      <c r="E463" s="30"/>
      <c r="I463" s="30"/>
    </row>
    <row r="464" spans="2:9">
      <c r="B464" s="31"/>
      <c r="C464" s="31"/>
      <c r="D464" s="32"/>
      <c r="E464" s="30"/>
      <c r="I464" s="30"/>
    </row>
    <row r="465" spans="2:9">
      <c r="B465" s="31"/>
      <c r="C465" s="31"/>
      <c r="D465" s="32"/>
      <c r="E465" s="30"/>
      <c r="I465" s="30"/>
    </row>
    <row r="466" spans="2:9">
      <c r="B466" s="31"/>
      <c r="C466" s="31"/>
      <c r="D466" s="32"/>
      <c r="E466" s="30"/>
      <c r="I466" s="30"/>
    </row>
    <row r="467" spans="2:9">
      <c r="B467" s="31"/>
      <c r="C467" s="31"/>
      <c r="D467" s="32"/>
      <c r="E467" s="30"/>
      <c r="I467" s="30"/>
    </row>
    <row r="468" spans="2:9">
      <c r="B468" s="31"/>
      <c r="C468" s="31"/>
      <c r="D468" s="32"/>
      <c r="E468" s="30"/>
      <c r="I468" s="30"/>
    </row>
    <row r="469" spans="2:9">
      <c r="B469" s="31"/>
      <c r="C469" s="31"/>
      <c r="D469" s="32"/>
      <c r="E469" s="30"/>
      <c r="I469" s="30"/>
    </row>
    <row r="470" spans="2:9">
      <c r="B470" s="31"/>
      <c r="C470" s="31"/>
      <c r="D470" s="32"/>
      <c r="E470" s="30"/>
      <c r="I470" s="30"/>
    </row>
    <row r="471" spans="2:9">
      <c r="B471" s="31"/>
      <c r="C471" s="31"/>
      <c r="D471" s="32"/>
      <c r="E471" s="30"/>
      <c r="I471" s="30"/>
    </row>
    <row r="472" spans="2:9">
      <c r="B472" s="31"/>
      <c r="C472" s="31"/>
      <c r="D472" s="32"/>
      <c r="E472" s="30"/>
      <c r="I472" s="30"/>
    </row>
    <row r="473" spans="2:9">
      <c r="B473" s="31"/>
      <c r="C473" s="31"/>
      <c r="D473" s="32"/>
      <c r="E473" s="30"/>
      <c r="I473" s="30"/>
    </row>
    <row r="474" spans="2:9">
      <c r="B474" s="31"/>
      <c r="C474" s="31"/>
      <c r="D474" s="32"/>
      <c r="E474" s="30"/>
      <c r="I474" s="30"/>
    </row>
    <row r="475" spans="2:9">
      <c r="B475" s="31"/>
      <c r="C475" s="31"/>
      <c r="D475" s="32"/>
      <c r="E475" s="30"/>
      <c r="I475" s="30"/>
    </row>
    <row r="476" spans="2:9">
      <c r="B476" s="31"/>
      <c r="C476" s="31"/>
      <c r="D476" s="32"/>
      <c r="E476" s="30"/>
      <c r="I476" s="30"/>
    </row>
    <row r="477" spans="2:9">
      <c r="B477" s="31"/>
      <c r="C477" s="31"/>
      <c r="D477" s="32"/>
      <c r="E477" s="30"/>
      <c r="I477" s="30"/>
    </row>
    <row r="478" spans="2:9">
      <c r="B478" s="31"/>
      <c r="C478" s="31"/>
      <c r="D478" s="32"/>
      <c r="E478" s="30"/>
      <c r="I478" s="30"/>
    </row>
    <row r="479" spans="2:9">
      <c r="B479" s="31"/>
      <c r="C479" s="31"/>
      <c r="D479" s="32"/>
      <c r="E479" s="30"/>
      <c r="I479" s="30"/>
    </row>
    <row r="480" spans="2:9">
      <c r="B480" s="31"/>
      <c r="C480" s="31"/>
      <c r="D480" s="32"/>
      <c r="E480" s="30"/>
      <c r="I480" s="30"/>
    </row>
    <row r="481" spans="2:9">
      <c r="B481" s="31"/>
      <c r="C481" s="31"/>
      <c r="D481" s="32"/>
      <c r="E481" s="30"/>
      <c r="I481" s="30"/>
    </row>
    <row r="482" spans="2:9">
      <c r="B482" s="31"/>
      <c r="C482" s="31"/>
      <c r="D482" s="32"/>
      <c r="E482" s="30"/>
      <c r="I482" s="30"/>
    </row>
    <row r="483" spans="2:9">
      <c r="B483" s="31"/>
      <c r="C483" s="31"/>
      <c r="D483" s="32"/>
      <c r="E483" s="30"/>
      <c r="I483" s="30"/>
    </row>
    <row r="484" spans="2:9">
      <c r="B484" s="31"/>
      <c r="C484" s="31"/>
      <c r="D484" s="32"/>
      <c r="E484" s="30"/>
      <c r="I484" s="30"/>
    </row>
    <row r="485" spans="2:9">
      <c r="B485" s="31"/>
      <c r="C485" s="31"/>
      <c r="D485" s="32"/>
      <c r="E485" s="30"/>
      <c r="I485" s="30"/>
    </row>
    <row r="486" spans="2:9">
      <c r="B486" s="31"/>
      <c r="C486" s="31"/>
      <c r="D486" s="32"/>
      <c r="E486" s="30"/>
      <c r="I486" s="30"/>
    </row>
    <row r="487" spans="2:9">
      <c r="B487" s="31"/>
      <c r="C487" s="31"/>
      <c r="D487" s="32"/>
      <c r="E487" s="30"/>
      <c r="I487" s="30"/>
    </row>
    <row r="488" spans="2:9">
      <c r="B488" s="31"/>
      <c r="C488" s="31"/>
      <c r="D488" s="32"/>
      <c r="E488" s="30"/>
      <c r="I488" s="30"/>
    </row>
    <row r="489" spans="2:9">
      <c r="B489" s="31"/>
      <c r="C489" s="31"/>
      <c r="D489" s="32"/>
      <c r="E489" s="30"/>
      <c r="I489" s="30"/>
    </row>
    <row r="490" spans="2:9">
      <c r="B490" s="31"/>
      <c r="C490" s="31"/>
      <c r="D490" s="32"/>
      <c r="E490" s="30"/>
      <c r="I490" s="30"/>
    </row>
    <row r="491" spans="2:9">
      <c r="B491" s="31"/>
      <c r="C491" s="31"/>
      <c r="D491" s="32"/>
      <c r="E491" s="30"/>
      <c r="I491" s="30"/>
    </row>
    <row r="492" spans="2:9">
      <c r="B492" s="31"/>
      <c r="C492" s="31"/>
      <c r="D492" s="32"/>
      <c r="E492" s="30"/>
      <c r="I492" s="30"/>
    </row>
    <row r="493" spans="2:9">
      <c r="B493" s="31"/>
      <c r="C493" s="31"/>
      <c r="D493" s="32"/>
      <c r="E493" s="30"/>
      <c r="I493" s="30"/>
    </row>
    <row r="494" spans="2:9">
      <c r="B494" s="31"/>
      <c r="C494" s="31"/>
      <c r="D494" s="32"/>
      <c r="E494" s="30"/>
      <c r="I494" s="30"/>
    </row>
    <row r="495" spans="2:9">
      <c r="B495" s="31"/>
      <c r="C495" s="31"/>
      <c r="D495" s="32"/>
      <c r="E495" s="30"/>
      <c r="I495" s="30"/>
    </row>
    <row r="496" spans="2:9">
      <c r="B496" s="31"/>
      <c r="C496" s="31"/>
      <c r="D496" s="32"/>
      <c r="E496" s="30"/>
      <c r="I496" s="30"/>
    </row>
    <row r="497" spans="2:9">
      <c r="B497" s="31"/>
      <c r="C497" s="31"/>
      <c r="D497" s="32"/>
      <c r="E497" s="30"/>
      <c r="I497" s="30"/>
    </row>
    <row r="498" spans="2:9">
      <c r="B498" s="31"/>
      <c r="C498" s="31"/>
      <c r="D498" s="32"/>
      <c r="E498" s="30"/>
      <c r="I498" s="30"/>
    </row>
    <row r="499" spans="2:9">
      <c r="B499" s="31"/>
      <c r="C499" s="31"/>
      <c r="D499" s="32"/>
      <c r="E499" s="30"/>
      <c r="I499" s="30"/>
    </row>
    <row r="500" spans="2:9">
      <c r="B500" s="31"/>
      <c r="C500" s="31"/>
      <c r="D500" s="32"/>
      <c r="E500" s="30"/>
      <c r="I500" s="30"/>
    </row>
    <row r="501" spans="2:9">
      <c r="B501" s="31"/>
      <c r="C501" s="31"/>
      <c r="D501" s="32"/>
      <c r="E501" s="30"/>
      <c r="I501" s="30"/>
    </row>
    <row r="502" spans="2:9">
      <c r="B502" s="31"/>
      <c r="C502" s="31"/>
      <c r="D502" s="32"/>
      <c r="E502" s="30"/>
      <c r="I502" s="30"/>
    </row>
    <row r="503" spans="2:9">
      <c r="B503" s="31"/>
      <c r="C503" s="31"/>
      <c r="D503" s="32"/>
      <c r="E503" s="30"/>
      <c r="I503" s="30"/>
    </row>
    <row r="504" spans="2:9">
      <c r="B504" s="31"/>
      <c r="C504" s="31"/>
      <c r="D504" s="32"/>
      <c r="E504" s="30"/>
      <c r="I504" s="30"/>
    </row>
    <row r="505" spans="2:9">
      <c r="B505" s="31"/>
      <c r="C505" s="31"/>
      <c r="D505" s="32"/>
      <c r="E505" s="30"/>
      <c r="I505" s="30"/>
    </row>
    <row r="506" spans="2:9">
      <c r="B506" s="31"/>
      <c r="C506" s="31"/>
      <c r="D506" s="32"/>
      <c r="E506" s="30"/>
      <c r="I506" s="30"/>
    </row>
    <row r="507" spans="2:9">
      <c r="B507" s="31"/>
      <c r="C507" s="31"/>
      <c r="D507" s="32"/>
      <c r="E507" s="30"/>
      <c r="I507" s="30"/>
    </row>
    <row r="508" spans="2:9">
      <c r="B508" s="31"/>
      <c r="C508" s="31"/>
      <c r="D508" s="32"/>
      <c r="E508" s="30"/>
      <c r="I508" s="30"/>
    </row>
    <row r="509" spans="2:9">
      <c r="B509" s="31"/>
      <c r="C509" s="31"/>
      <c r="D509" s="32"/>
      <c r="E509" s="30"/>
      <c r="I509" s="30"/>
    </row>
    <row r="510" spans="2:9">
      <c r="B510" s="31"/>
      <c r="C510" s="31"/>
      <c r="D510" s="32"/>
      <c r="E510" s="30"/>
      <c r="I510" s="30"/>
    </row>
    <row r="511" spans="2:9">
      <c r="B511" s="31"/>
      <c r="C511" s="31"/>
      <c r="D511" s="32"/>
      <c r="E511" s="30"/>
      <c r="I511" s="30"/>
    </row>
    <row r="512" spans="2:9">
      <c r="B512" s="31"/>
      <c r="C512" s="31"/>
      <c r="D512" s="32"/>
      <c r="E512" s="30"/>
      <c r="I512" s="30"/>
    </row>
    <row r="513" spans="2:9">
      <c r="B513" s="31"/>
      <c r="C513" s="31"/>
      <c r="D513" s="32"/>
      <c r="E513" s="30"/>
      <c r="I513" s="30"/>
    </row>
    <row r="514" spans="2:9">
      <c r="B514" s="31"/>
      <c r="C514" s="31"/>
      <c r="D514" s="32"/>
      <c r="E514" s="30"/>
      <c r="I514" s="30"/>
    </row>
    <row r="515" spans="2:9">
      <c r="B515" s="31"/>
      <c r="C515" s="31"/>
      <c r="D515" s="32"/>
      <c r="E515" s="30"/>
      <c r="I515" s="30"/>
    </row>
    <row r="516" spans="2:9">
      <c r="B516" s="31"/>
      <c r="C516" s="31"/>
      <c r="D516" s="32"/>
      <c r="E516" s="30"/>
      <c r="I516" s="30"/>
    </row>
    <row r="517" spans="2:9">
      <c r="B517" s="31"/>
      <c r="C517" s="31"/>
      <c r="D517" s="32"/>
      <c r="E517" s="30"/>
      <c r="I517" s="30"/>
    </row>
    <row r="518" spans="2:9">
      <c r="B518" s="31"/>
      <c r="C518" s="31"/>
      <c r="D518" s="32"/>
      <c r="E518" s="30"/>
      <c r="I518" s="30"/>
    </row>
    <row r="519" spans="2:9">
      <c r="B519" s="31"/>
      <c r="C519" s="31"/>
      <c r="D519" s="32"/>
      <c r="E519" s="30"/>
      <c r="I519" s="30"/>
    </row>
    <row r="520" spans="2:9">
      <c r="B520" s="31"/>
      <c r="C520" s="31"/>
      <c r="D520" s="32"/>
      <c r="E520" s="30"/>
      <c r="I520" s="30"/>
    </row>
    <row r="521" spans="2:9">
      <c r="B521" s="31"/>
      <c r="C521" s="31"/>
      <c r="D521" s="32"/>
      <c r="E521" s="30"/>
      <c r="I521" s="30"/>
    </row>
    <row r="522" spans="2:9">
      <c r="B522" s="31"/>
      <c r="C522" s="31"/>
      <c r="D522" s="32"/>
      <c r="E522" s="30"/>
      <c r="I522" s="30"/>
    </row>
    <row r="523" spans="2:9">
      <c r="B523" s="31"/>
      <c r="C523" s="31"/>
      <c r="D523" s="32"/>
      <c r="E523" s="30"/>
      <c r="I523" s="30"/>
    </row>
    <row r="524" spans="2:9">
      <c r="B524" s="31"/>
      <c r="C524" s="31"/>
      <c r="D524" s="32"/>
      <c r="E524" s="30"/>
      <c r="I524" s="30"/>
    </row>
    <row r="525" spans="2:9">
      <c r="B525" s="31"/>
      <c r="C525" s="31"/>
      <c r="D525" s="32"/>
      <c r="E525" s="30"/>
      <c r="I525" s="30"/>
    </row>
    <row r="526" spans="2:9">
      <c r="B526" s="31"/>
      <c r="C526" s="31"/>
      <c r="D526" s="32"/>
      <c r="E526" s="30"/>
      <c r="I526" s="30"/>
    </row>
    <row r="527" spans="2:9">
      <c r="B527" s="31"/>
      <c r="C527" s="31"/>
      <c r="D527" s="32"/>
      <c r="E527" s="30"/>
      <c r="I527" s="30"/>
    </row>
    <row r="528" spans="2:9">
      <c r="B528" s="31"/>
      <c r="C528" s="31"/>
      <c r="D528" s="32"/>
      <c r="E528" s="30"/>
      <c r="I528" s="30"/>
    </row>
    <row r="529" spans="2:9">
      <c r="B529" s="31"/>
      <c r="C529" s="31"/>
      <c r="D529" s="32"/>
      <c r="E529" s="30"/>
      <c r="I529" s="30"/>
    </row>
    <row r="530" spans="2:9">
      <c r="B530" s="31"/>
      <c r="C530" s="31"/>
      <c r="D530" s="32"/>
      <c r="E530" s="30"/>
      <c r="I530" s="30"/>
    </row>
    <row r="531" spans="2:9">
      <c r="B531" s="31"/>
      <c r="C531" s="31"/>
      <c r="D531" s="32"/>
      <c r="E531" s="30"/>
      <c r="I531" s="30"/>
    </row>
    <row r="532" spans="2:9">
      <c r="B532" s="31"/>
      <c r="C532" s="31"/>
      <c r="D532" s="32"/>
      <c r="E532" s="30"/>
      <c r="I532" s="30"/>
    </row>
    <row r="533" spans="2:9">
      <c r="B533" s="31"/>
      <c r="C533" s="31"/>
      <c r="D533" s="32"/>
      <c r="E533" s="30"/>
      <c r="I533" s="30"/>
    </row>
    <row r="534" spans="2:9">
      <c r="B534" s="31"/>
      <c r="C534" s="31"/>
      <c r="D534" s="32"/>
      <c r="E534" s="30"/>
      <c r="I534" s="30"/>
    </row>
    <row r="535" spans="2:9">
      <c r="B535" s="31"/>
      <c r="C535" s="31"/>
      <c r="D535" s="32"/>
      <c r="E535" s="30"/>
      <c r="I535" s="30"/>
    </row>
    <row r="536" spans="2:9">
      <c r="B536" s="31"/>
      <c r="C536" s="31"/>
      <c r="D536" s="32"/>
      <c r="E536" s="30"/>
      <c r="I536" s="30"/>
    </row>
    <row r="537" spans="2:9">
      <c r="B537" s="31"/>
      <c r="C537" s="31"/>
      <c r="D537" s="32"/>
      <c r="E537" s="30"/>
      <c r="I537" s="30"/>
    </row>
    <row r="538" spans="2:9">
      <c r="B538" s="31"/>
      <c r="C538" s="31"/>
      <c r="D538" s="32"/>
      <c r="E538" s="30"/>
      <c r="I538" s="30"/>
    </row>
    <row r="539" spans="2:9">
      <c r="B539" s="31"/>
      <c r="C539" s="31"/>
      <c r="D539" s="32"/>
      <c r="E539" s="30"/>
      <c r="I539" s="30"/>
    </row>
    <row r="540" spans="2:9">
      <c r="B540" s="31"/>
      <c r="C540" s="31"/>
      <c r="D540" s="32"/>
      <c r="E540" s="30"/>
      <c r="I540" s="30"/>
    </row>
    <row r="541" spans="2:9">
      <c r="B541" s="31"/>
      <c r="C541" s="31"/>
      <c r="D541" s="32"/>
      <c r="E541" s="30"/>
      <c r="I541" s="30"/>
    </row>
    <row r="542" spans="2:9">
      <c r="B542" s="31"/>
      <c r="C542" s="31"/>
      <c r="D542" s="32"/>
      <c r="E542" s="30"/>
      <c r="I542" s="30"/>
    </row>
    <row r="543" spans="2:9">
      <c r="B543" s="31"/>
      <c r="C543" s="31"/>
      <c r="D543" s="32"/>
      <c r="E543" s="30"/>
      <c r="I543" s="30"/>
    </row>
    <row r="544" spans="2:9">
      <c r="B544" s="31"/>
      <c r="C544" s="31"/>
      <c r="D544" s="32"/>
      <c r="E544" s="30"/>
      <c r="I544" s="30"/>
    </row>
    <row r="545" spans="2:9">
      <c r="B545" s="31"/>
      <c r="C545" s="31"/>
      <c r="D545" s="32"/>
      <c r="E545" s="30"/>
      <c r="I545" s="30"/>
    </row>
    <row r="546" spans="2:9">
      <c r="B546" s="31"/>
      <c r="C546" s="31"/>
      <c r="D546" s="32"/>
      <c r="E546" s="30"/>
      <c r="I546" s="30"/>
    </row>
    <row r="547" spans="2:9">
      <c r="B547" s="31"/>
      <c r="C547" s="31"/>
      <c r="D547" s="32"/>
      <c r="E547" s="30"/>
      <c r="I547" s="30"/>
    </row>
    <row r="548" spans="2:9">
      <c r="B548" s="31"/>
      <c r="C548" s="31"/>
      <c r="D548" s="32"/>
      <c r="E548" s="30"/>
      <c r="I548" s="30"/>
    </row>
    <row r="549" spans="2:9">
      <c r="B549" s="31"/>
      <c r="C549" s="31"/>
      <c r="D549" s="32"/>
      <c r="E549" s="30"/>
      <c r="I549" s="30"/>
    </row>
    <row r="550" spans="2:9">
      <c r="B550" s="31"/>
      <c r="C550" s="31"/>
      <c r="D550" s="32"/>
      <c r="E550" s="30"/>
      <c r="I550" s="30"/>
    </row>
    <row r="551" spans="2:9">
      <c r="B551" s="31"/>
      <c r="C551" s="31"/>
      <c r="D551" s="32"/>
      <c r="E551" s="30"/>
      <c r="I551" s="30"/>
    </row>
    <row r="552" spans="2:9">
      <c r="B552" s="31"/>
      <c r="C552" s="31"/>
      <c r="D552" s="32"/>
      <c r="E552" s="30"/>
      <c r="I552" s="30"/>
    </row>
    <row r="553" spans="2:9">
      <c r="B553" s="31"/>
      <c r="C553" s="31"/>
      <c r="D553" s="32"/>
      <c r="E553" s="30"/>
      <c r="I553" s="30"/>
    </row>
    <row r="554" spans="2:9">
      <c r="B554" s="31"/>
      <c r="C554" s="31"/>
      <c r="D554" s="32"/>
      <c r="E554" s="30"/>
      <c r="I554" s="30"/>
    </row>
    <row r="555" spans="2:9">
      <c r="B555" s="31"/>
      <c r="C555" s="31"/>
      <c r="D555" s="32"/>
      <c r="E555" s="30"/>
      <c r="I555" s="30"/>
    </row>
    <row r="556" spans="2:9">
      <c r="B556" s="31"/>
      <c r="C556" s="31"/>
      <c r="D556" s="32"/>
      <c r="E556" s="30"/>
      <c r="I556" s="30"/>
    </row>
    <row r="557" spans="2:9">
      <c r="B557" s="31"/>
      <c r="C557" s="31"/>
      <c r="D557" s="32"/>
      <c r="E557" s="30"/>
      <c r="I557" s="30"/>
    </row>
    <row r="558" spans="2:9">
      <c r="B558" s="31"/>
      <c r="C558" s="31"/>
      <c r="D558" s="32"/>
      <c r="E558" s="30"/>
      <c r="I558" s="30"/>
    </row>
    <row r="559" spans="2:9">
      <c r="B559" s="31"/>
      <c r="C559" s="31"/>
      <c r="D559" s="32"/>
      <c r="E559" s="30"/>
      <c r="I559" s="30"/>
    </row>
    <row r="560" spans="2:9">
      <c r="B560" s="31"/>
      <c r="C560" s="31"/>
      <c r="D560" s="32"/>
      <c r="E560" s="30"/>
      <c r="I560" s="30"/>
    </row>
    <row r="561" spans="2:9">
      <c r="B561" s="31"/>
      <c r="C561" s="31"/>
      <c r="D561" s="32"/>
      <c r="E561" s="30"/>
      <c r="I561" s="30"/>
    </row>
    <row r="562" spans="2:9">
      <c r="B562" s="31"/>
      <c r="C562" s="31"/>
      <c r="D562" s="32"/>
      <c r="E562" s="30"/>
      <c r="I562" s="30"/>
    </row>
    <row r="563" spans="2:9">
      <c r="B563" s="31"/>
      <c r="C563" s="31"/>
      <c r="D563" s="32"/>
      <c r="E563" s="30"/>
      <c r="I563" s="30"/>
    </row>
    <row r="564" spans="2:9">
      <c r="B564" s="31"/>
      <c r="C564" s="31"/>
      <c r="D564" s="32"/>
      <c r="E564" s="30"/>
      <c r="I564" s="30"/>
    </row>
    <row r="565" spans="2:9">
      <c r="B565" s="31"/>
      <c r="C565" s="31"/>
      <c r="D565" s="32"/>
      <c r="E565" s="30"/>
      <c r="I565" s="30"/>
    </row>
    <row r="566" spans="2:9">
      <c r="B566" s="31"/>
      <c r="C566" s="31"/>
      <c r="D566" s="32"/>
      <c r="E566" s="30"/>
      <c r="I566" s="30"/>
    </row>
    <row r="567" spans="2:9">
      <c r="B567" s="31"/>
      <c r="C567" s="31"/>
      <c r="D567" s="32"/>
      <c r="E567" s="30"/>
      <c r="I567" s="30"/>
    </row>
    <row r="568" spans="2:9">
      <c r="B568" s="31"/>
      <c r="C568" s="31"/>
      <c r="D568" s="32"/>
      <c r="E568" s="30"/>
      <c r="I568" s="30"/>
    </row>
    <row r="569" spans="2:9">
      <c r="B569" s="31"/>
      <c r="C569" s="31"/>
      <c r="D569" s="32"/>
      <c r="E569" s="30"/>
      <c r="I569" s="30"/>
    </row>
    <row r="570" spans="2:9">
      <c r="B570" s="31"/>
      <c r="C570" s="31"/>
      <c r="D570" s="32"/>
      <c r="E570" s="30"/>
      <c r="I570" s="30"/>
    </row>
    <row r="571" spans="2:9">
      <c r="B571" s="31"/>
      <c r="C571" s="31"/>
      <c r="D571" s="32"/>
      <c r="E571" s="30"/>
      <c r="I571" s="30"/>
    </row>
    <row r="572" spans="2:9">
      <c r="B572" s="31"/>
      <c r="C572" s="31"/>
      <c r="D572" s="32"/>
      <c r="E572" s="30"/>
      <c r="I572" s="30"/>
    </row>
    <row r="573" spans="2:9">
      <c r="B573" s="31"/>
      <c r="C573" s="31"/>
      <c r="D573" s="32"/>
      <c r="E573" s="30"/>
      <c r="I573" s="30"/>
    </row>
    <row r="574" spans="2:9">
      <c r="B574" s="31"/>
      <c r="C574" s="31"/>
      <c r="D574" s="32"/>
      <c r="E574" s="30"/>
      <c r="I574" s="30"/>
    </row>
    <row r="575" spans="2:9">
      <c r="B575" s="31"/>
      <c r="C575" s="31"/>
      <c r="D575" s="32"/>
      <c r="E575" s="30"/>
      <c r="I575" s="30"/>
    </row>
    <row r="576" spans="2:9">
      <c r="B576" s="31"/>
      <c r="C576" s="31"/>
      <c r="D576" s="32"/>
      <c r="E576" s="30"/>
      <c r="I576" s="30"/>
    </row>
    <row r="577" spans="2:9">
      <c r="B577" s="31"/>
      <c r="C577" s="31"/>
      <c r="D577" s="32"/>
      <c r="E577" s="30"/>
      <c r="I577" s="30"/>
    </row>
    <row r="578" spans="2:9">
      <c r="B578" s="31"/>
      <c r="C578" s="31"/>
      <c r="D578" s="32"/>
      <c r="E578" s="30"/>
      <c r="I578" s="30"/>
    </row>
    <row r="579" spans="2:9">
      <c r="B579" s="31"/>
      <c r="C579" s="31"/>
      <c r="D579" s="32"/>
      <c r="E579" s="30"/>
      <c r="I579" s="30"/>
    </row>
    <row r="580" spans="2:9">
      <c r="B580" s="31"/>
      <c r="C580" s="31"/>
      <c r="D580" s="32"/>
      <c r="E580" s="30"/>
      <c r="I580" s="30"/>
    </row>
    <row r="581" spans="2:9">
      <c r="B581" s="31"/>
      <c r="C581" s="31"/>
      <c r="D581" s="32"/>
      <c r="E581" s="30"/>
      <c r="I581" s="30"/>
    </row>
    <row r="582" spans="2:9">
      <c r="B582" s="31"/>
      <c r="C582" s="31"/>
      <c r="D582" s="32"/>
      <c r="E582" s="30"/>
      <c r="I582" s="30"/>
    </row>
    <row r="583" spans="2:9">
      <c r="B583" s="31"/>
      <c r="C583" s="31"/>
      <c r="D583" s="32"/>
      <c r="E583" s="30"/>
      <c r="I583" s="30"/>
    </row>
    <row r="584" spans="2:9">
      <c r="B584" s="31"/>
      <c r="C584" s="31"/>
      <c r="D584" s="32"/>
      <c r="E584" s="30"/>
      <c r="I584" s="30"/>
    </row>
    <row r="585" spans="2:9">
      <c r="B585" s="31"/>
      <c r="C585" s="31"/>
      <c r="D585" s="32"/>
      <c r="E585" s="30"/>
      <c r="I585" s="30"/>
    </row>
    <row r="586" spans="2:9">
      <c r="B586" s="31"/>
      <c r="C586" s="31"/>
      <c r="D586" s="32"/>
      <c r="E586" s="30"/>
      <c r="I586" s="30"/>
    </row>
    <row r="587" spans="2:9">
      <c r="B587" s="31"/>
      <c r="C587" s="31"/>
      <c r="D587" s="32"/>
      <c r="E587" s="30"/>
      <c r="I587" s="30"/>
    </row>
    <row r="588" spans="2:9">
      <c r="B588" s="31"/>
      <c r="C588" s="31"/>
      <c r="D588" s="32"/>
      <c r="E588" s="30"/>
      <c r="I588" s="30"/>
    </row>
    <row r="589" spans="2:9">
      <c r="B589" s="31"/>
      <c r="C589" s="31"/>
      <c r="D589" s="32"/>
      <c r="E589" s="30"/>
      <c r="I589" s="30"/>
    </row>
    <row r="590" spans="2:9">
      <c r="B590" s="31"/>
      <c r="C590" s="31"/>
      <c r="D590" s="32"/>
      <c r="E590" s="30"/>
      <c r="I590" s="30"/>
    </row>
    <row r="591" spans="2:9">
      <c r="B591" s="31"/>
      <c r="C591" s="31"/>
      <c r="D591" s="32"/>
      <c r="E591" s="30"/>
      <c r="I591" s="30"/>
    </row>
    <row r="592" spans="2:9">
      <c r="B592" s="31"/>
      <c r="C592" s="31"/>
      <c r="D592" s="32"/>
      <c r="E592" s="30"/>
      <c r="I592" s="30"/>
    </row>
    <row r="593" spans="2:9">
      <c r="B593" s="31"/>
      <c r="C593" s="31"/>
      <c r="D593" s="32"/>
      <c r="E593" s="30"/>
      <c r="I593" s="30"/>
    </row>
    <row r="594" spans="2:9">
      <c r="B594" s="31"/>
      <c r="C594" s="31"/>
      <c r="D594" s="32"/>
      <c r="E594" s="30"/>
      <c r="I594" s="30"/>
    </row>
    <row r="595" spans="2:9">
      <c r="B595" s="31"/>
      <c r="C595" s="31"/>
      <c r="D595" s="32"/>
      <c r="E595" s="30"/>
      <c r="I595" s="30"/>
    </row>
    <row r="596" spans="2:9">
      <c r="B596" s="31"/>
      <c r="C596" s="31"/>
      <c r="D596" s="32"/>
      <c r="E596" s="30"/>
      <c r="I596" s="30"/>
    </row>
    <row r="597" spans="2:9">
      <c r="B597" s="31"/>
      <c r="C597" s="31"/>
      <c r="D597" s="32"/>
      <c r="E597" s="30"/>
      <c r="I597" s="30"/>
    </row>
    <row r="598" spans="2:9">
      <c r="B598" s="31"/>
      <c r="C598" s="31"/>
      <c r="D598" s="32"/>
      <c r="E598" s="30"/>
      <c r="I598" s="30"/>
    </row>
    <row r="599" spans="2:9">
      <c r="B599" s="31"/>
      <c r="C599" s="31"/>
      <c r="D599" s="32"/>
      <c r="E599" s="30"/>
      <c r="I599" s="30"/>
    </row>
    <row r="600" spans="2:9">
      <c r="B600" s="31"/>
      <c r="C600" s="31"/>
      <c r="D600" s="32"/>
      <c r="E600" s="30"/>
      <c r="I600" s="30"/>
    </row>
    <row r="601" spans="2:9">
      <c r="B601" s="31"/>
      <c r="C601" s="31"/>
      <c r="D601" s="32"/>
      <c r="E601" s="30"/>
      <c r="I601" s="30"/>
    </row>
    <row r="602" spans="2:9">
      <c r="B602" s="31"/>
      <c r="C602" s="31"/>
      <c r="D602" s="32"/>
      <c r="E602" s="30"/>
      <c r="I602" s="30"/>
    </row>
    <row r="603" spans="2:9">
      <c r="B603" s="31"/>
      <c r="C603" s="31"/>
      <c r="D603" s="32"/>
      <c r="E603" s="30"/>
      <c r="I603" s="30"/>
    </row>
    <row r="604" spans="2:9">
      <c r="B604" s="31"/>
      <c r="C604" s="31"/>
      <c r="D604" s="32"/>
      <c r="E604" s="30"/>
      <c r="I604" s="30"/>
    </row>
    <row r="605" spans="2:9">
      <c r="B605" s="31"/>
      <c r="C605" s="31"/>
      <c r="D605" s="32"/>
      <c r="E605" s="30"/>
      <c r="I605" s="30"/>
    </row>
    <row r="606" spans="2:9">
      <c r="B606" s="31"/>
      <c r="C606" s="31"/>
      <c r="D606" s="32"/>
      <c r="E606" s="30"/>
      <c r="I606" s="30"/>
    </row>
    <row r="607" spans="2:9">
      <c r="B607" s="31"/>
      <c r="C607" s="31"/>
      <c r="D607" s="32"/>
      <c r="E607" s="30"/>
      <c r="I607" s="30"/>
    </row>
    <row r="608" spans="2:9">
      <c r="B608" s="31"/>
      <c r="C608" s="31"/>
      <c r="D608" s="32"/>
      <c r="E608" s="30"/>
      <c r="I608" s="30"/>
    </row>
    <row r="609" spans="2:9">
      <c r="B609" s="31"/>
      <c r="C609" s="31"/>
      <c r="D609" s="32"/>
      <c r="E609" s="30"/>
      <c r="I609" s="30"/>
    </row>
    <row r="610" spans="2:9">
      <c r="B610" s="31"/>
      <c r="C610" s="31"/>
      <c r="D610" s="32"/>
      <c r="E610" s="30"/>
      <c r="I610" s="30"/>
    </row>
    <row r="611" spans="2:9">
      <c r="B611" s="31"/>
      <c r="C611" s="31"/>
      <c r="D611" s="32"/>
      <c r="E611" s="30"/>
      <c r="I611" s="30"/>
    </row>
    <row r="612" spans="2:9">
      <c r="B612" s="31"/>
      <c r="C612" s="31"/>
      <c r="D612" s="32"/>
      <c r="E612" s="30"/>
      <c r="I612" s="30"/>
    </row>
    <row r="613" spans="2:9">
      <c r="B613" s="31"/>
      <c r="C613" s="31"/>
      <c r="D613" s="32"/>
      <c r="E613" s="30"/>
      <c r="I613" s="30"/>
    </row>
    <row r="614" spans="2:9">
      <c r="B614" s="31"/>
      <c r="C614" s="31"/>
      <c r="D614" s="32"/>
      <c r="E614" s="30"/>
      <c r="I614" s="30"/>
    </row>
    <row r="615" spans="2:9">
      <c r="B615" s="31"/>
      <c r="C615" s="31"/>
      <c r="D615" s="32"/>
      <c r="E615" s="30"/>
      <c r="I615" s="30"/>
    </row>
    <row r="616" spans="2:9">
      <c r="B616" s="31"/>
      <c r="C616" s="31"/>
      <c r="D616" s="32"/>
      <c r="E616" s="30"/>
      <c r="I616" s="30"/>
    </row>
    <row r="617" spans="2:9">
      <c r="B617" s="31"/>
      <c r="C617" s="31"/>
      <c r="D617" s="32"/>
      <c r="E617" s="30"/>
      <c r="I617" s="30"/>
    </row>
    <row r="618" spans="2:9">
      <c r="B618" s="31"/>
      <c r="C618" s="31"/>
      <c r="D618" s="32"/>
      <c r="E618" s="30"/>
      <c r="I618" s="30"/>
    </row>
    <row r="619" spans="2:9">
      <c r="B619" s="31"/>
      <c r="C619" s="31"/>
      <c r="D619" s="32"/>
      <c r="E619" s="30"/>
      <c r="I619" s="30"/>
    </row>
    <row r="620" spans="2:9">
      <c r="B620" s="31"/>
      <c r="C620" s="31"/>
      <c r="D620" s="32"/>
      <c r="E620" s="30"/>
      <c r="I620" s="30"/>
    </row>
    <row r="621" spans="2:9">
      <c r="B621" s="31"/>
      <c r="C621" s="31"/>
      <c r="D621" s="32"/>
      <c r="E621" s="30"/>
      <c r="I621" s="30"/>
    </row>
    <row r="622" spans="2:9">
      <c r="B622" s="31"/>
      <c r="C622" s="31"/>
      <c r="D622" s="32"/>
      <c r="E622" s="30"/>
      <c r="I622" s="30"/>
    </row>
    <row r="623" spans="2:9">
      <c r="B623" s="31"/>
      <c r="C623" s="31"/>
      <c r="D623" s="32"/>
      <c r="E623" s="30"/>
      <c r="I623" s="30"/>
    </row>
    <row r="624" spans="2:9">
      <c r="B624" s="31"/>
      <c r="C624" s="31"/>
      <c r="D624" s="32"/>
      <c r="E624" s="30"/>
      <c r="I624" s="30"/>
    </row>
    <row r="625" spans="2:9">
      <c r="B625" s="31"/>
      <c r="C625" s="31"/>
      <c r="D625" s="32"/>
      <c r="E625" s="30"/>
      <c r="I625" s="30"/>
    </row>
    <row r="626" spans="2:9">
      <c r="B626" s="31"/>
      <c r="C626" s="31"/>
      <c r="D626" s="32"/>
      <c r="E626" s="30"/>
      <c r="I626" s="30"/>
    </row>
    <row r="627" spans="2:9">
      <c r="B627" s="31"/>
      <c r="C627" s="31"/>
      <c r="D627" s="32"/>
      <c r="E627" s="30"/>
      <c r="I627" s="30"/>
    </row>
    <row r="628" spans="2:9">
      <c r="B628" s="31"/>
      <c r="C628" s="31"/>
      <c r="D628" s="32"/>
      <c r="E628" s="30"/>
      <c r="I628" s="30"/>
    </row>
    <row r="629" spans="2:9">
      <c r="B629" s="31"/>
      <c r="C629" s="31"/>
      <c r="D629" s="32"/>
      <c r="E629" s="30"/>
      <c r="I629" s="30"/>
    </row>
    <row r="630" spans="2:9">
      <c r="B630" s="31"/>
      <c r="C630" s="31"/>
      <c r="D630" s="32"/>
      <c r="E630" s="30"/>
      <c r="I630" s="30"/>
    </row>
    <row r="631" spans="2:9">
      <c r="B631" s="31"/>
      <c r="C631" s="31"/>
      <c r="D631" s="32"/>
      <c r="E631" s="30"/>
      <c r="I631" s="30"/>
    </row>
    <row r="632" spans="2:9">
      <c r="B632" s="31"/>
      <c r="C632" s="31"/>
      <c r="D632" s="32"/>
      <c r="E632" s="30"/>
      <c r="I632" s="30"/>
    </row>
    <row r="633" spans="2:9">
      <c r="B633" s="31"/>
      <c r="C633" s="31"/>
      <c r="D633" s="32"/>
      <c r="E633" s="30"/>
      <c r="I633" s="30"/>
    </row>
    <row r="634" spans="2:9">
      <c r="B634" s="31"/>
      <c r="C634" s="31"/>
      <c r="D634" s="32"/>
      <c r="E634" s="30"/>
      <c r="I634" s="30"/>
    </row>
    <row r="635" spans="2:9">
      <c r="B635" s="31"/>
      <c r="C635" s="31"/>
      <c r="D635" s="32"/>
      <c r="E635" s="30"/>
      <c r="I635" s="30"/>
    </row>
    <row r="636" spans="2:9">
      <c r="B636" s="31"/>
      <c r="C636" s="31"/>
      <c r="D636" s="32"/>
      <c r="E636" s="30"/>
      <c r="I636" s="30"/>
    </row>
    <row r="637" spans="2:9">
      <c r="B637" s="31"/>
      <c r="C637" s="31"/>
      <c r="D637" s="32"/>
      <c r="E637" s="30"/>
      <c r="I637" s="30"/>
    </row>
    <row r="638" spans="2:9">
      <c r="B638" s="31"/>
      <c r="C638" s="31"/>
      <c r="D638" s="32"/>
      <c r="E638" s="30"/>
      <c r="I638" s="30"/>
    </row>
    <row r="639" spans="2:9">
      <c r="B639" s="31"/>
      <c r="C639" s="31"/>
      <c r="D639" s="32"/>
      <c r="E639" s="30"/>
      <c r="I639" s="30"/>
    </row>
    <row r="640" spans="2:9">
      <c r="B640" s="31"/>
      <c r="C640" s="31"/>
      <c r="D640" s="32"/>
      <c r="E640" s="30"/>
      <c r="I640" s="30"/>
    </row>
    <row r="641" spans="2:9">
      <c r="B641" s="31"/>
      <c r="C641" s="31"/>
      <c r="D641" s="32"/>
      <c r="E641" s="30"/>
      <c r="I641" s="30"/>
    </row>
    <row r="642" spans="2:9">
      <c r="B642" s="31"/>
      <c r="C642" s="31"/>
      <c r="D642" s="32"/>
      <c r="E642" s="30"/>
      <c r="I642" s="30"/>
    </row>
    <row r="643" spans="2:9">
      <c r="B643" s="31"/>
      <c r="C643" s="31"/>
      <c r="D643" s="32"/>
      <c r="E643" s="30"/>
      <c r="I643" s="30"/>
    </row>
    <row r="644" spans="2:9">
      <c r="B644" s="31"/>
      <c r="C644" s="31"/>
      <c r="D644" s="32"/>
      <c r="E644" s="30"/>
      <c r="I644" s="30"/>
    </row>
    <row r="645" spans="2:9">
      <c r="B645" s="31"/>
      <c r="C645" s="31"/>
      <c r="D645" s="32"/>
      <c r="E645" s="30"/>
      <c r="I645" s="30"/>
    </row>
    <row r="646" spans="2:9">
      <c r="B646" s="31"/>
      <c r="C646" s="31"/>
      <c r="D646" s="32"/>
      <c r="E646" s="30"/>
      <c r="I646" s="30"/>
    </row>
    <row r="647" spans="2:9">
      <c r="B647" s="31"/>
      <c r="C647" s="31"/>
      <c r="D647" s="32"/>
      <c r="E647" s="30"/>
      <c r="I647" s="30"/>
    </row>
    <row r="648" spans="2:9">
      <c r="B648" s="31"/>
      <c r="C648" s="31"/>
      <c r="D648" s="32"/>
      <c r="E648" s="30"/>
      <c r="I648" s="30"/>
    </row>
    <row r="649" spans="2:9">
      <c r="B649" s="31"/>
      <c r="C649" s="31"/>
      <c r="D649" s="32"/>
      <c r="E649" s="30"/>
      <c r="I649" s="30"/>
    </row>
    <row r="650" spans="2:9">
      <c r="B650" s="31"/>
      <c r="C650" s="31"/>
      <c r="D650" s="32"/>
      <c r="E650" s="30"/>
      <c r="I650" s="30"/>
    </row>
    <row r="651" spans="2:9">
      <c r="B651" s="31"/>
      <c r="C651" s="31"/>
      <c r="D651" s="32"/>
      <c r="E651" s="30"/>
      <c r="I651" s="30"/>
    </row>
    <row r="652" spans="2:9">
      <c r="B652" s="31"/>
      <c r="C652" s="31"/>
      <c r="D652" s="32"/>
      <c r="E652" s="30"/>
      <c r="I652" s="30"/>
    </row>
    <row r="653" spans="2:9">
      <c r="B653" s="31"/>
      <c r="C653" s="31"/>
      <c r="D653" s="32"/>
      <c r="E653" s="30"/>
      <c r="I653" s="30"/>
    </row>
    <row r="654" spans="2:9">
      <c r="B654" s="31"/>
      <c r="C654" s="31"/>
      <c r="D654" s="32"/>
      <c r="E654" s="30"/>
      <c r="I654" s="30"/>
    </row>
    <row r="655" spans="2:9">
      <c r="B655" s="31"/>
      <c r="C655" s="31"/>
      <c r="D655" s="32"/>
      <c r="E655" s="30"/>
      <c r="I655" s="30"/>
    </row>
    <row r="656" spans="2:9">
      <c r="B656" s="31"/>
      <c r="C656" s="31"/>
      <c r="D656" s="32"/>
      <c r="E656" s="30"/>
      <c r="I656" s="30"/>
    </row>
    <row r="657" spans="2:9">
      <c r="B657" s="31"/>
      <c r="C657" s="31"/>
      <c r="D657" s="32"/>
      <c r="E657" s="30"/>
      <c r="I657" s="30"/>
    </row>
    <row r="658" spans="2:9">
      <c r="B658" s="31"/>
      <c r="C658" s="31"/>
      <c r="D658" s="32"/>
      <c r="E658" s="30"/>
      <c r="I658" s="30"/>
    </row>
    <row r="659" spans="2:9">
      <c r="B659" s="31"/>
      <c r="C659" s="31"/>
      <c r="D659" s="32"/>
      <c r="E659" s="30"/>
      <c r="I659" s="30"/>
    </row>
    <row r="660" spans="2:9">
      <c r="B660" s="31"/>
      <c r="C660" s="31"/>
      <c r="D660" s="32"/>
      <c r="E660" s="30"/>
      <c r="I660" s="30"/>
    </row>
    <row r="661" spans="2:9">
      <c r="B661" s="31"/>
      <c r="C661" s="31"/>
      <c r="D661" s="32"/>
      <c r="E661" s="30"/>
      <c r="I661" s="30"/>
    </row>
    <row r="662" spans="2:9">
      <c r="B662" s="31"/>
      <c r="C662" s="31"/>
      <c r="D662" s="32"/>
      <c r="E662" s="30"/>
      <c r="I662" s="30"/>
    </row>
    <row r="663" spans="2:9">
      <c r="B663" s="31"/>
      <c r="C663" s="31"/>
      <c r="D663" s="32"/>
      <c r="E663" s="30"/>
      <c r="I663" s="30"/>
    </row>
    <row r="664" spans="2:9">
      <c r="B664" s="31"/>
      <c r="C664" s="31"/>
      <c r="D664" s="32"/>
      <c r="E664" s="30"/>
      <c r="I664" s="30"/>
    </row>
    <row r="665" spans="2:9">
      <c r="B665" s="31"/>
      <c r="C665" s="31"/>
      <c r="D665" s="32"/>
      <c r="E665" s="30"/>
      <c r="I665" s="30"/>
    </row>
    <row r="666" spans="2:9">
      <c r="B666" s="31"/>
      <c r="C666" s="31"/>
      <c r="D666" s="32"/>
      <c r="E666" s="30"/>
      <c r="I666" s="30"/>
    </row>
    <row r="667" spans="2:9">
      <c r="B667" s="31"/>
      <c r="C667" s="31"/>
      <c r="D667" s="32"/>
      <c r="E667" s="30"/>
      <c r="I667" s="30"/>
    </row>
    <row r="668" spans="2:9">
      <c r="B668" s="31"/>
      <c r="C668" s="31"/>
      <c r="D668" s="32"/>
      <c r="E668" s="30"/>
      <c r="I668" s="30"/>
    </row>
    <row r="669" spans="2:9">
      <c r="B669" s="31"/>
      <c r="C669" s="31"/>
      <c r="D669" s="32"/>
      <c r="E669" s="30"/>
      <c r="I669" s="30"/>
    </row>
    <row r="670" spans="2:9">
      <c r="B670" s="31"/>
      <c r="C670" s="31"/>
      <c r="D670" s="32"/>
      <c r="E670" s="30"/>
      <c r="I670" s="30"/>
    </row>
    <row r="671" spans="2:9">
      <c r="B671" s="31"/>
      <c r="C671" s="31"/>
      <c r="D671" s="32"/>
      <c r="E671" s="30"/>
      <c r="I671" s="30"/>
    </row>
    <row r="672" spans="2:9">
      <c r="B672" s="31"/>
      <c r="C672" s="31"/>
      <c r="D672" s="32"/>
      <c r="E672" s="30"/>
      <c r="I672" s="30"/>
    </row>
    <row r="673" spans="2:9">
      <c r="B673" s="31"/>
      <c r="C673" s="31"/>
      <c r="D673" s="32"/>
      <c r="E673" s="30"/>
      <c r="I673" s="30"/>
    </row>
    <row r="674" spans="2:9">
      <c r="B674" s="31"/>
      <c r="C674" s="31"/>
      <c r="D674" s="32"/>
      <c r="E674" s="30"/>
      <c r="I674" s="30"/>
    </row>
    <row r="675" spans="2:9">
      <c r="B675" s="31"/>
      <c r="C675" s="31"/>
      <c r="D675" s="32"/>
      <c r="E675" s="30"/>
      <c r="I675" s="30"/>
    </row>
    <row r="676" spans="2:9">
      <c r="B676" s="31"/>
      <c r="C676" s="31"/>
      <c r="D676" s="32"/>
      <c r="E676" s="30"/>
      <c r="I676" s="30"/>
    </row>
    <row r="677" spans="2:9">
      <c r="B677" s="31"/>
      <c r="C677" s="31"/>
      <c r="D677" s="32"/>
      <c r="E677" s="30"/>
      <c r="I677" s="30"/>
    </row>
    <row r="678" spans="2:9">
      <c r="B678" s="31"/>
      <c r="C678" s="31"/>
      <c r="D678" s="32"/>
      <c r="E678" s="30"/>
      <c r="I678" s="30"/>
    </row>
    <row r="679" spans="2:9">
      <c r="B679" s="31"/>
      <c r="C679" s="31"/>
      <c r="D679" s="32"/>
      <c r="E679" s="30"/>
      <c r="I679" s="30"/>
    </row>
    <row r="680" spans="2:9">
      <c r="B680" s="31"/>
      <c r="C680" s="31"/>
      <c r="D680" s="32"/>
      <c r="E680" s="30"/>
      <c r="I680" s="30"/>
    </row>
    <row r="681" spans="2:9">
      <c r="B681" s="31"/>
      <c r="C681" s="31"/>
      <c r="D681" s="32"/>
      <c r="E681" s="30"/>
      <c r="I681" s="30"/>
    </row>
    <row r="682" spans="2:9">
      <c r="B682" s="31"/>
      <c r="C682" s="31"/>
      <c r="D682" s="32"/>
      <c r="E682" s="30"/>
      <c r="I682" s="30"/>
    </row>
    <row r="683" spans="2:9">
      <c r="B683" s="31"/>
      <c r="C683" s="31"/>
      <c r="D683" s="32"/>
      <c r="E683" s="30"/>
      <c r="I683" s="30"/>
    </row>
    <row r="684" spans="2:9">
      <c r="B684" s="31"/>
      <c r="C684" s="31"/>
      <c r="D684" s="32"/>
      <c r="E684" s="30"/>
      <c r="I684" s="30"/>
    </row>
    <row r="685" spans="2:9">
      <c r="B685" s="31"/>
      <c r="C685" s="31"/>
      <c r="D685" s="32"/>
      <c r="E685" s="30"/>
      <c r="I685" s="30"/>
    </row>
    <row r="686" spans="2:9">
      <c r="B686" s="31"/>
      <c r="C686" s="31"/>
      <c r="D686" s="32"/>
      <c r="E686" s="30"/>
      <c r="I686" s="30"/>
    </row>
    <row r="687" spans="2:9">
      <c r="B687" s="31"/>
      <c r="C687" s="31"/>
      <c r="D687" s="32"/>
      <c r="E687" s="30"/>
      <c r="I687" s="30"/>
    </row>
    <row r="688" spans="2:9">
      <c r="B688" s="31"/>
      <c r="C688" s="31"/>
      <c r="D688" s="32"/>
      <c r="E688" s="30"/>
      <c r="I688" s="30"/>
    </row>
    <row r="689" spans="2:9">
      <c r="B689" s="31"/>
      <c r="C689" s="31"/>
      <c r="D689" s="32"/>
      <c r="E689" s="30"/>
      <c r="I689" s="30"/>
    </row>
    <row r="690" spans="2:9">
      <c r="B690" s="31"/>
      <c r="C690" s="31"/>
      <c r="D690" s="32"/>
      <c r="E690" s="30"/>
      <c r="I690" s="30"/>
    </row>
    <row r="691" spans="2:9">
      <c r="B691" s="31"/>
      <c r="C691" s="31"/>
      <c r="D691" s="32"/>
      <c r="E691" s="30"/>
      <c r="I691" s="30"/>
    </row>
    <row r="692" spans="2:9">
      <c r="B692" s="31"/>
      <c r="C692" s="31"/>
      <c r="D692" s="32"/>
      <c r="E692" s="30"/>
      <c r="I692" s="30"/>
    </row>
    <row r="693" spans="2:9">
      <c r="B693" s="31"/>
      <c r="C693" s="31"/>
      <c r="D693" s="32"/>
      <c r="E693" s="30"/>
      <c r="I693" s="30"/>
    </row>
    <row r="694" spans="2:9">
      <c r="B694" s="31"/>
      <c r="C694" s="31"/>
      <c r="D694" s="32"/>
      <c r="E694" s="30"/>
      <c r="I694" s="30"/>
    </row>
    <row r="695" spans="2:9">
      <c r="B695" s="31"/>
      <c r="C695" s="31"/>
      <c r="D695" s="32"/>
      <c r="E695" s="30"/>
      <c r="I695" s="30"/>
    </row>
    <row r="696" spans="2:9">
      <c r="B696" s="31"/>
      <c r="C696" s="31"/>
      <c r="D696" s="32"/>
      <c r="E696" s="30"/>
      <c r="I696" s="30"/>
    </row>
    <row r="697" spans="2:9">
      <c r="B697" s="31"/>
      <c r="C697" s="31"/>
      <c r="D697" s="32"/>
      <c r="E697" s="30"/>
      <c r="I697" s="30"/>
    </row>
    <row r="698" spans="2:9">
      <c r="B698" s="31"/>
      <c r="C698" s="31"/>
      <c r="D698" s="32"/>
      <c r="E698" s="30"/>
      <c r="I698" s="30"/>
    </row>
    <row r="699" spans="2:9">
      <c r="B699" s="31"/>
      <c r="C699" s="31"/>
      <c r="D699" s="32"/>
      <c r="E699" s="30"/>
      <c r="I699" s="30"/>
    </row>
    <row r="700" spans="2:9">
      <c r="B700" s="31"/>
      <c r="C700" s="31"/>
      <c r="D700" s="32"/>
      <c r="E700" s="30"/>
      <c r="I700" s="30"/>
    </row>
    <row r="701" spans="2:9">
      <c r="B701" s="31"/>
      <c r="C701" s="31"/>
      <c r="D701" s="32"/>
      <c r="E701" s="30"/>
      <c r="I701" s="30"/>
    </row>
    <row r="702" spans="2:9">
      <c r="B702" s="31"/>
      <c r="C702" s="31"/>
      <c r="D702" s="32"/>
      <c r="E702" s="30"/>
      <c r="I702" s="30"/>
    </row>
    <row r="703" spans="2:9">
      <c r="B703" s="31"/>
      <c r="C703" s="31"/>
      <c r="D703" s="32"/>
      <c r="E703" s="30"/>
      <c r="I703" s="30"/>
    </row>
    <row r="704" spans="2:9">
      <c r="B704" s="31"/>
      <c r="C704" s="31"/>
      <c r="D704" s="32"/>
      <c r="E704" s="30"/>
      <c r="I704" s="30"/>
    </row>
    <row r="705" spans="2:9">
      <c r="B705" s="31"/>
      <c r="C705" s="31"/>
      <c r="D705" s="32"/>
      <c r="E705" s="30"/>
      <c r="I705" s="30"/>
    </row>
    <row r="706" spans="2:9">
      <c r="B706" s="31"/>
      <c r="C706" s="31"/>
      <c r="D706" s="32"/>
      <c r="E706" s="30"/>
      <c r="I706" s="30"/>
    </row>
    <row r="707" spans="2:9">
      <c r="B707" s="31"/>
      <c r="C707" s="31"/>
      <c r="D707" s="32"/>
      <c r="E707" s="30"/>
      <c r="I707" s="30"/>
    </row>
    <row r="708" spans="2:9">
      <c r="B708" s="31"/>
      <c r="C708" s="31"/>
      <c r="D708" s="32"/>
      <c r="E708" s="30"/>
      <c r="I708" s="30"/>
    </row>
    <row r="709" spans="2:9">
      <c r="B709" s="31"/>
      <c r="C709" s="31"/>
      <c r="D709" s="32"/>
      <c r="E709" s="30"/>
      <c r="I709" s="30"/>
    </row>
    <row r="710" spans="2:9">
      <c r="B710" s="31"/>
      <c r="C710" s="31"/>
      <c r="D710" s="32"/>
      <c r="E710" s="30"/>
      <c r="I710" s="30"/>
    </row>
    <row r="711" spans="2:9">
      <c r="B711" s="31"/>
      <c r="C711" s="31"/>
      <c r="D711" s="32"/>
      <c r="E711" s="30"/>
      <c r="I711" s="30"/>
    </row>
    <row r="712" spans="2:9">
      <c r="B712" s="31"/>
      <c r="C712" s="31"/>
      <c r="D712" s="32"/>
      <c r="E712" s="30"/>
      <c r="I712" s="30"/>
    </row>
    <row r="713" spans="2:9">
      <c r="B713" s="31"/>
      <c r="C713" s="31"/>
      <c r="D713" s="32"/>
      <c r="E713" s="30"/>
      <c r="I713" s="30"/>
    </row>
    <row r="714" spans="2:9">
      <c r="B714" s="31"/>
      <c r="C714" s="31"/>
      <c r="D714" s="32"/>
      <c r="E714" s="30"/>
      <c r="I714" s="30"/>
    </row>
    <row r="715" spans="2:9">
      <c r="B715" s="31"/>
      <c r="C715" s="31"/>
      <c r="D715" s="32"/>
      <c r="E715" s="30"/>
      <c r="I715" s="30"/>
    </row>
    <row r="716" spans="2:9">
      <c r="B716" s="31"/>
      <c r="C716" s="31"/>
      <c r="D716" s="32"/>
      <c r="E716" s="30"/>
      <c r="I716" s="30"/>
    </row>
    <row r="717" spans="2:9">
      <c r="B717" s="31"/>
      <c r="C717" s="31"/>
      <c r="D717" s="32"/>
      <c r="E717" s="30"/>
      <c r="I717" s="30"/>
    </row>
    <row r="718" spans="2:9">
      <c r="B718" s="31"/>
      <c r="C718" s="31"/>
      <c r="D718" s="32"/>
      <c r="E718" s="30"/>
      <c r="I718" s="30"/>
    </row>
    <row r="719" spans="2:9">
      <c r="B719" s="31"/>
      <c r="C719" s="31"/>
      <c r="D719" s="32"/>
      <c r="E719" s="30"/>
      <c r="I719" s="30"/>
    </row>
    <row r="720" spans="2:9">
      <c r="B720" s="31"/>
      <c r="C720" s="31"/>
      <c r="D720" s="32"/>
      <c r="E720" s="30"/>
      <c r="I720" s="30"/>
    </row>
    <row r="721" spans="2:9">
      <c r="B721" s="31"/>
      <c r="C721" s="31"/>
      <c r="D721" s="32"/>
      <c r="E721" s="30"/>
      <c r="I721" s="30"/>
    </row>
    <row r="722" spans="2:9">
      <c r="B722" s="31"/>
      <c r="C722" s="31"/>
      <c r="D722" s="32"/>
      <c r="E722" s="30"/>
      <c r="I722" s="30"/>
    </row>
    <row r="723" spans="2:9">
      <c r="B723" s="31"/>
      <c r="C723" s="31"/>
      <c r="D723" s="32"/>
      <c r="E723" s="30"/>
      <c r="I723" s="30"/>
    </row>
    <row r="724" spans="2:9">
      <c r="B724" s="31"/>
      <c r="C724" s="31"/>
      <c r="D724" s="32"/>
      <c r="E724" s="30"/>
      <c r="I724" s="30"/>
    </row>
    <row r="725" spans="2:9">
      <c r="B725" s="31"/>
      <c r="C725" s="31"/>
      <c r="D725" s="32"/>
      <c r="E725" s="30"/>
      <c r="I725" s="30"/>
    </row>
    <row r="726" spans="2:9">
      <c r="B726" s="31"/>
      <c r="C726" s="31"/>
      <c r="D726" s="32"/>
      <c r="E726" s="30"/>
      <c r="I726" s="30"/>
    </row>
    <row r="727" spans="2:9">
      <c r="B727" s="31"/>
      <c r="C727" s="31"/>
      <c r="D727" s="32"/>
      <c r="E727" s="30"/>
      <c r="I727" s="30"/>
    </row>
    <row r="728" spans="2:9">
      <c r="B728" s="31"/>
      <c r="C728" s="31"/>
      <c r="D728" s="32"/>
      <c r="E728" s="30"/>
      <c r="I728" s="30"/>
    </row>
    <row r="729" spans="2:9">
      <c r="B729" s="31"/>
      <c r="C729" s="31"/>
      <c r="D729" s="32"/>
      <c r="E729" s="30"/>
      <c r="I729" s="30"/>
    </row>
    <row r="730" spans="2:9">
      <c r="B730" s="31"/>
      <c r="C730" s="31"/>
      <c r="D730" s="32"/>
      <c r="E730" s="30"/>
      <c r="I730" s="30"/>
    </row>
    <row r="731" spans="2:9">
      <c r="B731" s="31"/>
      <c r="C731" s="31"/>
      <c r="D731" s="32"/>
      <c r="E731" s="30"/>
      <c r="I731" s="30"/>
    </row>
    <row r="732" spans="2:9">
      <c r="B732" s="31"/>
      <c r="C732" s="31"/>
      <c r="D732" s="32"/>
      <c r="E732" s="30"/>
      <c r="I732" s="30"/>
    </row>
    <row r="733" spans="2:9">
      <c r="B733" s="31"/>
      <c r="C733" s="31"/>
      <c r="D733" s="32"/>
      <c r="E733" s="30"/>
      <c r="I733" s="30"/>
    </row>
    <row r="734" spans="2:9">
      <c r="B734" s="31"/>
      <c r="C734" s="31"/>
      <c r="D734" s="32"/>
      <c r="E734" s="30"/>
      <c r="I734" s="30"/>
    </row>
    <row r="735" spans="2:9">
      <c r="B735" s="31"/>
      <c r="C735" s="31"/>
      <c r="D735" s="32"/>
      <c r="E735" s="30"/>
      <c r="I735" s="30"/>
    </row>
    <row r="736" spans="2:9">
      <c r="B736" s="31"/>
      <c r="C736" s="31"/>
      <c r="D736" s="32"/>
      <c r="E736" s="30"/>
      <c r="I736" s="30"/>
    </row>
    <row r="737" spans="2:9">
      <c r="B737" s="31"/>
      <c r="C737" s="31"/>
      <c r="D737" s="32"/>
      <c r="E737" s="30"/>
      <c r="I737" s="30"/>
    </row>
    <row r="738" spans="2:9">
      <c r="B738" s="31"/>
      <c r="C738" s="31"/>
      <c r="D738" s="32"/>
      <c r="E738" s="30"/>
      <c r="I738" s="30"/>
    </row>
    <row r="739" spans="2:9">
      <c r="B739" s="31"/>
      <c r="C739" s="31"/>
      <c r="D739" s="32"/>
      <c r="E739" s="30"/>
      <c r="I739" s="30"/>
    </row>
    <row r="740" spans="2:9">
      <c r="B740" s="31"/>
      <c r="C740" s="31"/>
      <c r="D740" s="32"/>
      <c r="E740" s="30"/>
      <c r="I740" s="30"/>
    </row>
    <row r="741" spans="2:9">
      <c r="B741" s="31"/>
      <c r="C741" s="31"/>
      <c r="D741" s="32"/>
      <c r="E741" s="30"/>
      <c r="I741" s="30"/>
    </row>
    <row r="742" spans="2:9">
      <c r="B742" s="31"/>
      <c r="C742" s="31"/>
      <c r="D742" s="32"/>
      <c r="E742" s="30"/>
      <c r="I742" s="30"/>
    </row>
    <row r="743" spans="2:9">
      <c r="B743" s="31"/>
      <c r="C743" s="31"/>
      <c r="D743" s="32"/>
      <c r="E743" s="30"/>
      <c r="I743" s="30"/>
    </row>
    <row r="744" spans="2:9">
      <c r="B744" s="31"/>
      <c r="C744" s="31"/>
      <c r="D744" s="32"/>
      <c r="E744" s="30"/>
      <c r="I744" s="30"/>
    </row>
    <row r="745" spans="2:9">
      <c r="B745" s="31"/>
      <c r="C745" s="31"/>
      <c r="D745" s="32"/>
      <c r="E745" s="30"/>
      <c r="I745" s="30"/>
    </row>
    <row r="746" spans="2:9">
      <c r="B746" s="31"/>
      <c r="C746" s="31"/>
      <c r="D746" s="32"/>
      <c r="E746" s="30"/>
      <c r="I746" s="30"/>
    </row>
    <row r="747" spans="2:9">
      <c r="B747" s="31"/>
      <c r="C747" s="31"/>
      <c r="D747" s="32"/>
      <c r="E747" s="30"/>
      <c r="I747" s="30"/>
    </row>
    <row r="748" spans="2:9">
      <c r="B748" s="31"/>
      <c r="C748" s="31"/>
      <c r="D748" s="32"/>
      <c r="E748" s="30"/>
      <c r="I748" s="30"/>
    </row>
    <row r="749" spans="2:9">
      <c r="B749" s="31"/>
      <c r="C749" s="31"/>
      <c r="D749" s="32"/>
      <c r="E749" s="30"/>
      <c r="I749" s="30"/>
    </row>
    <row r="750" spans="2:9">
      <c r="B750" s="31"/>
      <c r="C750" s="31"/>
      <c r="D750" s="32"/>
      <c r="E750" s="30"/>
      <c r="I750" s="30"/>
    </row>
    <row r="751" spans="2:9">
      <c r="B751" s="31"/>
      <c r="C751" s="31"/>
      <c r="D751" s="32"/>
      <c r="E751" s="30"/>
      <c r="I751" s="30"/>
    </row>
    <row r="752" spans="2:9">
      <c r="B752" s="31"/>
      <c r="C752" s="31"/>
      <c r="D752" s="32"/>
      <c r="E752" s="30"/>
      <c r="I752" s="30"/>
    </row>
    <row r="753" spans="2:9">
      <c r="B753" s="31"/>
      <c r="C753" s="31"/>
      <c r="D753" s="32"/>
      <c r="E753" s="30"/>
      <c r="I753" s="30"/>
    </row>
    <row r="754" spans="2:9">
      <c r="B754" s="31"/>
      <c r="C754" s="31"/>
      <c r="D754" s="32"/>
      <c r="E754" s="30"/>
      <c r="I754" s="30"/>
    </row>
    <row r="755" spans="2:9">
      <c r="B755" s="31"/>
      <c r="C755" s="31"/>
      <c r="D755" s="32"/>
      <c r="E755" s="30"/>
      <c r="I755" s="30"/>
    </row>
    <row r="756" spans="2:9">
      <c r="B756" s="31"/>
      <c r="C756" s="31"/>
      <c r="D756" s="32"/>
      <c r="E756" s="30"/>
      <c r="I756" s="30"/>
    </row>
    <row r="757" spans="2:9">
      <c r="B757" s="31"/>
      <c r="C757" s="31"/>
      <c r="D757" s="32"/>
      <c r="E757" s="30"/>
      <c r="I757" s="30"/>
    </row>
    <row r="758" spans="2:9">
      <c r="B758" s="31"/>
      <c r="C758" s="31"/>
      <c r="D758" s="32"/>
      <c r="E758" s="30"/>
      <c r="I758" s="30"/>
    </row>
    <row r="759" spans="2:9">
      <c r="B759" s="31"/>
      <c r="C759" s="31"/>
      <c r="D759" s="32"/>
      <c r="E759" s="30"/>
      <c r="I759" s="30"/>
    </row>
    <row r="760" spans="2:9">
      <c r="B760" s="31"/>
      <c r="C760" s="31"/>
      <c r="D760" s="32"/>
      <c r="E760" s="30"/>
      <c r="I760" s="30"/>
    </row>
    <row r="761" spans="2:9">
      <c r="B761" s="31"/>
      <c r="C761" s="31"/>
      <c r="D761" s="32"/>
      <c r="E761" s="30"/>
      <c r="I761" s="30"/>
    </row>
    <row r="762" spans="2:9">
      <c r="B762" s="31"/>
      <c r="C762" s="31"/>
      <c r="D762" s="32"/>
      <c r="E762" s="30"/>
      <c r="I762" s="30"/>
    </row>
    <row r="763" spans="2:9">
      <c r="B763" s="31"/>
      <c r="C763" s="31"/>
      <c r="D763" s="32"/>
      <c r="E763" s="30"/>
      <c r="I763" s="30"/>
    </row>
    <row r="764" spans="2:9">
      <c r="B764" s="31"/>
      <c r="C764" s="31"/>
      <c r="D764" s="32"/>
      <c r="E764" s="30"/>
      <c r="I764" s="30"/>
    </row>
    <row r="765" spans="2:9">
      <c r="B765" s="31"/>
      <c r="C765" s="31"/>
      <c r="D765" s="32"/>
      <c r="E765" s="30"/>
      <c r="I765" s="30"/>
    </row>
    <row r="766" spans="2:9">
      <c r="B766" s="31"/>
      <c r="C766" s="31"/>
      <c r="D766" s="32"/>
      <c r="E766" s="30"/>
      <c r="I766" s="30"/>
    </row>
    <row r="767" spans="2:9">
      <c r="B767" s="31"/>
      <c r="C767" s="31"/>
      <c r="D767" s="32"/>
      <c r="E767" s="30"/>
      <c r="I767" s="30"/>
    </row>
    <row r="768" spans="2:9">
      <c r="B768" s="31"/>
      <c r="C768" s="31"/>
      <c r="D768" s="32"/>
      <c r="E768" s="30"/>
      <c r="I768" s="30"/>
    </row>
    <row r="769" spans="2:9">
      <c r="B769" s="31"/>
      <c r="C769" s="31"/>
      <c r="D769" s="32"/>
      <c r="E769" s="30"/>
      <c r="I769" s="30"/>
    </row>
    <row r="770" spans="2:9">
      <c r="B770" s="31"/>
      <c r="C770" s="31"/>
      <c r="D770" s="32"/>
      <c r="E770" s="30"/>
      <c r="I770" s="30"/>
    </row>
    <row r="771" spans="2:9">
      <c r="B771" s="31"/>
      <c r="C771" s="31"/>
      <c r="D771" s="32"/>
      <c r="E771" s="30"/>
      <c r="I771" s="30"/>
    </row>
    <row r="772" spans="2:9">
      <c r="B772" s="31"/>
      <c r="C772" s="31"/>
      <c r="D772" s="32"/>
      <c r="E772" s="30"/>
      <c r="I772" s="30"/>
    </row>
    <row r="773" spans="2:9">
      <c r="B773" s="31"/>
      <c r="C773" s="31"/>
      <c r="D773" s="32"/>
      <c r="E773" s="30"/>
      <c r="I773" s="30"/>
    </row>
    <row r="774" spans="2:9">
      <c r="B774" s="31"/>
      <c r="C774" s="31"/>
      <c r="D774" s="32"/>
      <c r="E774" s="30"/>
      <c r="I774" s="30"/>
    </row>
    <row r="775" spans="2:9">
      <c r="B775" s="31"/>
      <c r="C775" s="31"/>
      <c r="D775" s="32"/>
      <c r="E775" s="30"/>
      <c r="I775" s="30"/>
    </row>
    <row r="776" spans="2:9">
      <c r="B776" s="31"/>
      <c r="C776" s="31"/>
      <c r="D776" s="32"/>
      <c r="E776" s="30"/>
      <c r="I776" s="30"/>
    </row>
    <row r="777" spans="2:9">
      <c r="B777" s="31"/>
      <c r="C777" s="31"/>
      <c r="D777" s="32"/>
      <c r="E777" s="30"/>
      <c r="I777" s="30"/>
    </row>
    <row r="778" spans="2:9">
      <c r="B778" s="31"/>
      <c r="C778" s="31"/>
      <c r="D778" s="32"/>
      <c r="E778" s="30"/>
      <c r="I778" s="30"/>
    </row>
    <row r="779" spans="2:9">
      <c r="B779" s="31"/>
      <c r="C779" s="31"/>
      <c r="D779" s="32"/>
      <c r="E779" s="30"/>
      <c r="I779" s="30"/>
    </row>
    <row r="780" spans="2:9">
      <c r="B780" s="31"/>
      <c r="C780" s="31"/>
      <c r="D780" s="32"/>
      <c r="E780" s="30"/>
      <c r="I780" s="30"/>
    </row>
    <row r="781" spans="2:9">
      <c r="B781" s="31"/>
      <c r="C781" s="31"/>
      <c r="D781" s="32"/>
      <c r="E781" s="30"/>
      <c r="I781" s="30"/>
    </row>
    <row r="782" spans="2:9">
      <c r="B782" s="31"/>
      <c r="C782" s="31"/>
      <c r="D782" s="32"/>
      <c r="E782" s="30"/>
      <c r="I782" s="30"/>
    </row>
    <row r="783" spans="2:9">
      <c r="B783" s="31"/>
      <c r="C783" s="31"/>
      <c r="D783" s="32"/>
      <c r="E783" s="30"/>
      <c r="I783" s="30"/>
    </row>
    <row r="784" spans="2:9">
      <c r="B784" s="31"/>
      <c r="C784" s="31"/>
      <c r="D784" s="32"/>
      <c r="E784" s="30"/>
      <c r="I784" s="30"/>
    </row>
    <row r="785" spans="2:9">
      <c r="B785" s="31"/>
      <c r="C785" s="31"/>
      <c r="D785" s="32"/>
      <c r="E785" s="30"/>
      <c r="I785" s="30"/>
    </row>
    <row r="786" spans="2:9">
      <c r="B786" s="31"/>
      <c r="C786" s="31"/>
      <c r="D786" s="32"/>
      <c r="E786" s="30"/>
      <c r="I786" s="30"/>
    </row>
    <row r="787" spans="2:9">
      <c r="B787" s="31"/>
      <c r="C787" s="31"/>
      <c r="D787" s="32"/>
      <c r="E787" s="30"/>
      <c r="I787" s="30"/>
    </row>
    <row r="788" spans="2:9">
      <c r="B788" s="31"/>
      <c r="C788" s="31"/>
      <c r="D788" s="32"/>
      <c r="E788" s="30"/>
      <c r="I788" s="30"/>
    </row>
    <row r="789" spans="2:9">
      <c r="B789" s="31"/>
      <c r="C789" s="31"/>
      <c r="D789" s="32"/>
      <c r="E789" s="30"/>
      <c r="I789" s="30"/>
    </row>
    <row r="790" spans="2:9">
      <c r="B790" s="31"/>
      <c r="C790" s="31"/>
      <c r="D790" s="32"/>
      <c r="E790" s="30"/>
      <c r="I790" s="30"/>
    </row>
    <row r="791" spans="2:9">
      <c r="B791" s="31"/>
      <c r="C791" s="31"/>
      <c r="D791" s="32"/>
      <c r="E791" s="30"/>
      <c r="I791" s="30"/>
    </row>
    <row r="792" spans="2:9">
      <c r="B792" s="31"/>
      <c r="C792" s="31"/>
      <c r="D792" s="32"/>
      <c r="E792" s="30"/>
      <c r="I792" s="30"/>
    </row>
    <row r="793" spans="2:9">
      <c r="B793" s="31"/>
      <c r="C793" s="31"/>
      <c r="D793" s="32"/>
      <c r="E793" s="30"/>
      <c r="I793" s="30"/>
    </row>
    <row r="794" spans="2:9">
      <c r="B794" s="31"/>
      <c r="C794" s="31"/>
      <c r="D794" s="32"/>
      <c r="E794" s="30"/>
      <c r="I794" s="30"/>
    </row>
    <row r="795" spans="2:9">
      <c r="B795" s="31"/>
      <c r="C795" s="31"/>
      <c r="D795" s="32"/>
      <c r="E795" s="30"/>
      <c r="I795" s="30"/>
    </row>
    <row r="796" spans="2:9">
      <c r="B796" s="31"/>
      <c r="C796" s="31"/>
      <c r="D796" s="32"/>
      <c r="E796" s="30"/>
      <c r="I796" s="30"/>
    </row>
    <row r="797" spans="2:9">
      <c r="B797" s="31"/>
      <c r="C797" s="31"/>
      <c r="D797" s="32"/>
      <c r="E797" s="30"/>
      <c r="I797" s="30"/>
    </row>
    <row r="798" spans="2:9">
      <c r="B798" s="31"/>
      <c r="C798" s="31"/>
      <c r="D798" s="32"/>
      <c r="E798" s="30"/>
      <c r="I798" s="30"/>
    </row>
    <row r="799" spans="2:9">
      <c r="B799" s="31"/>
      <c r="C799" s="31"/>
      <c r="D799" s="32"/>
      <c r="E799" s="30"/>
      <c r="I799" s="30"/>
    </row>
    <row r="800" spans="2:9">
      <c r="B800" s="31"/>
      <c r="C800" s="31"/>
      <c r="D800" s="32"/>
      <c r="E800" s="30"/>
      <c r="I800" s="30"/>
    </row>
    <row r="801" spans="2:9">
      <c r="B801" s="31"/>
      <c r="C801" s="31"/>
      <c r="D801" s="32"/>
      <c r="E801" s="30"/>
      <c r="I801" s="30"/>
    </row>
    <row r="802" spans="2:9">
      <c r="B802" s="31"/>
      <c r="C802" s="31"/>
      <c r="D802" s="32"/>
      <c r="E802" s="30"/>
      <c r="I802" s="30"/>
    </row>
    <row r="803" spans="2:9">
      <c r="B803" s="31"/>
      <c r="C803" s="31"/>
      <c r="D803" s="32"/>
      <c r="E803" s="30"/>
      <c r="I803" s="30"/>
    </row>
    <row r="804" spans="2:9">
      <c r="B804" s="31"/>
      <c r="C804" s="31"/>
      <c r="D804" s="32"/>
      <c r="E804" s="30"/>
      <c r="I804" s="30"/>
    </row>
    <row r="805" spans="2:9">
      <c r="B805" s="31"/>
      <c r="C805" s="31"/>
      <c r="D805" s="32"/>
      <c r="E805" s="30"/>
      <c r="I805" s="30"/>
    </row>
    <row r="806" spans="2:9">
      <c r="B806" s="31"/>
      <c r="C806" s="31"/>
      <c r="D806" s="32"/>
      <c r="E806" s="30"/>
      <c r="I806" s="30"/>
    </row>
    <row r="807" spans="2:9">
      <c r="B807" s="31"/>
      <c r="C807" s="31"/>
      <c r="D807" s="32"/>
      <c r="E807" s="30"/>
      <c r="I807" s="30"/>
    </row>
    <row r="808" spans="2:9">
      <c r="B808" s="31"/>
      <c r="C808" s="31"/>
      <c r="D808" s="32"/>
      <c r="E808" s="30"/>
      <c r="I808" s="30"/>
    </row>
    <row r="809" spans="2:9">
      <c r="B809" s="31"/>
      <c r="C809" s="31"/>
      <c r="D809" s="32"/>
      <c r="E809" s="30"/>
      <c r="I809" s="30"/>
    </row>
    <row r="810" spans="2:9">
      <c r="B810" s="31"/>
      <c r="C810" s="31"/>
      <c r="D810" s="32"/>
      <c r="E810" s="30"/>
      <c r="I810" s="30"/>
    </row>
    <row r="811" spans="2:9">
      <c r="B811" s="31"/>
      <c r="C811" s="31"/>
      <c r="D811" s="32"/>
      <c r="E811" s="30"/>
      <c r="I811" s="30"/>
    </row>
    <row r="812" spans="2:9">
      <c r="B812" s="31"/>
      <c r="C812" s="31"/>
      <c r="D812" s="32"/>
      <c r="E812" s="30"/>
      <c r="I812" s="30"/>
    </row>
    <row r="813" spans="2:9">
      <c r="B813" s="31"/>
      <c r="C813" s="31"/>
      <c r="D813" s="32"/>
      <c r="E813" s="30"/>
      <c r="I813" s="30"/>
    </row>
    <row r="814" spans="2:9">
      <c r="B814" s="31"/>
      <c r="C814" s="31"/>
      <c r="D814" s="32"/>
      <c r="E814" s="30"/>
      <c r="I814" s="30"/>
    </row>
    <row r="815" spans="2:9">
      <c r="B815" s="31"/>
      <c r="C815" s="31"/>
      <c r="D815" s="32"/>
      <c r="E815" s="30"/>
      <c r="I815" s="30"/>
    </row>
    <row r="816" spans="2:9">
      <c r="B816" s="31"/>
      <c r="C816" s="31"/>
      <c r="D816" s="32"/>
      <c r="E816" s="30"/>
      <c r="I816" s="30"/>
    </row>
    <row r="817" spans="2:9">
      <c r="B817" s="31"/>
      <c r="C817" s="31"/>
      <c r="D817" s="32"/>
      <c r="E817" s="30"/>
      <c r="I817" s="30"/>
    </row>
    <row r="818" spans="2:9">
      <c r="B818" s="31"/>
      <c r="C818" s="31"/>
      <c r="D818" s="32"/>
      <c r="E818" s="30"/>
      <c r="I818" s="30"/>
    </row>
    <row r="819" spans="2:9">
      <c r="B819" s="31"/>
      <c r="C819" s="31"/>
      <c r="D819" s="32"/>
      <c r="E819" s="30"/>
      <c r="I819" s="30"/>
    </row>
    <row r="820" spans="2:9">
      <c r="B820" s="31"/>
      <c r="C820" s="31"/>
      <c r="D820" s="32"/>
      <c r="E820" s="30"/>
      <c r="I820" s="30"/>
    </row>
    <row r="821" spans="2:9">
      <c r="B821" s="31"/>
      <c r="C821" s="31"/>
      <c r="D821" s="32"/>
      <c r="E821" s="30"/>
      <c r="I821" s="30"/>
    </row>
    <row r="822" spans="2:9">
      <c r="B822" s="31"/>
      <c r="C822" s="31"/>
      <c r="D822" s="32"/>
      <c r="E822" s="30"/>
      <c r="I822" s="30"/>
    </row>
    <row r="823" spans="2:9">
      <c r="B823" s="31"/>
      <c r="C823" s="31"/>
      <c r="D823" s="32"/>
      <c r="E823" s="30"/>
      <c r="I823" s="30"/>
    </row>
    <row r="824" spans="2:9">
      <c r="B824" s="31"/>
      <c r="C824" s="31"/>
      <c r="D824" s="32"/>
      <c r="E824" s="30"/>
      <c r="I824" s="30"/>
    </row>
    <row r="825" spans="2:9">
      <c r="B825" s="31"/>
      <c r="C825" s="31"/>
      <c r="D825" s="32"/>
      <c r="E825" s="30"/>
      <c r="I825" s="30"/>
    </row>
    <row r="826" spans="2:9">
      <c r="B826" s="31"/>
      <c r="C826" s="31"/>
      <c r="D826" s="32"/>
      <c r="E826" s="30"/>
      <c r="I826" s="30"/>
    </row>
    <row r="827" spans="2:9">
      <c r="B827" s="31"/>
      <c r="C827" s="31"/>
      <c r="D827" s="32"/>
      <c r="E827" s="30"/>
      <c r="I827" s="30"/>
    </row>
    <row r="828" spans="2:9">
      <c r="B828" s="31"/>
      <c r="C828" s="31"/>
      <c r="D828" s="32"/>
      <c r="E828" s="30"/>
      <c r="I828" s="30"/>
    </row>
    <row r="829" spans="2:9">
      <c r="B829" s="31"/>
      <c r="C829" s="31"/>
      <c r="D829" s="32"/>
      <c r="E829" s="30"/>
      <c r="I829" s="30"/>
    </row>
    <row r="830" spans="2:9">
      <c r="B830" s="31"/>
      <c r="C830" s="31"/>
      <c r="D830" s="32"/>
      <c r="E830" s="30"/>
      <c r="I830" s="30"/>
    </row>
    <row r="831" spans="2:9">
      <c r="B831" s="31"/>
      <c r="C831" s="31"/>
      <c r="D831" s="32"/>
      <c r="E831" s="30"/>
      <c r="I831" s="30"/>
    </row>
    <row r="832" spans="2:9">
      <c r="B832" s="31"/>
      <c r="C832" s="31"/>
      <c r="D832" s="32"/>
      <c r="E832" s="30"/>
      <c r="I832" s="30"/>
    </row>
    <row r="833" spans="2:9">
      <c r="B833" s="31"/>
      <c r="C833" s="31"/>
      <c r="D833" s="32"/>
      <c r="E833" s="30"/>
      <c r="I833" s="30"/>
    </row>
    <row r="834" spans="2:9">
      <c r="B834" s="31"/>
      <c r="C834" s="31"/>
      <c r="D834" s="32"/>
      <c r="E834" s="30"/>
      <c r="I834" s="30"/>
    </row>
    <row r="835" spans="2:9">
      <c r="B835" s="31"/>
      <c r="C835" s="31"/>
      <c r="D835" s="32"/>
      <c r="E835" s="30"/>
      <c r="I835" s="30"/>
    </row>
    <row r="836" spans="2:9">
      <c r="B836" s="31"/>
      <c r="C836" s="31"/>
      <c r="D836" s="32"/>
      <c r="E836" s="30"/>
      <c r="I836" s="30"/>
    </row>
    <row r="837" spans="2:9">
      <c r="B837" s="31"/>
      <c r="C837" s="31"/>
      <c r="D837" s="32"/>
      <c r="E837" s="30"/>
      <c r="I837" s="30"/>
    </row>
    <row r="838" spans="2:9">
      <c r="B838" s="31"/>
      <c r="C838" s="31"/>
      <c r="D838" s="32"/>
      <c r="E838" s="30"/>
      <c r="I838" s="30"/>
    </row>
    <row r="839" spans="2:9">
      <c r="B839" s="31"/>
      <c r="C839" s="31"/>
      <c r="D839" s="32"/>
      <c r="E839" s="30"/>
      <c r="I839" s="30"/>
    </row>
    <row r="840" spans="2:9">
      <c r="B840" s="31"/>
      <c r="C840" s="31"/>
      <c r="D840" s="32"/>
      <c r="E840" s="30"/>
      <c r="I840" s="30"/>
    </row>
    <row r="841" spans="2:9">
      <c r="B841" s="31"/>
      <c r="C841" s="31"/>
      <c r="D841" s="32"/>
      <c r="E841" s="30"/>
      <c r="I841" s="30"/>
    </row>
    <row r="842" spans="2:9">
      <c r="B842" s="31"/>
      <c r="C842" s="31"/>
      <c r="D842" s="32"/>
      <c r="E842" s="30"/>
      <c r="I842" s="30"/>
    </row>
    <row r="843" spans="2:9">
      <c r="B843" s="31"/>
      <c r="C843" s="31"/>
      <c r="D843" s="32"/>
      <c r="E843" s="30"/>
      <c r="I843" s="30"/>
    </row>
    <row r="844" spans="2:9">
      <c r="B844" s="31"/>
      <c r="C844" s="31"/>
      <c r="D844" s="32"/>
      <c r="E844" s="30"/>
      <c r="I844" s="30"/>
    </row>
    <row r="845" spans="2:9">
      <c r="B845" s="31"/>
      <c r="C845" s="31"/>
      <c r="D845" s="32"/>
      <c r="E845" s="30"/>
      <c r="I845" s="30"/>
    </row>
    <row r="846" spans="2:9">
      <c r="B846" s="31"/>
      <c r="C846" s="31"/>
      <c r="D846" s="32"/>
      <c r="E846" s="30"/>
      <c r="I846" s="30"/>
    </row>
    <row r="847" spans="2:9">
      <c r="B847" s="31"/>
      <c r="C847" s="31"/>
      <c r="D847" s="32"/>
      <c r="E847" s="30"/>
      <c r="I847" s="30"/>
    </row>
    <row r="848" spans="2:9">
      <c r="B848" s="31"/>
      <c r="C848" s="31"/>
      <c r="D848" s="32"/>
      <c r="E848" s="30"/>
      <c r="I848" s="30"/>
    </row>
    <row r="849" spans="2:9">
      <c r="B849" s="31"/>
      <c r="C849" s="31"/>
      <c r="D849" s="32"/>
      <c r="E849" s="30"/>
      <c r="I849" s="30"/>
    </row>
    <row r="850" spans="2:9">
      <c r="B850" s="31"/>
      <c r="C850" s="31"/>
      <c r="D850" s="32"/>
      <c r="E850" s="30"/>
      <c r="I850" s="30"/>
    </row>
    <row r="851" spans="2:9">
      <c r="B851" s="31"/>
      <c r="C851" s="31"/>
      <c r="D851" s="32"/>
      <c r="E851" s="30"/>
      <c r="I851" s="30"/>
    </row>
    <row r="852" spans="2:9">
      <c r="B852" s="31"/>
      <c r="C852" s="31"/>
      <c r="D852" s="32"/>
      <c r="E852" s="30"/>
      <c r="I852" s="30"/>
    </row>
    <row r="853" spans="2:9">
      <c r="B853" s="31"/>
      <c r="C853" s="31"/>
      <c r="D853" s="32"/>
      <c r="E853" s="30"/>
      <c r="I853" s="30"/>
    </row>
    <row r="854" spans="2:9">
      <c r="B854" s="31"/>
      <c r="C854" s="31"/>
      <c r="D854" s="32"/>
      <c r="E854" s="30"/>
      <c r="I854" s="30"/>
    </row>
    <row r="855" spans="2:9">
      <c r="B855" s="31"/>
      <c r="C855" s="31"/>
      <c r="D855" s="32"/>
      <c r="E855" s="30"/>
      <c r="I855" s="30"/>
    </row>
    <row r="856" spans="2:9">
      <c r="B856" s="31"/>
      <c r="C856" s="31"/>
      <c r="D856" s="32"/>
      <c r="E856" s="30"/>
      <c r="I856" s="30"/>
    </row>
    <row r="857" spans="2:9">
      <c r="B857" s="31"/>
      <c r="C857" s="31"/>
      <c r="D857" s="32"/>
      <c r="E857" s="30"/>
      <c r="I857" s="30"/>
    </row>
    <row r="858" spans="2:9">
      <c r="B858" s="31"/>
      <c r="C858" s="31"/>
      <c r="D858" s="32"/>
      <c r="E858" s="30"/>
      <c r="I858" s="30"/>
    </row>
    <row r="859" spans="2:9">
      <c r="B859" s="31"/>
      <c r="C859" s="31"/>
      <c r="D859" s="32"/>
      <c r="E859" s="30"/>
      <c r="I859" s="30"/>
    </row>
    <row r="860" spans="2:9">
      <c r="B860" s="31"/>
      <c r="C860" s="31"/>
      <c r="D860" s="32"/>
      <c r="E860" s="30"/>
      <c r="I860" s="30"/>
    </row>
    <row r="861" spans="2:9">
      <c r="B861" s="31"/>
      <c r="C861" s="31"/>
      <c r="D861" s="32"/>
      <c r="E861" s="30"/>
      <c r="I861" s="30"/>
    </row>
    <row r="862" spans="2:9">
      <c r="B862" s="31"/>
      <c r="C862" s="31"/>
      <c r="D862" s="32"/>
      <c r="E862" s="30"/>
      <c r="I862" s="30"/>
    </row>
    <row r="863" spans="2:9">
      <c r="B863" s="31"/>
      <c r="C863" s="31"/>
      <c r="D863" s="32"/>
      <c r="E863" s="30"/>
      <c r="I863" s="30"/>
    </row>
    <row r="864" spans="2:9">
      <c r="B864" s="31"/>
      <c r="C864" s="31"/>
      <c r="D864" s="32"/>
      <c r="E864" s="30"/>
      <c r="I864" s="30"/>
    </row>
    <row r="865" spans="2:9">
      <c r="B865" s="31"/>
      <c r="C865" s="31"/>
      <c r="D865" s="32"/>
      <c r="E865" s="30"/>
      <c r="I865" s="30"/>
    </row>
    <row r="866" spans="2:9">
      <c r="B866" s="31"/>
      <c r="C866" s="31"/>
      <c r="D866" s="32"/>
      <c r="E866" s="30"/>
      <c r="I866" s="30"/>
    </row>
    <row r="867" spans="2:9">
      <c r="B867" s="31"/>
      <c r="C867" s="31"/>
      <c r="D867" s="32"/>
      <c r="E867" s="30"/>
      <c r="I867" s="30"/>
    </row>
    <row r="868" spans="2:9">
      <c r="B868" s="31"/>
      <c r="C868" s="31"/>
      <c r="D868" s="32"/>
      <c r="E868" s="30"/>
      <c r="I868" s="30"/>
    </row>
    <row r="869" spans="2:9">
      <c r="B869" s="31"/>
      <c r="C869" s="31"/>
      <c r="D869" s="32"/>
      <c r="E869" s="30"/>
      <c r="I869" s="30"/>
    </row>
    <row r="870" spans="2:9">
      <c r="B870" s="31"/>
      <c r="C870" s="31"/>
      <c r="D870" s="32"/>
      <c r="E870" s="30"/>
      <c r="I870" s="30"/>
    </row>
    <row r="871" spans="2:9">
      <c r="B871" s="31"/>
      <c r="C871" s="31"/>
      <c r="D871" s="32"/>
      <c r="E871" s="30"/>
      <c r="I871" s="30"/>
    </row>
    <row r="872" spans="2:9">
      <c r="B872" s="31"/>
      <c r="C872" s="31"/>
      <c r="D872" s="32"/>
      <c r="E872" s="30"/>
      <c r="I872" s="30"/>
    </row>
    <row r="873" spans="2:9">
      <c r="B873" s="31"/>
      <c r="C873" s="31"/>
      <c r="D873" s="32"/>
      <c r="E873" s="30"/>
      <c r="I873" s="30"/>
    </row>
    <row r="874" spans="2:9">
      <c r="B874" s="31"/>
      <c r="C874" s="31"/>
      <c r="D874" s="32"/>
      <c r="E874" s="30"/>
      <c r="I874" s="30"/>
    </row>
    <row r="875" spans="2:9">
      <c r="B875" s="31"/>
      <c r="C875" s="31"/>
      <c r="D875" s="32"/>
      <c r="E875" s="30"/>
      <c r="I875" s="30"/>
    </row>
    <row r="876" spans="2:9">
      <c r="B876" s="31"/>
      <c r="C876" s="31"/>
      <c r="D876" s="32"/>
      <c r="E876" s="30"/>
      <c r="I876" s="30"/>
    </row>
    <row r="877" spans="2:9">
      <c r="B877" s="31"/>
      <c r="C877" s="31"/>
      <c r="D877" s="32"/>
      <c r="E877" s="30"/>
      <c r="I877" s="30"/>
    </row>
    <row r="878" spans="2:9">
      <c r="B878" s="31"/>
      <c r="C878" s="31"/>
      <c r="D878" s="32"/>
      <c r="E878" s="30"/>
      <c r="I878" s="30"/>
    </row>
    <row r="879" spans="2:9">
      <c r="B879" s="31"/>
      <c r="C879" s="31"/>
      <c r="D879" s="32"/>
      <c r="E879" s="30"/>
      <c r="I879" s="30"/>
    </row>
    <row r="880" spans="2:9">
      <c r="B880" s="31"/>
      <c r="C880" s="31"/>
      <c r="D880" s="32"/>
      <c r="E880" s="30"/>
      <c r="I880" s="30"/>
    </row>
    <row r="881" spans="2:9">
      <c r="B881" s="31"/>
      <c r="C881" s="31"/>
      <c r="D881" s="32"/>
      <c r="E881" s="30"/>
      <c r="I881" s="30"/>
    </row>
    <row r="882" spans="2:9">
      <c r="B882" s="31"/>
      <c r="C882" s="31"/>
      <c r="D882" s="32"/>
      <c r="E882" s="30"/>
      <c r="I882" s="30"/>
    </row>
    <row r="883" spans="2:9">
      <c r="B883" s="31"/>
      <c r="C883" s="31"/>
      <c r="D883" s="32"/>
      <c r="E883" s="30"/>
      <c r="I883" s="30"/>
    </row>
    <row r="884" spans="2:9">
      <c r="B884" s="31"/>
      <c r="C884" s="31"/>
      <c r="D884" s="32"/>
      <c r="E884" s="30"/>
      <c r="I884" s="30"/>
    </row>
    <row r="885" spans="2:9">
      <c r="B885" s="31"/>
      <c r="C885" s="31"/>
      <c r="D885" s="32"/>
      <c r="E885" s="30"/>
      <c r="I885" s="30"/>
    </row>
    <row r="886" spans="2:9">
      <c r="B886" s="31"/>
      <c r="C886" s="31"/>
      <c r="D886" s="32"/>
      <c r="E886" s="30"/>
      <c r="I886" s="30"/>
    </row>
    <row r="887" spans="2:9">
      <c r="B887" s="31"/>
      <c r="C887" s="31"/>
      <c r="D887" s="32"/>
      <c r="E887" s="30"/>
      <c r="I887" s="30"/>
    </row>
    <row r="888" spans="2:9">
      <c r="B888" s="31"/>
      <c r="C888" s="31"/>
      <c r="D888" s="32"/>
      <c r="E888" s="30"/>
      <c r="I888" s="30"/>
    </row>
    <row r="889" spans="2:9">
      <c r="B889" s="31"/>
      <c r="C889" s="31"/>
      <c r="D889" s="32"/>
      <c r="E889" s="30"/>
      <c r="I889" s="30"/>
    </row>
    <row r="890" spans="2:9">
      <c r="B890" s="31"/>
      <c r="C890" s="31"/>
      <c r="D890" s="32"/>
      <c r="E890" s="30"/>
      <c r="I890" s="30"/>
    </row>
    <row r="891" spans="2:9">
      <c r="B891" s="31"/>
      <c r="C891" s="31"/>
      <c r="D891" s="32"/>
      <c r="E891" s="30"/>
      <c r="I891" s="30"/>
    </row>
    <row r="892" spans="2:9">
      <c r="B892" s="31"/>
      <c r="C892" s="31"/>
      <c r="D892" s="32"/>
      <c r="E892" s="30"/>
      <c r="I892" s="30"/>
    </row>
    <row r="893" spans="2:9">
      <c r="B893" s="31"/>
      <c r="C893" s="31"/>
      <c r="D893" s="32"/>
      <c r="E893" s="30"/>
      <c r="I893" s="30"/>
    </row>
    <row r="894" spans="2:9">
      <c r="B894" s="31"/>
      <c r="C894" s="31"/>
      <c r="D894" s="32"/>
      <c r="E894" s="30"/>
      <c r="I894" s="30"/>
    </row>
    <row r="895" spans="2:9">
      <c r="B895" s="31"/>
      <c r="C895" s="31"/>
      <c r="D895" s="32"/>
      <c r="E895" s="30"/>
      <c r="I895" s="30"/>
    </row>
    <row r="896" spans="2:9">
      <c r="B896" s="31"/>
      <c r="C896" s="31"/>
      <c r="D896" s="32"/>
      <c r="E896" s="30"/>
      <c r="I896" s="30"/>
    </row>
    <row r="897" spans="2:9">
      <c r="B897" s="31"/>
      <c r="C897" s="31"/>
      <c r="D897" s="32"/>
      <c r="E897" s="30"/>
      <c r="I897" s="30"/>
    </row>
    <row r="898" spans="2:9">
      <c r="B898" s="31"/>
      <c r="C898" s="31"/>
      <c r="D898" s="32"/>
      <c r="E898" s="30"/>
      <c r="I898" s="30"/>
    </row>
    <row r="899" spans="2:9">
      <c r="B899" s="31"/>
      <c r="C899" s="31"/>
      <c r="D899" s="32"/>
      <c r="E899" s="30"/>
      <c r="I899" s="30"/>
    </row>
    <row r="900" spans="2:9">
      <c r="B900" s="31"/>
      <c r="C900" s="31"/>
      <c r="D900" s="32"/>
      <c r="E900" s="30"/>
      <c r="I900" s="30"/>
    </row>
    <row r="901" spans="2:9">
      <c r="B901" s="31"/>
      <c r="C901" s="31"/>
      <c r="D901" s="32"/>
      <c r="E901" s="30"/>
      <c r="I901" s="30"/>
    </row>
    <row r="902" spans="2:9">
      <c r="B902" s="31"/>
      <c r="C902" s="31"/>
      <c r="D902" s="32"/>
      <c r="E902" s="30"/>
      <c r="I902" s="30"/>
    </row>
    <row r="903" spans="2:9">
      <c r="B903" s="31"/>
      <c r="C903" s="31"/>
      <c r="D903" s="32"/>
      <c r="E903" s="30"/>
      <c r="I903" s="30"/>
    </row>
    <row r="904" spans="2:9">
      <c r="B904" s="31"/>
      <c r="C904" s="31"/>
      <c r="D904" s="32"/>
      <c r="E904" s="30"/>
      <c r="I904" s="30"/>
    </row>
    <row r="905" spans="2:9">
      <c r="B905" s="31"/>
      <c r="C905" s="31"/>
      <c r="D905" s="32"/>
      <c r="E905" s="30"/>
      <c r="I905" s="30"/>
    </row>
    <row r="906" spans="2:9">
      <c r="B906" s="31"/>
      <c r="C906" s="31"/>
      <c r="D906" s="32"/>
      <c r="E906" s="30"/>
      <c r="I906" s="30"/>
    </row>
    <row r="907" spans="2:9">
      <c r="B907" s="31"/>
      <c r="C907" s="31"/>
      <c r="D907" s="32"/>
      <c r="E907" s="30"/>
      <c r="I907" s="30"/>
    </row>
    <row r="908" spans="2:9">
      <c r="B908" s="31"/>
      <c r="C908" s="31"/>
      <c r="D908" s="32"/>
      <c r="E908" s="30"/>
      <c r="I908" s="30"/>
    </row>
    <row r="909" spans="2:9">
      <c r="B909" s="31"/>
      <c r="C909" s="31"/>
      <c r="D909" s="32"/>
      <c r="E909" s="30"/>
      <c r="I909" s="30"/>
    </row>
    <row r="910" spans="2:9">
      <c r="B910" s="31"/>
      <c r="C910" s="31"/>
      <c r="D910" s="32"/>
      <c r="E910" s="30"/>
      <c r="I910" s="30"/>
    </row>
    <row r="911" spans="2:9">
      <c r="B911" s="31"/>
      <c r="C911" s="31"/>
      <c r="D911" s="32"/>
      <c r="E911" s="30"/>
      <c r="I911" s="30"/>
    </row>
    <row r="912" spans="2:9">
      <c r="B912" s="31"/>
      <c r="C912" s="31"/>
      <c r="D912" s="32"/>
      <c r="E912" s="30"/>
      <c r="I912" s="30"/>
    </row>
    <row r="913" spans="2:9">
      <c r="B913" s="31"/>
      <c r="C913" s="31"/>
      <c r="D913" s="32"/>
      <c r="E913" s="30"/>
      <c r="I913" s="30"/>
    </row>
    <row r="914" spans="2:9">
      <c r="B914" s="31"/>
      <c r="C914" s="31"/>
      <c r="D914" s="32"/>
      <c r="E914" s="30"/>
      <c r="I914" s="30"/>
    </row>
    <row r="915" spans="2:9">
      <c r="B915" s="31"/>
      <c r="C915" s="31"/>
      <c r="D915" s="32"/>
      <c r="E915" s="30"/>
      <c r="I915" s="30"/>
    </row>
    <row r="916" spans="2:9">
      <c r="B916" s="31"/>
      <c r="C916" s="31"/>
      <c r="D916" s="32"/>
      <c r="E916" s="30"/>
      <c r="I916" s="30"/>
    </row>
    <row r="917" spans="2:9">
      <c r="B917" s="31"/>
      <c r="C917" s="31"/>
      <c r="D917" s="32"/>
      <c r="E917" s="30"/>
      <c r="I917" s="30"/>
    </row>
    <row r="918" spans="2:9">
      <c r="B918" s="31"/>
      <c r="C918" s="31"/>
      <c r="D918" s="32"/>
      <c r="E918" s="30"/>
      <c r="I918" s="30"/>
    </row>
    <row r="919" spans="2:9">
      <c r="B919" s="31"/>
      <c r="C919" s="31"/>
      <c r="D919" s="32"/>
      <c r="E919" s="30"/>
      <c r="I919" s="30"/>
    </row>
    <row r="920" spans="2:9">
      <c r="B920" s="31"/>
      <c r="C920" s="31"/>
      <c r="D920" s="32"/>
      <c r="E920" s="30"/>
      <c r="I920" s="30"/>
    </row>
    <row r="921" spans="2:9">
      <c r="B921" s="31"/>
      <c r="C921" s="31"/>
      <c r="D921" s="32"/>
      <c r="E921" s="30"/>
      <c r="I921" s="30"/>
    </row>
    <row r="922" spans="2:9">
      <c r="B922" s="31"/>
      <c r="C922" s="31"/>
      <c r="D922" s="32"/>
      <c r="E922" s="30"/>
      <c r="I922" s="30"/>
    </row>
    <row r="923" spans="2:9">
      <c r="B923" s="31"/>
      <c r="C923" s="31"/>
      <c r="D923" s="32"/>
      <c r="E923" s="30"/>
      <c r="I923" s="30"/>
    </row>
    <row r="924" spans="2:9">
      <c r="B924" s="31"/>
      <c r="C924" s="31"/>
      <c r="D924" s="32"/>
      <c r="E924" s="30"/>
      <c r="I924" s="30"/>
    </row>
    <row r="925" spans="2:9">
      <c r="B925" s="31"/>
      <c r="C925" s="31"/>
      <c r="D925" s="32"/>
      <c r="E925" s="30"/>
      <c r="I925" s="30"/>
    </row>
    <row r="926" spans="2:9">
      <c r="B926" s="31"/>
      <c r="C926" s="31"/>
      <c r="D926" s="32"/>
      <c r="E926" s="30"/>
      <c r="I926" s="30"/>
    </row>
    <row r="927" spans="2:9">
      <c r="B927" s="31"/>
      <c r="C927" s="31"/>
      <c r="D927" s="32"/>
      <c r="E927" s="30"/>
      <c r="I927" s="30"/>
    </row>
    <row r="928" spans="2:9">
      <c r="B928" s="31"/>
      <c r="C928" s="31"/>
      <c r="D928" s="32"/>
      <c r="E928" s="30"/>
      <c r="I928" s="30"/>
    </row>
    <row r="929" spans="2:9">
      <c r="B929" s="31"/>
      <c r="C929" s="31"/>
      <c r="D929" s="32"/>
      <c r="E929" s="30"/>
      <c r="I929" s="30"/>
    </row>
    <row r="930" spans="2:9">
      <c r="B930" s="31"/>
      <c r="C930" s="31"/>
      <c r="D930" s="32"/>
      <c r="E930" s="30"/>
      <c r="I930" s="30"/>
    </row>
    <row r="931" spans="2:9">
      <c r="B931" s="31"/>
      <c r="C931" s="31"/>
      <c r="D931" s="32"/>
      <c r="E931" s="30"/>
      <c r="I931" s="30"/>
    </row>
    <row r="932" spans="2:9">
      <c r="B932" s="31"/>
      <c r="C932" s="31"/>
      <c r="D932" s="32"/>
      <c r="E932" s="30"/>
      <c r="I932" s="30"/>
    </row>
    <row r="933" spans="2:9">
      <c r="B933" s="31"/>
      <c r="C933" s="31"/>
      <c r="D933" s="32"/>
      <c r="E933" s="30"/>
      <c r="I933" s="30"/>
    </row>
    <row r="934" spans="2:9">
      <c r="B934" s="31"/>
      <c r="C934" s="31"/>
      <c r="D934" s="32"/>
      <c r="E934" s="30"/>
      <c r="I934" s="30"/>
    </row>
    <row r="935" spans="2:9">
      <c r="B935" s="31"/>
      <c r="C935" s="31"/>
      <c r="D935" s="32"/>
      <c r="E935" s="30"/>
      <c r="I935" s="30"/>
    </row>
    <row r="936" spans="2:9">
      <c r="B936" s="31"/>
      <c r="C936" s="31"/>
      <c r="D936" s="32"/>
      <c r="E936" s="30"/>
      <c r="I936" s="30"/>
    </row>
    <row r="937" spans="2:9">
      <c r="B937" s="31"/>
      <c r="C937" s="31"/>
      <c r="D937" s="32"/>
      <c r="E937" s="30"/>
      <c r="I937" s="30"/>
    </row>
    <row r="938" spans="2:9">
      <c r="B938" s="31"/>
      <c r="C938" s="31"/>
      <c r="D938" s="32"/>
      <c r="E938" s="30"/>
      <c r="I938" s="30"/>
    </row>
    <row r="939" spans="2:9">
      <c r="B939" s="31"/>
      <c r="C939" s="31"/>
      <c r="D939" s="32"/>
      <c r="E939" s="30"/>
      <c r="I939" s="30"/>
    </row>
    <row r="940" spans="2:9">
      <c r="B940" s="31"/>
      <c r="C940" s="31"/>
      <c r="D940" s="32"/>
      <c r="E940" s="30"/>
      <c r="I940" s="30"/>
    </row>
    <row r="941" spans="2:9">
      <c r="B941" s="31"/>
      <c r="C941" s="31"/>
      <c r="D941" s="32"/>
      <c r="E941" s="30"/>
      <c r="I941" s="30"/>
    </row>
    <row r="942" spans="2:9">
      <c r="B942" s="31"/>
      <c r="C942" s="31"/>
      <c r="D942" s="32"/>
      <c r="E942" s="30"/>
      <c r="I942" s="30"/>
    </row>
    <row r="943" spans="2:9">
      <c r="B943" s="31"/>
      <c r="C943" s="31"/>
      <c r="D943" s="32"/>
      <c r="E943" s="30"/>
      <c r="I943" s="30"/>
    </row>
    <row r="944" spans="2:9">
      <c r="B944" s="31"/>
      <c r="C944" s="31"/>
      <c r="D944" s="32"/>
      <c r="E944" s="30"/>
      <c r="I944" s="30"/>
    </row>
    <row r="945" spans="2:9">
      <c r="B945" s="31"/>
      <c r="C945" s="31"/>
      <c r="D945" s="32"/>
      <c r="E945" s="30"/>
      <c r="I945" s="30"/>
    </row>
    <row r="946" spans="2:9">
      <c r="B946" s="31"/>
      <c r="C946" s="31"/>
      <c r="D946" s="32"/>
      <c r="E946" s="30"/>
      <c r="I946" s="30"/>
    </row>
    <row r="947" spans="2:9">
      <c r="B947" s="31"/>
      <c r="C947" s="31"/>
      <c r="D947" s="32"/>
      <c r="E947" s="30"/>
      <c r="I947" s="30"/>
    </row>
    <row r="948" spans="2:9">
      <c r="B948" s="31"/>
      <c r="C948" s="31"/>
      <c r="D948" s="32"/>
      <c r="E948" s="30"/>
      <c r="I948" s="30"/>
    </row>
    <row r="949" spans="2:9">
      <c r="B949" s="31"/>
      <c r="C949" s="31"/>
      <c r="D949" s="32"/>
      <c r="E949" s="30"/>
      <c r="I949" s="30"/>
    </row>
    <row r="950" spans="2:9">
      <c r="B950" s="31"/>
      <c r="C950" s="31"/>
      <c r="D950" s="32"/>
      <c r="E950" s="30"/>
      <c r="I950" s="30"/>
    </row>
    <row r="951" spans="2:9">
      <c r="B951" s="31"/>
      <c r="C951" s="31"/>
      <c r="D951" s="32"/>
      <c r="E951" s="30"/>
      <c r="I951" s="30"/>
    </row>
    <row r="952" spans="2:9">
      <c r="B952" s="31"/>
      <c r="C952" s="31"/>
      <c r="D952" s="32"/>
      <c r="E952" s="30"/>
      <c r="I952" s="30"/>
    </row>
    <row r="953" spans="2:9">
      <c r="B953" s="31"/>
      <c r="C953" s="31"/>
      <c r="D953" s="32"/>
      <c r="E953" s="30"/>
      <c r="I953" s="30"/>
    </row>
    <row r="954" spans="2:9">
      <c r="B954" s="31"/>
      <c r="C954" s="31"/>
      <c r="D954" s="32"/>
      <c r="E954" s="30"/>
      <c r="I954" s="30"/>
    </row>
    <row r="955" spans="2:9">
      <c r="B955" s="31"/>
      <c r="C955" s="31"/>
      <c r="D955" s="32"/>
      <c r="E955" s="30"/>
      <c r="I955" s="30"/>
    </row>
    <row r="956" spans="2:9">
      <c r="B956" s="31"/>
      <c r="C956" s="31"/>
      <c r="D956" s="32"/>
      <c r="E956" s="30"/>
      <c r="I956" s="30"/>
    </row>
    <row r="957" spans="2:9">
      <c r="B957" s="31"/>
      <c r="C957" s="31"/>
      <c r="D957" s="32"/>
      <c r="E957" s="30"/>
      <c r="I957" s="30"/>
    </row>
    <row r="958" spans="2:9">
      <c r="B958" s="31"/>
      <c r="C958" s="31"/>
      <c r="D958" s="32"/>
      <c r="E958" s="30"/>
      <c r="I958" s="30"/>
    </row>
    <row r="959" spans="2:9">
      <c r="B959" s="31"/>
      <c r="C959" s="31"/>
      <c r="D959" s="32"/>
      <c r="E959" s="30"/>
      <c r="I959" s="30"/>
    </row>
    <row r="960" spans="2:9">
      <c r="B960" s="31"/>
      <c r="C960" s="31"/>
      <c r="D960" s="32"/>
      <c r="E960" s="30"/>
      <c r="I960" s="30"/>
    </row>
    <row r="961" spans="2:9">
      <c r="B961" s="31"/>
      <c r="C961" s="31"/>
      <c r="D961" s="32"/>
      <c r="E961" s="30"/>
      <c r="I961" s="30"/>
    </row>
    <row r="962" spans="2:9">
      <c r="B962" s="31"/>
      <c r="C962" s="31"/>
      <c r="D962" s="32"/>
      <c r="E962" s="30"/>
      <c r="I962" s="30"/>
    </row>
    <row r="963" spans="2:9">
      <c r="B963" s="31"/>
      <c r="C963" s="31"/>
      <c r="D963" s="32"/>
      <c r="E963" s="30"/>
      <c r="I963" s="30"/>
    </row>
    <row r="964" spans="2:9">
      <c r="B964" s="31"/>
      <c r="C964" s="31"/>
      <c r="D964" s="32"/>
      <c r="E964" s="30"/>
      <c r="I964" s="30"/>
    </row>
    <row r="965" spans="2:9">
      <c r="B965" s="31"/>
      <c r="C965" s="31"/>
      <c r="D965" s="32"/>
      <c r="E965" s="30"/>
      <c r="I965" s="30"/>
    </row>
    <row r="966" spans="2:9">
      <c r="B966" s="31"/>
      <c r="C966" s="31"/>
      <c r="D966" s="32"/>
      <c r="E966" s="30"/>
      <c r="I966" s="30"/>
    </row>
    <row r="967" spans="2:9">
      <c r="B967" s="31"/>
      <c r="C967" s="31"/>
      <c r="D967" s="32"/>
      <c r="E967" s="30"/>
      <c r="I967" s="30"/>
    </row>
    <row r="968" spans="2:9">
      <c r="B968" s="31"/>
      <c r="C968" s="31"/>
      <c r="D968" s="32"/>
      <c r="E968" s="30"/>
      <c r="I968" s="30"/>
    </row>
    <row r="969" spans="2:9">
      <c r="B969" s="31"/>
      <c r="C969" s="31"/>
      <c r="D969" s="32"/>
      <c r="E969" s="30"/>
      <c r="I969" s="30"/>
    </row>
    <row r="970" spans="2:9">
      <c r="B970" s="31"/>
      <c r="C970" s="31"/>
      <c r="D970" s="32"/>
      <c r="E970" s="30"/>
      <c r="I970" s="30"/>
    </row>
    <row r="971" spans="2:9">
      <c r="B971" s="31"/>
      <c r="C971" s="31"/>
      <c r="D971" s="32"/>
      <c r="E971" s="30"/>
      <c r="I971" s="30"/>
    </row>
    <row r="972" spans="2:9">
      <c r="B972" s="31"/>
      <c r="C972" s="31"/>
      <c r="D972" s="32"/>
      <c r="E972" s="30"/>
      <c r="I972" s="30"/>
    </row>
    <row r="973" spans="2:9">
      <c r="B973" s="31"/>
      <c r="C973" s="31"/>
      <c r="D973" s="32"/>
      <c r="E973" s="30"/>
      <c r="I973" s="30"/>
    </row>
    <row r="974" spans="2:9">
      <c r="B974" s="31"/>
      <c r="C974" s="31"/>
      <c r="D974" s="32"/>
      <c r="E974" s="30"/>
      <c r="I974" s="30"/>
    </row>
    <row r="975" spans="2:9">
      <c r="B975" s="31"/>
      <c r="C975" s="31"/>
      <c r="D975" s="32"/>
      <c r="E975" s="30"/>
      <c r="I975" s="30"/>
    </row>
    <row r="976" spans="2:9">
      <c r="B976" s="31"/>
      <c r="C976" s="31"/>
      <c r="D976" s="32"/>
      <c r="E976" s="30"/>
      <c r="I976" s="30"/>
    </row>
    <row r="977" spans="2:9">
      <c r="B977" s="31"/>
      <c r="C977" s="31"/>
      <c r="D977" s="32"/>
      <c r="E977" s="30"/>
      <c r="I977" s="30"/>
    </row>
    <row r="978" spans="2:9">
      <c r="B978" s="31"/>
      <c r="C978" s="31"/>
      <c r="D978" s="32"/>
      <c r="E978" s="30"/>
      <c r="I978" s="30"/>
    </row>
    <row r="979" spans="2:9">
      <c r="B979" s="31"/>
      <c r="C979" s="31"/>
      <c r="D979" s="32"/>
      <c r="E979" s="30"/>
      <c r="I979" s="30"/>
    </row>
    <row r="980" spans="2:9">
      <c r="B980" s="31"/>
      <c r="C980" s="31"/>
      <c r="D980" s="32"/>
      <c r="E980" s="30"/>
      <c r="I980" s="30"/>
    </row>
    <row r="981" spans="2:9">
      <c r="B981" s="31"/>
      <c r="C981" s="31"/>
      <c r="D981" s="32"/>
      <c r="E981" s="30"/>
      <c r="I981" s="30"/>
    </row>
    <row r="982" spans="2:9">
      <c r="B982" s="31"/>
      <c r="C982" s="31"/>
      <c r="D982" s="32"/>
      <c r="E982" s="30"/>
      <c r="I982" s="30"/>
    </row>
    <row r="983" spans="2:9">
      <c r="B983" s="31"/>
      <c r="C983" s="31"/>
      <c r="D983" s="32"/>
      <c r="E983" s="30"/>
      <c r="I983" s="30"/>
    </row>
    <row r="984" spans="2:9">
      <c r="B984" s="31"/>
      <c r="C984" s="31"/>
      <c r="D984" s="32"/>
      <c r="E984" s="30"/>
      <c r="I984" s="30"/>
    </row>
    <row r="985" spans="2:9">
      <c r="B985" s="31"/>
      <c r="C985" s="31"/>
      <c r="D985" s="32"/>
      <c r="E985" s="30"/>
      <c r="I985" s="30"/>
    </row>
    <row r="986" spans="2:9">
      <c r="B986" s="31"/>
      <c r="C986" s="31"/>
      <c r="D986" s="32"/>
      <c r="E986" s="30"/>
      <c r="I986" s="30"/>
    </row>
    <row r="987" spans="2:9">
      <c r="B987" s="31"/>
      <c r="C987" s="31"/>
      <c r="D987" s="32"/>
      <c r="E987" s="30"/>
      <c r="I987" s="30"/>
    </row>
    <row r="988" spans="2:9">
      <c r="B988" s="31"/>
      <c r="C988" s="31"/>
      <c r="D988" s="32"/>
      <c r="E988" s="30"/>
      <c r="I988" s="30"/>
    </row>
    <row r="989" spans="2:9">
      <c r="B989" s="31"/>
      <c r="C989" s="31"/>
      <c r="D989" s="32"/>
      <c r="E989" s="30"/>
      <c r="I989" s="30"/>
    </row>
    <row r="990" spans="2:9">
      <c r="B990" s="31"/>
      <c r="C990" s="31"/>
      <c r="D990" s="32"/>
      <c r="E990" s="30"/>
      <c r="I990" s="30"/>
    </row>
    <row r="991" spans="2:9">
      <c r="B991" s="31"/>
      <c r="C991" s="31"/>
      <c r="D991" s="32"/>
      <c r="E991" s="30"/>
      <c r="I991" s="30"/>
    </row>
    <row r="992" spans="2:9">
      <c r="B992" s="31"/>
      <c r="C992" s="31"/>
      <c r="D992" s="32"/>
      <c r="E992" s="30"/>
      <c r="I992" s="30"/>
    </row>
    <row r="993" spans="2:9">
      <c r="B993" s="31"/>
      <c r="C993" s="31"/>
      <c r="D993" s="32"/>
      <c r="E993" s="30"/>
      <c r="I993" s="30"/>
    </row>
    <row r="994" spans="2:9">
      <c r="B994" s="31"/>
      <c r="C994" s="31"/>
      <c r="D994" s="32"/>
      <c r="E994" s="30"/>
      <c r="I994" s="30"/>
    </row>
    <row r="995" spans="2:9">
      <c r="B995" s="31"/>
      <c r="C995" s="31"/>
      <c r="D995" s="32"/>
      <c r="E995" s="30"/>
      <c r="I995" s="30"/>
    </row>
    <row r="996" spans="2:9">
      <c r="B996" s="31"/>
      <c r="C996" s="31"/>
      <c r="D996" s="32"/>
      <c r="E996" s="30"/>
      <c r="I996" s="30"/>
    </row>
    <row r="997" spans="2:9">
      <c r="B997" s="31"/>
      <c r="C997" s="31"/>
      <c r="D997" s="32"/>
      <c r="E997" s="30"/>
      <c r="I997" s="30"/>
    </row>
    <row r="998" spans="2:9">
      <c r="B998" s="31"/>
      <c r="C998" s="31"/>
      <c r="D998" s="32"/>
      <c r="E998" s="30"/>
      <c r="I998" s="30"/>
    </row>
    <row r="999" spans="2:9">
      <c r="B999" s="31"/>
      <c r="C999" s="31"/>
      <c r="D999" s="32"/>
      <c r="E999" s="30"/>
      <c r="I999" s="30"/>
    </row>
    <row r="1000" spans="2:9">
      <c r="B1000" s="31"/>
      <c r="C1000" s="31"/>
      <c r="D1000" s="32"/>
      <c r="E1000" s="30"/>
      <c r="I1000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88"/>
  <sheetViews>
    <sheetView rightToLeft="1" tabSelected="1" workbookViewId="0">
      <pane ySplit="1" topLeftCell="A2" activePane="bottomLeft" state="frozen"/>
      <selection pane="bottomLeft" activeCell="B5" sqref="B5"/>
    </sheetView>
  </sheetViews>
  <sheetFormatPr defaultColWidth="14.42578125" defaultRowHeight="15" customHeight="1"/>
  <cols>
    <col min="1" max="1" width="20.7109375" customWidth="1"/>
    <col min="2" max="2" width="13" customWidth="1"/>
    <col min="3" max="3" width="58.85546875" customWidth="1"/>
    <col min="4" max="5" width="16.85546875" customWidth="1"/>
    <col min="6" max="6" width="20.42578125" customWidth="1"/>
    <col min="7" max="7" width="30.5703125" customWidth="1"/>
    <col min="8" max="8" width="14.28515625" customWidth="1"/>
    <col min="9" max="9" width="11.140625" customWidth="1"/>
    <col min="10" max="10" width="12.28515625" customWidth="1"/>
    <col min="11" max="27" width="9.140625" customWidth="1"/>
  </cols>
  <sheetData>
    <row r="1" spans="1:27">
      <c r="A1" s="14" t="s">
        <v>18</v>
      </c>
      <c r="B1" s="14" t="s">
        <v>19</v>
      </c>
      <c r="C1" s="14" t="s">
        <v>22</v>
      </c>
      <c r="D1" s="14" t="s">
        <v>23</v>
      </c>
      <c r="E1" s="14" t="s">
        <v>24</v>
      </c>
      <c r="F1" s="14" t="s">
        <v>25</v>
      </c>
      <c r="G1" s="14" t="s">
        <v>1288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25.5" customHeight="1">
      <c r="A2" s="15">
        <v>1</v>
      </c>
      <c r="B2" s="15" t="s">
        <v>1289</v>
      </c>
      <c r="C2" s="16" t="s">
        <v>1290</v>
      </c>
      <c r="D2" s="18" t="e">
        <f ca="1">VLOOKUP(G2, Cards!A:B, 2, FALSE)</f>
        <v>#N/A</v>
      </c>
      <c r="E2" s="18">
        <v>0</v>
      </c>
      <c r="F2" s="19">
        <v>12145909</v>
      </c>
      <c r="G2" s="21" t="str">
        <f ca="1">IFERROR(__xludf.DUMMYFUNCTION("REGEXEXTRACT(C3, ""ک\s(\d{16})"")"),"#N/A")</f>
        <v>#N/A</v>
      </c>
      <c r="H2" s="23"/>
      <c r="I2" s="21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25.5" customHeight="1">
      <c r="A3" s="15">
        <v>2</v>
      </c>
      <c r="B3" s="15" t="s">
        <v>1289</v>
      </c>
      <c r="C3" s="16" t="s">
        <v>1291</v>
      </c>
      <c r="D3" s="18" t="e">
        <f ca="1">VLOOKUP(G3, Cards!A:B, 2, FALSE)</f>
        <v>#N/A</v>
      </c>
      <c r="E3" s="18">
        <v>38000080</v>
      </c>
      <c r="F3" s="19">
        <v>0</v>
      </c>
      <c r="G3" s="21" t="str">
        <f ca="1">IFERROR(__xludf.DUMMYFUNCTION("REGEXEXTRACT(C4, ""ک\s(\d{16})"")"),"#N/A")</f>
        <v>#N/A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ht="25.5" customHeight="1">
      <c r="A4" s="15">
        <v>3</v>
      </c>
      <c r="B4" s="15" t="s">
        <v>1289</v>
      </c>
      <c r="C4" s="16" t="s">
        <v>1292</v>
      </c>
      <c r="D4" s="18" t="str">
        <f ca="1">VLOOKUP(G4, Cards!A:B, 2, FALSE)</f>
        <v>علي ابراهيميان</v>
      </c>
      <c r="E4" s="18">
        <v>0</v>
      </c>
      <c r="F4" s="19">
        <v>9000</v>
      </c>
      <c r="G4" s="21" t="str">
        <f ca="1">IFERROR(__xludf.DUMMYFUNCTION("REGEXEXTRACT(C5, ""ک\s(\d{16})"")"),"6219861085062957")</f>
        <v>6219861085062957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5.5" customHeight="1">
      <c r="A5" s="15">
        <v>4</v>
      </c>
      <c r="B5" s="15" t="s">
        <v>1289</v>
      </c>
      <c r="C5" s="16" t="s">
        <v>1293</v>
      </c>
      <c r="D5" s="18" t="e">
        <f ca="1">VLOOKUP(G5, Cards!A:B, 2, FALSE)</f>
        <v>#N/A</v>
      </c>
      <c r="E5" s="18">
        <v>0</v>
      </c>
      <c r="F5" s="19">
        <v>7000000</v>
      </c>
      <c r="G5" s="21" t="str">
        <f ca="1">IFERROR(__xludf.DUMMYFUNCTION("REGEXEXTRACT(C6, ""ک\s(\d{16})"")"),"5859831103338371")</f>
        <v>5859831103338371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ht="25.5" customHeight="1">
      <c r="A6" s="15">
        <v>5</v>
      </c>
      <c r="B6" s="15" t="s">
        <v>1289</v>
      </c>
      <c r="C6" s="16" t="s">
        <v>1294</v>
      </c>
      <c r="D6" s="18" t="e">
        <f ca="1">VLOOKUP(G6, Cards!A:B, 2, FALSE)</f>
        <v>#N/A</v>
      </c>
      <c r="E6" s="18">
        <v>1950000</v>
      </c>
      <c r="F6" s="19">
        <v>0</v>
      </c>
      <c r="G6" s="21" t="str">
        <f ca="1">IFERROR(__xludf.DUMMYFUNCTION("REGEXEXTRACT(C7, ""ک\s(\d{16})"")"),"#N/A")</f>
        <v>#N/A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25.5" customHeight="1">
      <c r="A7" s="15">
        <v>6</v>
      </c>
      <c r="B7" s="15" t="s">
        <v>1289</v>
      </c>
      <c r="C7" s="16" t="s">
        <v>1295</v>
      </c>
      <c r="D7" s="18" t="e">
        <f ca="1">VLOOKUP(G7, Cards!A:B, 2, FALSE)</f>
        <v>#N/A</v>
      </c>
      <c r="E7" s="18">
        <v>250000</v>
      </c>
      <c r="F7" s="19">
        <v>0</v>
      </c>
      <c r="G7" s="21" t="str">
        <f ca="1">IFERROR(__xludf.DUMMYFUNCTION("REGEXEXTRACT(C8, ""ک\s(\d{16})"")"),"6104337271629006")</f>
        <v>6104337271629006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5.5" customHeight="1">
      <c r="A8" s="15">
        <v>7</v>
      </c>
      <c r="B8" s="15" t="s">
        <v>1289</v>
      </c>
      <c r="C8" s="16" t="s">
        <v>1296</v>
      </c>
      <c r="D8" s="18" t="e">
        <f ca="1">VLOOKUP(G8, Cards!A:B, 2, FALSE)</f>
        <v>#N/A</v>
      </c>
      <c r="E8" s="18">
        <v>200000</v>
      </c>
      <c r="F8" s="19">
        <v>0</v>
      </c>
      <c r="G8" s="21" t="str">
        <f ca="1">IFERROR(__xludf.DUMMYFUNCTION("REGEXEXTRACT(C9, ""ک\s(\d{16})"")"),"6221061237862596")</f>
        <v>6221061237862596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25.5" customHeight="1">
      <c r="A9" s="15">
        <v>8</v>
      </c>
      <c r="B9" s="15" t="s">
        <v>1289</v>
      </c>
      <c r="C9" s="16" t="s">
        <v>1297</v>
      </c>
      <c r="D9" s="18" t="e">
        <f ca="1">VLOOKUP(G9, Cards!A:B, 2, FALSE)</f>
        <v>#N/A</v>
      </c>
      <c r="E9" s="18">
        <v>900000</v>
      </c>
      <c r="F9" s="19">
        <v>0</v>
      </c>
      <c r="G9" s="21" t="str">
        <f ca="1">IFERROR(__xludf.DUMMYFUNCTION("REGEXEXTRACT(C10, ""ک\s(\d{16})"")"),"6221061237862596")</f>
        <v>6221061237862596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25.5" customHeight="1">
      <c r="A10" s="15">
        <v>9</v>
      </c>
      <c r="B10" s="15" t="s">
        <v>1289</v>
      </c>
      <c r="C10" s="16" t="s">
        <v>1298</v>
      </c>
      <c r="D10" s="18" t="str">
        <f ca="1">VLOOKUP(G10, Cards!A:B, 2, FALSE)</f>
        <v>علي ابراهيميان</v>
      </c>
      <c r="E10" s="18">
        <v>0</v>
      </c>
      <c r="F10" s="19">
        <v>1800</v>
      </c>
      <c r="G10" s="21" t="str">
        <f ca="1">IFERROR(__xludf.DUMMYFUNCTION("REGEXEXTRACT(C11, ""ک\s(\d{16})"")"),"6219861085062957")</f>
        <v>6219861085062957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25.5" customHeight="1">
      <c r="A11" s="15">
        <v>10</v>
      </c>
      <c r="B11" s="15" t="s">
        <v>1289</v>
      </c>
      <c r="C11" s="16" t="s">
        <v>1299</v>
      </c>
      <c r="D11" s="18" t="e">
        <f ca="1">VLOOKUP(G11, Cards!A:B, 2, FALSE)</f>
        <v>#N/A</v>
      </c>
      <c r="E11" s="18">
        <v>2200000</v>
      </c>
      <c r="F11" s="19">
        <v>0</v>
      </c>
      <c r="G11" s="21" t="str">
        <f ca="1">IFERROR(__xludf.DUMMYFUNCTION("REGEXEXTRACT(C12, ""ک\s(\d{16})"")"),"5041721009664401")</f>
        <v>5041721009664401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25.5" customHeight="1">
      <c r="A12" s="15">
        <v>11</v>
      </c>
      <c r="B12" s="15" t="s">
        <v>1289</v>
      </c>
      <c r="C12" s="16" t="s">
        <v>1300</v>
      </c>
      <c r="D12" s="18" t="str">
        <f ca="1">VLOOKUP(G12, Cards!A:B, 2, FALSE)</f>
        <v>علي ابراهيميان</v>
      </c>
      <c r="E12" s="18">
        <v>0</v>
      </c>
      <c r="F12" s="19">
        <v>12000000</v>
      </c>
      <c r="G12" s="21" t="str">
        <f ca="1">IFERROR(__xludf.DUMMYFUNCTION("REGEXEXTRACT(C13, ""ک\s(\d{16})"")"),"6219861085062957")</f>
        <v>6219861085062957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25.5" customHeight="1">
      <c r="A13" s="15">
        <v>12</v>
      </c>
      <c r="B13" s="15" t="s">
        <v>1289</v>
      </c>
      <c r="C13" s="16" t="s">
        <v>1301</v>
      </c>
      <c r="D13" s="18" t="str">
        <f ca="1">VLOOKUP(G13, Cards!A:B, 2, FALSE)</f>
        <v>علي ابراهيميان</v>
      </c>
      <c r="E13" s="18">
        <v>0</v>
      </c>
      <c r="F13" s="19">
        <v>1800</v>
      </c>
      <c r="G13" s="21" t="str">
        <f ca="1">IFERROR(__xludf.DUMMYFUNCTION("REGEXEXTRACT(C14, ""ک\s(\d{16})"")"),"6219861085062957")</f>
        <v>6219861085062957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25.5" customHeight="1">
      <c r="A14" s="15">
        <v>13</v>
      </c>
      <c r="B14" s="15" t="s">
        <v>1289</v>
      </c>
      <c r="C14" s="16" t="s">
        <v>1302</v>
      </c>
      <c r="D14" s="18" t="str">
        <f ca="1">VLOOKUP(G14, Cards!A:B, 2, FALSE)</f>
        <v>علي ابراهيميان</v>
      </c>
      <c r="E14" s="18">
        <v>0</v>
      </c>
      <c r="F14" s="19">
        <v>12200</v>
      </c>
      <c r="G14" s="21" t="str">
        <f ca="1">IFERROR(__xludf.DUMMYFUNCTION("REGEXEXTRACT(C15, ""ک\s(\d{16})"")"),"6219861085062957")</f>
        <v>6219861085062957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25.5" customHeight="1">
      <c r="A15" s="15">
        <v>14</v>
      </c>
      <c r="B15" s="15" t="s">
        <v>1289</v>
      </c>
      <c r="C15" s="16" t="s">
        <v>1303</v>
      </c>
      <c r="D15" s="18" t="e">
        <f ca="1">VLOOKUP(G15, Cards!A:B, 2, FALSE)</f>
        <v>#N/A</v>
      </c>
      <c r="E15" s="18">
        <v>0</v>
      </c>
      <c r="F15" s="19">
        <v>18792000</v>
      </c>
      <c r="G15" s="21" t="str">
        <f ca="1">IFERROR(__xludf.DUMMYFUNCTION("REGEXEXTRACT(C16, ""ک\s(\d{16})"")"),"6104338738476148")</f>
        <v>6104338738476148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25.5" customHeight="1">
      <c r="A16" s="15">
        <v>15</v>
      </c>
      <c r="B16" s="15" t="s">
        <v>1289</v>
      </c>
      <c r="C16" s="16" t="s">
        <v>1304</v>
      </c>
      <c r="D16" s="18" t="str">
        <f ca="1">VLOOKUP(G16, Cards!A:B, 2, FALSE)</f>
        <v>علي ابراهيميان</v>
      </c>
      <c r="E16" s="18">
        <v>0</v>
      </c>
      <c r="F16" s="19">
        <v>12200</v>
      </c>
      <c r="G16" s="21" t="str">
        <f ca="1">IFERROR(__xludf.DUMMYFUNCTION("REGEXEXTRACT(C17, ""ک\s(\d{16})"")"),"6219861085062957")</f>
        <v>6219861085062957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25.5" customHeight="1">
      <c r="A17" s="15">
        <v>16</v>
      </c>
      <c r="B17" s="15" t="s">
        <v>1289</v>
      </c>
      <c r="C17" s="16" t="s">
        <v>1305</v>
      </c>
      <c r="D17" s="18" t="e">
        <f ca="1">VLOOKUP(G17, Cards!A:B, 2, FALSE)</f>
        <v>#N/A</v>
      </c>
      <c r="E17" s="18">
        <v>0</v>
      </c>
      <c r="F17" s="19">
        <v>11178000</v>
      </c>
      <c r="G17" s="21" t="str">
        <f ca="1">IFERROR(__xludf.DUMMYFUNCTION("REGEXEXTRACT(C18, ""ک\s(\d{16})"")"),"5894631178646402")</f>
        <v>5894631178646402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25.5" customHeight="1">
      <c r="A18" s="15">
        <v>17</v>
      </c>
      <c r="B18" s="15" t="s">
        <v>1289</v>
      </c>
      <c r="C18" s="16" t="s">
        <v>1306</v>
      </c>
      <c r="D18" s="18" t="str">
        <f ca="1">VLOOKUP(G18, Cards!A:B, 2, FALSE)</f>
        <v>علي ابراهيميان</v>
      </c>
      <c r="E18" s="18">
        <v>0</v>
      </c>
      <c r="F18" s="19">
        <v>13000000</v>
      </c>
      <c r="G18" s="21" t="str">
        <f ca="1">IFERROR(__xludf.DUMMYFUNCTION("REGEXEXTRACT(C19, ""ک\s(\d{16})"")"),"6219861085062957")</f>
        <v>6219861085062957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25.5" customHeight="1">
      <c r="A19" s="15">
        <v>18</v>
      </c>
      <c r="B19" s="15" t="s">
        <v>1307</v>
      </c>
      <c r="C19" s="16" t="s">
        <v>1308</v>
      </c>
      <c r="D19" s="18" t="e">
        <f ca="1">VLOOKUP(G19, Cards!A:B, 2, FALSE)</f>
        <v>#N/A</v>
      </c>
      <c r="E19" s="18">
        <v>0</v>
      </c>
      <c r="F19" s="19">
        <v>100000000</v>
      </c>
      <c r="G19" s="21" t="str">
        <f ca="1">IFERROR(__xludf.DUMMYFUNCTION("REGEXEXTRACT(C20, ""ک\s(\d{16})"")"),"#N/A")</f>
        <v>#N/A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25.5" customHeight="1">
      <c r="A20" s="15">
        <v>19</v>
      </c>
      <c r="B20" s="15" t="s">
        <v>1307</v>
      </c>
      <c r="C20" s="16" t="s">
        <v>1309</v>
      </c>
      <c r="D20" s="18" t="e">
        <f ca="1">VLOOKUP(G20, Cards!A:B, 2, FALSE)</f>
        <v>#N/A</v>
      </c>
      <c r="E20" s="18">
        <v>96000000</v>
      </c>
      <c r="F20" s="19">
        <v>0</v>
      </c>
      <c r="G20" s="21" t="str">
        <f ca="1">IFERROR(__xludf.DUMMYFUNCTION("REGEXEXTRACT(C21, ""ک\s(\d{16})"")"),"#N/A")</f>
        <v>#N/A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25.5" customHeight="1">
      <c r="A21" s="15">
        <v>20</v>
      </c>
      <c r="B21" s="15" t="s">
        <v>1310</v>
      </c>
      <c r="C21" s="16" t="s">
        <v>1311</v>
      </c>
      <c r="D21" s="18" t="str">
        <f ca="1">VLOOKUP(G21, Cards!A:B, 2, FALSE)</f>
        <v>علي ابراهيميان</v>
      </c>
      <c r="E21" s="18">
        <v>0</v>
      </c>
      <c r="F21" s="19">
        <v>1800</v>
      </c>
      <c r="G21" s="21" t="str">
        <f ca="1">IFERROR(__xludf.DUMMYFUNCTION("REGEXEXTRACT(C22, ""ک\s(\d{16})"")"),"6219861085062957")</f>
        <v>6219861085062957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25.5" customHeight="1">
      <c r="A22" s="15">
        <v>21</v>
      </c>
      <c r="B22" s="15" t="s">
        <v>1310</v>
      </c>
      <c r="C22" s="16" t="s">
        <v>1312</v>
      </c>
      <c r="D22" s="18" t="e">
        <f ca="1">VLOOKUP(G22, Cards!A:B, 2, FALSE)</f>
        <v>#N/A</v>
      </c>
      <c r="E22" s="18">
        <v>2050000</v>
      </c>
      <c r="F22" s="19">
        <v>0</v>
      </c>
      <c r="G22" s="21" t="str">
        <f ca="1">IFERROR(__xludf.DUMMYFUNCTION("REGEXEXTRACT(C23, ""ک\s(\d{16})"")"),"#N/A")</f>
        <v>#N/A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25.5" customHeight="1">
      <c r="A23" s="15">
        <v>22</v>
      </c>
      <c r="B23" s="15" t="s">
        <v>1310</v>
      </c>
      <c r="C23" s="16" t="s">
        <v>1313</v>
      </c>
      <c r="D23" s="18" t="e">
        <f ca="1">VLOOKUP(G23, Cards!A:B, 2, FALSE)</f>
        <v>#N/A</v>
      </c>
      <c r="E23" s="18">
        <v>1350000</v>
      </c>
      <c r="F23" s="19">
        <v>0</v>
      </c>
      <c r="G23" s="21" t="str">
        <f ca="1">IFERROR(__xludf.DUMMYFUNCTION("REGEXEXTRACT(C24, ""ک\s(\d{16})"")"),"5859831156759317")</f>
        <v>5859831156759317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25.5" customHeight="1">
      <c r="A24" s="15">
        <v>23</v>
      </c>
      <c r="B24" s="15" t="s">
        <v>1310</v>
      </c>
      <c r="C24" s="16" t="s">
        <v>1314</v>
      </c>
      <c r="D24" s="18" t="e">
        <f ca="1">VLOOKUP(G24, Cards!A:B, 2, FALSE)</f>
        <v>#N/A</v>
      </c>
      <c r="E24" s="18">
        <v>550000</v>
      </c>
      <c r="F24" s="19">
        <v>0</v>
      </c>
      <c r="G24" s="21" t="str">
        <f ca="1">IFERROR(__xludf.DUMMYFUNCTION("REGEXEXTRACT(C25, ""ک\s(\d{16})"")"),"5041721234060755")</f>
        <v>5041721234060755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25.5" customHeight="1">
      <c r="A25" s="15">
        <v>24</v>
      </c>
      <c r="B25" s="15" t="s">
        <v>1310</v>
      </c>
      <c r="C25" s="16" t="s">
        <v>1315</v>
      </c>
      <c r="D25" s="18" t="e">
        <f ca="1">VLOOKUP(G25, Cards!A:B, 2, FALSE)</f>
        <v>#N/A</v>
      </c>
      <c r="E25" s="18">
        <v>2350000</v>
      </c>
      <c r="F25" s="19">
        <v>0</v>
      </c>
      <c r="G25" s="21" t="str">
        <f ca="1">IFERROR(__xludf.DUMMYFUNCTION("REGEXEXTRACT(C26, ""ک\s(\d{16})"")"),"5041721234060755")</f>
        <v>5041721234060755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25.5" customHeight="1">
      <c r="A26" s="15">
        <v>25</v>
      </c>
      <c r="B26" s="15" t="s">
        <v>1310</v>
      </c>
      <c r="C26" s="16" t="s">
        <v>1316</v>
      </c>
      <c r="D26" s="18" t="str">
        <f ca="1">VLOOKUP(G26, Cards!A:B, 2, FALSE)</f>
        <v>حسين ميربلوک</v>
      </c>
      <c r="E26" s="18">
        <v>500000</v>
      </c>
      <c r="F26" s="19">
        <v>0</v>
      </c>
      <c r="G26" s="21" t="str">
        <f ca="1">IFERROR(__xludf.DUMMYFUNCTION("REGEXEXTRACT(C27, ""ک\s(\d{16})"")"),"6037697681149024")</f>
        <v>6037697681149024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25.5" customHeight="1">
      <c r="A27" s="15">
        <v>26</v>
      </c>
      <c r="B27" s="15" t="s">
        <v>1310</v>
      </c>
      <c r="C27" s="16" t="s">
        <v>1317</v>
      </c>
      <c r="D27" s="18" t="e">
        <f ca="1">VLOOKUP(G27, Cards!A:B, 2, FALSE)</f>
        <v>#N/A</v>
      </c>
      <c r="E27" s="18">
        <v>850000</v>
      </c>
      <c r="F27" s="19">
        <v>0</v>
      </c>
      <c r="G27" s="21" t="str">
        <f ca="1">IFERROR(__xludf.DUMMYFUNCTION("REGEXEXTRACT(C28, ""ک\s(\d{16})"")"),"6037697651562784")</f>
        <v>6037697651562784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25.5" customHeight="1">
      <c r="A28" s="15">
        <v>27</v>
      </c>
      <c r="B28" s="15" t="s">
        <v>1310</v>
      </c>
      <c r="C28" s="16" t="s">
        <v>1318</v>
      </c>
      <c r="D28" s="18" t="str">
        <f ca="1">VLOOKUP(G28, Cards!A:B, 2, FALSE)</f>
        <v>بهمن شايان آذر</v>
      </c>
      <c r="E28" s="18">
        <v>600000</v>
      </c>
      <c r="F28" s="19">
        <v>0</v>
      </c>
      <c r="G28" s="21" t="str">
        <f ca="1">IFERROR(__xludf.DUMMYFUNCTION("REGEXEXTRACT(C29, ""ک\s(\d{16})"")"),"6219861067532142")</f>
        <v>6219861067532142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25.5" customHeight="1">
      <c r="A29" s="15">
        <v>28</v>
      </c>
      <c r="B29" s="15" t="s">
        <v>1310</v>
      </c>
      <c r="C29" s="16" t="s">
        <v>1319</v>
      </c>
      <c r="D29" s="18" t="str">
        <f ca="1">VLOOKUP(G29, Cards!A:B, 2, FALSE)</f>
        <v>علي ابراهيميان</v>
      </c>
      <c r="E29" s="18">
        <v>0</v>
      </c>
      <c r="F29" s="19">
        <v>1800</v>
      </c>
      <c r="G29" s="21" t="str">
        <f ca="1">IFERROR(__xludf.DUMMYFUNCTION("REGEXEXTRACT(C30, ""ک\s(\d{16})"")"),"6219861085062957")</f>
        <v>6219861085062957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25.5" customHeight="1">
      <c r="A30" s="15">
        <v>29</v>
      </c>
      <c r="B30" s="15" t="s">
        <v>1310</v>
      </c>
      <c r="C30" s="16" t="s">
        <v>1320</v>
      </c>
      <c r="D30" s="18" t="e">
        <f ca="1">VLOOKUP(G30, Cards!A:B, 2, FALSE)</f>
        <v>#N/A</v>
      </c>
      <c r="E30" s="18">
        <v>0</v>
      </c>
      <c r="F30" s="19">
        <v>20000000</v>
      </c>
      <c r="G30" s="21" t="str">
        <f ca="1">IFERROR(__xludf.DUMMYFUNCTION("REGEXEXTRACT(C31, ""ک\s(\d{16})"")"),"#N/A")</f>
        <v>#N/A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25.5" customHeight="1">
      <c r="A31" s="15">
        <v>30</v>
      </c>
      <c r="B31" s="15" t="s">
        <v>1310</v>
      </c>
      <c r="C31" s="16" t="s">
        <v>1321</v>
      </c>
      <c r="D31" s="18" t="str">
        <f ca="1">VLOOKUP(G31, Cards!A:B, 2, FALSE)</f>
        <v>علي ابراهيميان</v>
      </c>
      <c r="E31" s="18">
        <v>0</v>
      </c>
      <c r="F31" s="19">
        <v>12200</v>
      </c>
      <c r="G31" s="21" t="str">
        <f ca="1">IFERROR(__xludf.DUMMYFUNCTION("REGEXEXTRACT(C32, ""ک\s(\d{16})"")"),"6219861085062957")</f>
        <v>6219861085062957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25.5" customHeight="1">
      <c r="A32" s="15">
        <v>31</v>
      </c>
      <c r="B32" s="15" t="s">
        <v>1310</v>
      </c>
      <c r="C32" s="16" t="s">
        <v>1322</v>
      </c>
      <c r="D32" s="18" t="e">
        <f ca="1">VLOOKUP(G32, Cards!A:B, 2, FALSE)</f>
        <v>#N/A</v>
      </c>
      <c r="E32" s="18">
        <v>0</v>
      </c>
      <c r="F32" s="19">
        <v>17035920</v>
      </c>
      <c r="G32" s="21" t="str">
        <f ca="1">IFERROR(__xludf.DUMMYFUNCTION("REGEXEXTRACT(C33, ""ک\s(\d{16})"")"),"6104338738476148")</f>
        <v>6104338738476148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25.5" customHeight="1">
      <c r="A33" s="15">
        <v>32</v>
      </c>
      <c r="B33" s="15" t="s">
        <v>1310</v>
      </c>
      <c r="C33" s="16" t="s">
        <v>1323</v>
      </c>
      <c r="D33" s="18" t="str">
        <f ca="1">VLOOKUP(G33, Cards!A:B, 2, FALSE)</f>
        <v>علي ابراهيميان</v>
      </c>
      <c r="E33" s="18">
        <v>0</v>
      </c>
      <c r="F33" s="19">
        <v>9000</v>
      </c>
      <c r="G33" s="21" t="str">
        <f ca="1">IFERROR(__xludf.DUMMYFUNCTION("REGEXEXTRACT(C34, ""ک\s(\d{16})"")"),"6219861085062957")</f>
        <v>6219861085062957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25.5" customHeight="1">
      <c r="A34" s="15">
        <v>33</v>
      </c>
      <c r="B34" s="15" t="s">
        <v>1310</v>
      </c>
      <c r="C34" s="16" t="s">
        <v>1324</v>
      </c>
      <c r="D34" s="18" t="str">
        <f ca="1">VLOOKUP(G34, Cards!A:B, 2, FALSE)</f>
        <v>محمد مومني</v>
      </c>
      <c r="E34" s="18">
        <v>0</v>
      </c>
      <c r="F34" s="19">
        <v>3500000</v>
      </c>
      <c r="G34" s="21" t="str">
        <f ca="1">IFERROR(__xludf.DUMMYFUNCTION("REGEXEXTRACT(C35, ""ک\s(\d{16})"")"),"6362141055049986")</f>
        <v>6362141055049986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25.5" customHeight="1">
      <c r="A35" s="15">
        <v>34</v>
      </c>
      <c r="B35" s="15" t="s">
        <v>1310</v>
      </c>
      <c r="C35" s="16" t="s">
        <v>1325</v>
      </c>
      <c r="D35" s="18" t="str">
        <f ca="1">VLOOKUP(G35, Cards!A:B, 2, FALSE)</f>
        <v>علي ابراهيميان</v>
      </c>
      <c r="E35" s="18">
        <v>0</v>
      </c>
      <c r="F35" s="19">
        <v>15400</v>
      </c>
      <c r="G35" s="21" t="str">
        <f ca="1">IFERROR(__xludf.DUMMYFUNCTION("REGEXEXTRACT(C36, ""ک\s(\d{16})"")"),"6219861085062957")</f>
        <v>6219861085062957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25.5" customHeight="1">
      <c r="A36" s="15">
        <v>35</v>
      </c>
      <c r="B36" s="15" t="s">
        <v>1310</v>
      </c>
      <c r="C36" s="16" t="s">
        <v>1326</v>
      </c>
      <c r="D36" s="18" t="str">
        <f ca="1">VLOOKUP(G36, Cards!A:B, 2, FALSE)</f>
        <v>محسن خانگاه</v>
      </c>
      <c r="E36" s="18">
        <v>0</v>
      </c>
      <c r="F36" s="19">
        <v>27180000</v>
      </c>
      <c r="G36" s="21" t="str">
        <f ca="1">IFERROR(__xludf.DUMMYFUNCTION("REGEXEXTRACT(C37, ""ک\s(\d{16})"")"),"6274121208660688")</f>
        <v>6274121208660688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25.5" customHeight="1">
      <c r="A37" s="15">
        <v>36</v>
      </c>
      <c r="B37" s="15" t="s">
        <v>1310</v>
      </c>
      <c r="C37" s="16" t="s">
        <v>1327</v>
      </c>
      <c r="D37" s="18" t="str">
        <f ca="1">VLOOKUP(G37, Cards!A:B, 2, FALSE)</f>
        <v>علي ابراهيميان</v>
      </c>
      <c r="E37" s="18">
        <v>0</v>
      </c>
      <c r="F37" s="19">
        <v>9000</v>
      </c>
      <c r="G37" s="21" t="str">
        <f ca="1">IFERROR(__xludf.DUMMYFUNCTION("REGEXEXTRACT(C38, ""ک\s(\d{16})"")"),"6219861085062957")</f>
        <v>6219861085062957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25.5" customHeight="1">
      <c r="A38" s="15">
        <v>37</v>
      </c>
      <c r="B38" s="15" t="s">
        <v>1310</v>
      </c>
      <c r="C38" s="16" t="s">
        <v>1328</v>
      </c>
      <c r="D38" s="18" t="e">
        <f ca="1">VLOOKUP(G38, Cards!A:B, 2, FALSE)</f>
        <v>#N/A</v>
      </c>
      <c r="E38" s="18">
        <v>0</v>
      </c>
      <c r="F38" s="19">
        <v>1892880</v>
      </c>
      <c r="G38" s="21" t="str">
        <f ca="1">IFERROR(__xludf.DUMMYFUNCTION("REGEXEXTRACT(C39, ""ک\s(\d{16})"")"),"6104338738476148")</f>
        <v>6104338738476148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25.5" customHeight="1">
      <c r="A39" s="15">
        <v>38</v>
      </c>
      <c r="B39" s="15" t="s">
        <v>1310</v>
      </c>
      <c r="C39" s="16" t="s">
        <v>1329</v>
      </c>
      <c r="D39" s="18" t="e">
        <f ca="1">VLOOKUP(G39, Cards!A:B, 2, FALSE)</f>
        <v>#N/A</v>
      </c>
      <c r="E39" s="18">
        <v>126000000</v>
      </c>
      <c r="F39" s="19">
        <v>0</v>
      </c>
      <c r="G39" s="21" t="str">
        <f ca="1">IFERROR(__xludf.DUMMYFUNCTION("REGEXEXTRACT(C40, ""ک\s(\d{16})"")"),"#N/A")</f>
        <v>#N/A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25.5" customHeight="1">
      <c r="A40" s="15">
        <v>39</v>
      </c>
      <c r="B40" s="15" t="s">
        <v>1330</v>
      </c>
      <c r="C40" s="16" t="s">
        <v>1331</v>
      </c>
      <c r="D40" s="18" t="e">
        <f ca="1">VLOOKUP(G40, Cards!A:B, 2, FALSE)</f>
        <v>#N/A</v>
      </c>
      <c r="E40" s="18">
        <v>1100000</v>
      </c>
      <c r="F40" s="19">
        <v>0</v>
      </c>
      <c r="G40" s="21" t="str">
        <f ca="1">IFERROR(__xludf.DUMMYFUNCTION("REGEXEXTRACT(C41, ""ک\s(\d{16})"")"),"6037998249645275")</f>
        <v>6037998249645275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25.5" customHeight="1">
      <c r="A41" s="15">
        <v>40</v>
      </c>
      <c r="B41" s="15" t="s">
        <v>1330</v>
      </c>
      <c r="C41" s="16" t="s">
        <v>1332</v>
      </c>
      <c r="D41" s="18" t="e">
        <f ca="1">VLOOKUP(G41, Cards!A:B, 2, FALSE)</f>
        <v>#N/A</v>
      </c>
      <c r="E41" s="18">
        <v>1000000</v>
      </c>
      <c r="F41" s="19">
        <v>0</v>
      </c>
      <c r="G41" s="21" t="str">
        <f ca="1">IFERROR(__xludf.DUMMYFUNCTION("REGEXEXTRACT(C42, ""ک\s(\d{16})"")"),"6219861085568839")</f>
        <v>6219861085568839</v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25.5" customHeight="1">
      <c r="A42" s="15">
        <v>41</v>
      </c>
      <c r="B42" s="15" t="s">
        <v>1330</v>
      </c>
      <c r="C42" s="16" t="s">
        <v>1333</v>
      </c>
      <c r="D42" s="18" t="e">
        <f ca="1">VLOOKUP(G42, Cards!A:B, 2, FALSE)</f>
        <v>#N/A</v>
      </c>
      <c r="E42" s="18">
        <v>850000</v>
      </c>
      <c r="F42" s="19">
        <v>0</v>
      </c>
      <c r="G42" s="21" t="str">
        <f ca="1">IFERROR(__xludf.DUMMYFUNCTION("REGEXEXTRACT(C43, ""ک\s(\d{16})"")"),"5041721204017504")</f>
        <v>5041721204017504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25.5" customHeight="1">
      <c r="A43" s="15">
        <v>42</v>
      </c>
      <c r="B43" s="15" t="s">
        <v>1330</v>
      </c>
      <c r="C43" s="16" t="s">
        <v>1334</v>
      </c>
      <c r="D43" s="18" t="e">
        <f ca="1">VLOOKUP(G43, Cards!A:B, 2, FALSE)</f>
        <v>#N/A</v>
      </c>
      <c r="E43" s="18">
        <v>1050000</v>
      </c>
      <c r="F43" s="19">
        <v>0</v>
      </c>
      <c r="G43" s="21" t="str">
        <f ca="1">IFERROR(__xludf.DUMMYFUNCTION("REGEXEXTRACT(C44, ""ک\s(\d{16})"")"),"6037997388523483")</f>
        <v>6037997388523483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25.5" customHeight="1">
      <c r="A44" s="15">
        <v>43</v>
      </c>
      <c r="B44" s="15" t="s">
        <v>1330</v>
      </c>
      <c r="C44" s="16" t="s">
        <v>1335</v>
      </c>
      <c r="D44" s="18" t="e">
        <f ca="1">VLOOKUP(G44, Cards!A:B, 2, FALSE)</f>
        <v>#N/A</v>
      </c>
      <c r="E44" s="18">
        <v>550000</v>
      </c>
      <c r="F44" s="19">
        <v>0</v>
      </c>
      <c r="G44" s="21" t="str">
        <f ca="1">IFERROR(__xludf.DUMMYFUNCTION("REGEXEXTRACT(C45, ""ک\s(\d{16})"")"),"5859831105862774")</f>
        <v>5859831105862774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25.5" customHeight="1">
      <c r="A45" s="15">
        <v>44</v>
      </c>
      <c r="B45" s="15" t="s">
        <v>1330</v>
      </c>
      <c r="C45" s="16" t="s">
        <v>1336</v>
      </c>
      <c r="D45" s="18" t="str">
        <f ca="1">VLOOKUP(G45, Cards!A:B, 2, FALSE)</f>
        <v>علي ابراهيميان</v>
      </c>
      <c r="E45" s="18">
        <v>0</v>
      </c>
      <c r="F45" s="19">
        <v>800000</v>
      </c>
      <c r="G45" s="21" t="str">
        <f ca="1">IFERROR(__xludf.DUMMYFUNCTION("REGEXEXTRACT(C46, ""ک\s(\d{16})"")"),"6219861085062957")</f>
        <v>6219861085062957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25.5" customHeight="1">
      <c r="A46" s="15">
        <v>45</v>
      </c>
      <c r="B46" s="15" t="s">
        <v>1330</v>
      </c>
      <c r="C46" s="16" t="s">
        <v>1337</v>
      </c>
      <c r="D46" s="18" t="str">
        <f ca="1">VLOOKUP(G46, Cards!A:B, 2, FALSE)</f>
        <v>علي ابراهيميان</v>
      </c>
      <c r="E46" s="18">
        <v>0</v>
      </c>
      <c r="F46" s="19">
        <v>50052600</v>
      </c>
      <c r="G46" s="21" t="str">
        <f ca="1">IFERROR(__xludf.DUMMYFUNCTION("REGEXEXTRACT(C47, ""ک\s(\d{16})"")"),"6219861085062957")</f>
        <v>6219861085062957</v>
      </c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25.5" customHeight="1">
      <c r="A47" s="15">
        <v>46</v>
      </c>
      <c r="B47" s="15" t="s">
        <v>1330</v>
      </c>
      <c r="C47" s="16" t="s">
        <v>1338</v>
      </c>
      <c r="D47" s="18" t="e">
        <f ca="1">VLOOKUP(G47, Cards!A:B, 2, FALSE)</f>
        <v>#N/A</v>
      </c>
      <c r="E47" s="18">
        <v>20000000</v>
      </c>
      <c r="F47" s="19">
        <v>0</v>
      </c>
      <c r="G47" s="21" t="str">
        <f ca="1">IFERROR(__xludf.DUMMYFUNCTION("REGEXEXTRACT(C48, ""ک\s(\d{16})"")"),"#N/A")</f>
        <v>#N/A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25.5" customHeight="1">
      <c r="A48" s="15">
        <v>47</v>
      </c>
      <c r="B48" s="15" t="s">
        <v>1330</v>
      </c>
      <c r="C48" s="16" t="s">
        <v>1339</v>
      </c>
      <c r="D48" s="18" t="e">
        <f ca="1">VLOOKUP(G48, Cards!A:B, 2, FALSE)</f>
        <v>#N/A</v>
      </c>
      <c r="E48" s="18">
        <v>750000</v>
      </c>
      <c r="F48" s="19">
        <v>0</v>
      </c>
      <c r="G48" s="21" t="str">
        <f ca="1">IFERROR(__xludf.DUMMYFUNCTION("REGEXEXTRACT(C49, ""ک\s(\d{16})"")"),"6037701177600084")</f>
        <v>6037701177600084</v>
      </c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25.5" customHeight="1">
      <c r="A49" s="15">
        <v>48</v>
      </c>
      <c r="B49" s="15" t="s">
        <v>1330</v>
      </c>
      <c r="C49" s="16" t="s">
        <v>1340</v>
      </c>
      <c r="D49" s="18" t="str">
        <f ca="1">VLOOKUP(G49, Cards!A:B, 2, FALSE)</f>
        <v>علي ابراهيميان</v>
      </c>
      <c r="E49" s="18">
        <v>0</v>
      </c>
      <c r="F49" s="19">
        <v>28200</v>
      </c>
      <c r="G49" s="21" t="str">
        <f ca="1">IFERROR(__xludf.DUMMYFUNCTION("REGEXEXTRACT(C50, ""ک\s(\d{16})"")"),"6219861085062957")</f>
        <v>6219861085062957</v>
      </c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25.5" customHeight="1">
      <c r="A50" s="15">
        <v>49</v>
      </c>
      <c r="B50" s="15" t="s">
        <v>1330</v>
      </c>
      <c r="C50" s="16" t="s">
        <v>1341</v>
      </c>
      <c r="D50" s="18" t="str">
        <f ca="1">VLOOKUP(G50, Cards!A:B, 2, FALSE)</f>
        <v>محسن خانگاه</v>
      </c>
      <c r="E50" s="18">
        <v>0</v>
      </c>
      <c r="F50" s="19">
        <v>67600000</v>
      </c>
      <c r="G50" s="21" t="str">
        <f ca="1">IFERROR(__xludf.DUMMYFUNCTION("REGEXEXTRACT(C51, ""ک\s(\d{16})"")"),"6274121208660688")</f>
        <v>6274121208660688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25.5" customHeight="1">
      <c r="A51" s="15">
        <v>50</v>
      </c>
      <c r="B51" s="15" t="s">
        <v>1330</v>
      </c>
      <c r="C51" s="16" t="s">
        <v>1342</v>
      </c>
      <c r="D51" s="18" t="str">
        <f ca="1">VLOOKUP(G51, Cards!A:B, 2, FALSE)</f>
        <v>علي ابراهيميان</v>
      </c>
      <c r="E51" s="18">
        <v>0</v>
      </c>
      <c r="F51" s="19">
        <v>12200</v>
      </c>
      <c r="G51" s="21" t="str">
        <f ca="1">IFERROR(__xludf.DUMMYFUNCTION("REGEXEXTRACT(C52, ""ک\s(\d{16})"")"),"6219861085062957")</f>
        <v>6219861085062957</v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25.5" customHeight="1">
      <c r="A52" s="15">
        <v>51</v>
      </c>
      <c r="B52" s="15" t="s">
        <v>1330</v>
      </c>
      <c r="C52" s="16" t="s">
        <v>1343</v>
      </c>
      <c r="D52" s="18" t="e">
        <f ca="1">VLOOKUP(G52, Cards!A:B, 2, FALSE)</f>
        <v>#N/A</v>
      </c>
      <c r="E52" s="18">
        <v>0</v>
      </c>
      <c r="F52" s="19">
        <v>18990000</v>
      </c>
      <c r="G52" s="21" t="str">
        <f ca="1">IFERROR(__xludf.DUMMYFUNCTION("REGEXEXTRACT(C53, ""ک\s(\d{16})"")"),"6104338738476148")</f>
        <v>6104338738476148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25.5" customHeight="1">
      <c r="A53" s="15">
        <v>52</v>
      </c>
      <c r="B53" s="15" t="s">
        <v>1330</v>
      </c>
      <c r="C53" s="16" t="s">
        <v>1344</v>
      </c>
      <c r="D53" s="18" t="str">
        <f ca="1">VLOOKUP(G53, Cards!A:B, 2, FALSE)</f>
        <v>علي ابراهيميان</v>
      </c>
      <c r="E53" s="18">
        <v>0</v>
      </c>
      <c r="F53" s="19">
        <v>1800</v>
      </c>
      <c r="G53" s="21" t="str">
        <f ca="1">IFERROR(__xludf.DUMMYFUNCTION("REGEXEXTRACT(C54, ""ک\s(\d{16})"")"),"6219861085062957")</f>
        <v>6219861085062957</v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25.5" customHeight="1">
      <c r="A54" s="15">
        <v>53</v>
      </c>
      <c r="B54" s="15" t="s">
        <v>1330</v>
      </c>
      <c r="C54" s="16" t="s">
        <v>1345</v>
      </c>
      <c r="D54" s="18" t="e">
        <f ca="1">VLOOKUP(G54, Cards!A:B, 2, FALSE)</f>
        <v>#N/A</v>
      </c>
      <c r="E54" s="18">
        <v>118000000</v>
      </c>
      <c r="F54" s="19">
        <v>0</v>
      </c>
      <c r="G54" s="21" t="str">
        <f ca="1">IFERROR(__xludf.DUMMYFUNCTION("REGEXEXTRACT(C55, ""ک\s(\d{16})"")"),"#N/A")</f>
        <v>#N/A</v>
      </c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25.5" customHeight="1">
      <c r="A55" s="15">
        <v>54</v>
      </c>
      <c r="B55" s="15" t="s">
        <v>1346</v>
      </c>
      <c r="C55" s="16" t="s">
        <v>1347</v>
      </c>
      <c r="D55" s="18" t="str">
        <f ca="1">VLOOKUP(G55, Cards!A:B, 2, FALSE)</f>
        <v>علي ابراهيميان</v>
      </c>
      <c r="E55" s="18">
        <v>0</v>
      </c>
      <c r="F55" s="19">
        <v>1800</v>
      </c>
      <c r="G55" s="21" t="str">
        <f ca="1">IFERROR(__xludf.DUMMYFUNCTION("REGEXEXTRACT(C56, ""ک\s(\d{16})"")"),"6219861085062957")</f>
        <v>6219861085062957</v>
      </c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25.5" customHeight="1">
      <c r="A56" s="15">
        <v>55</v>
      </c>
      <c r="B56" s="15" t="s">
        <v>1346</v>
      </c>
      <c r="C56" s="16" t="s">
        <v>1348</v>
      </c>
      <c r="D56" s="18" t="str">
        <f ca="1">VLOOKUP(G56, Cards!A:B, 2, FALSE)</f>
        <v>علي ابراهيميان</v>
      </c>
      <c r="E56" s="18">
        <v>0</v>
      </c>
      <c r="F56" s="19">
        <v>15400</v>
      </c>
      <c r="G56" s="21" t="str">
        <f ca="1">IFERROR(__xludf.DUMMYFUNCTION("REGEXEXTRACT(C57, ""ک\s(\d{16})"")"),"6219861085062957")</f>
        <v>6219861085062957</v>
      </c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25.5" customHeight="1">
      <c r="A57" s="15">
        <v>56</v>
      </c>
      <c r="B57" s="15" t="s">
        <v>1346</v>
      </c>
      <c r="C57" s="16" t="s">
        <v>1349</v>
      </c>
      <c r="D57" s="18" t="e">
        <f ca="1">VLOOKUP(G57, Cards!A:B, 2, FALSE)</f>
        <v>#N/A</v>
      </c>
      <c r="E57" s="18">
        <v>0</v>
      </c>
      <c r="F57" s="19">
        <v>20570400</v>
      </c>
      <c r="G57" s="21" t="str">
        <f ca="1">IFERROR(__xludf.DUMMYFUNCTION("REGEXEXTRACT(C58, ""ک\s(\d{16})"")"),"6104338738476148")</f>
        <v>6104338738476148</v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25.5" customHeight="1">
      <c r="A58" s="15">
        <v>57</v>
      </c>
      <c r="B58" s="15" t="s">
        <v>1346</v>
      </c>
      <c r="C58" s="16" t="s">
        <v>1350</v>
      </c>
      <c r="D58" s="18" t="str">
        <f ca="1">VLOOKUP(G58, Cards!A:B, 2, FALSE)</f>
        <v>علي ابراهيميان</v>
      </c>
      <c r="E58" s="18">
        <v>0</v>
      </c>
      <c r="F58" s="19">
        <v>9000</v>
      </c>
      <c r="G58" s="21" t="str">
        <f ca="1">IFERROR(__xludf.DUMMYFUNCTION("REGEXEXTRACT(C59, ""ک\s(\d{16})"")"),"6219861085062957")</f>
        <v>6219861085062957</v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25.5" customHeight="1">
      <c r="A59" s="15">
        <v>58</v>
      </c>
      <c r="B59" s="15" t="s">
        <v>1346</v>
      </c>
      <c r="C59" s="16" t="s">
        <v>1351</v>
      </c>
      <c r="D59" s="18" t="e">
        <f ca="1">VLOOKUP(G59, Cards!A:B, 2, FALSE)</f>
        <v>#N/A</v>
      </c>
      <c r="E59" s="18">
        <v>0</v>
      </c>
      <c r="F59" s="19">
        <v>7885000</v>
      </c>
      <c r="G59" s="21" t="str">
        <f ca="1">IFERROR(__xludf.DUMMYFUNCTION("REGEXEXTRACT(C60, ""ک\s(\d{16})"")"),"5859831836324235")</f>
        <v>5859831836324235</v>
      </c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25.5" customHeight="1">
      <c r="A60" s="15">
        <v>59</v>
      </c>
      <c r="B60" s="15" t="s">
        <v>1346</v>
      </c>
      <c r="C60" s="16" t="s">
        <v>1352</v>
      </c>
      <c r="D60" s="18" t="str">
        <f ca="1">VLOOKUP(G60, Cards!A:B, 2, FALSE)</f>
        <v>علي ابراهيميان</v>
      </c>
      <c r="E60" s="18">
        <v>0</v>
      </c>
      <c r="F60" s="19">
        <v>25000</v>
      </c>
      <c r="G60" s="21" t="str">
        <f ca="1">IFERROR(__xludf.DUMMYFUNCTION("REGEXEXTRACT(C61, ""ک\s(\d{16})"")"),"6219861085062957")</f>
        <v>6219861085062957</v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25.5" customHeight="1">
      <c r="A61" s="15">
        <v>60</v>
      </c>
      <c r="B61" s="15" t="s">
        <v>1346</v>
      </c>
      <c r="C61" s="16" t="s">
        <v>1353</v>
      </c>
      <c r="D61" s="18" t="str">
        <f ca="1">VLOOKUP(G61, Cards!A:B, 2, FALSE)</f>
        <v>محمد نجفيزاده</v>
      </c>
      <c r="E61" s="18">
        <v>0</v>
      </c>
      <c r="F61" s="19">
        <v>55000000</v>
      </c>
      <c r="G61" s="21" t="str">
        <f ca="1">IFERROR(__xludf.DUMMYFUNCTION("REGEXEXTRACT(C62, ""ک\s(\d{16})"")"),"6037998137441456")</f>
        <v>6037998137441456</v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25.5" customHeight="1">
      <c r="A62" s="15">
        <v>61</v>
      </c>
      <c r="B62" s="15" t="s">
        <v>1346</v>
      </c>
      <c r="C62" s="16" t="s">
        <v>1354</v>
      </c>
      <c r="D62" s="18" t="e">
        <f ca="1">VLOOKUP(G62, Cards!A:B, 2, FALSE)</f>
        <v>#N/A</v>
      </c>
      <c r="E62" s="18">
        <v>250000</v>
      </c>
      <c r="F62" s="19">
        <v>0</v>
      </c>
      <c r="G62" s="21" t="str">
        <f ca="1">IFERROR(__xludf.DUMMYFUNCTION("REGEXEXTRACT(C63, ""ک\s(\d{16})"")"),"#N/A")</f>
        <v>#N/A</v>
      </c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25.5" customHeight="1">
      <c r="A63" s="15">
        <v>62</v>
      </c>
      <c r="B63" s="15" t="s">
        <v>1346</v>
      </c>
      <c r="C63" s="16" t="s">
        <v>1355</v>
      </c>
      <c r="D63" s="18" t="str">
        <f ca="1">VLOOKUP(G63, Cards!A:B, 2, FALSE)</f>
        <v>علي ابراهيميان</v>
      </c>
      <c r="E63" s="18">
        <v>0</v>
      </c>
      <c r="F63" s="19">
        <v>1800</v>
      </c>
      <c r="G63" s="21" t="str">
        <f ca="1">IFERROR(__xludf.DUMMYFUNCTION("REGEXEXTRACT(C64, ""ک\s(\d{16})"")"),"6219861085062957")</f>
        <v>6219861085062957</v>
      </c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25.5" customHeight="1">
      <c r="A64" s="15">
        <v>63</v>
      </c>
      <c r="B64" s="15" t="s">
        <v>1346</v>
      </c>
      <c r="C64" s="16" t="s">
        <v>1356</v>
      </c>
      <c r="D64" s="18" t="str">
        <f ca="1">VLOOKUP(G64, Cards!A:B, 2, FALSE)</f>
        <v>علي ابراهيميان</v>
      </c>
      <c r="E64" s="18">
        <v>0</v>
      </c>
      <c r="F64" s="19">
        <v>12000000</v>
      </c>
      <c r="G64" s="21" t="str">
        <f ca="1">IFERROR(__xludf.DUMMYFUNCTION("REGEXEXTRACT(C65, ""ک\s(\d{16})"")"),"6219861085062957")</f>
        <v>6219861085062957</v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25.5" customHeight="1">
      <c r="A65" s="15">
        <v>64</v>
      </c>
      <c r="B65" s="15" t="s">
        <v>1346</v>
      </c>
      <c r="C65" s="16" t="s">
        <v>1357</v>
      </c>
      <c r="D65" s="18" t="str">
        <f ca="1">VLOOKUP(G65, Cards!A:B, 2, FALSE)</f>
        <v>علي ابراهيميان</v>
      </c>
      <c r="E65" s="18">
        <v>0</v>
      </c>
      <c r="F65" s="19">
        <v>500000</v>
      </c>
      <c r="G65" s="21" t="str">
        <f ca="1">IFERROR(__xludf.DUMMYFUNCTION("REGEXEXTRACT(C66, ""ک\s(\d{16})"")"),"6219861085062957")</f>
        <v>6219861085062957</v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25.5" customHeight="1">
      <c r="A66" s="15">
        <v>65</v>
      </c>
      <c r="B66" s="15" t="s">
        <v>1346</v>
      </c>
      <c r="C66" s="16" t="s">
        <v>1358</v>
      </c>
      <c r="D66" s="18" t="str">
        <f ca="1">VLOOKUP(G66, Cards!A:B, 2, FALSE)</f>
        <v>علي ابراهيميان</v>
      </c>
      <c r="E66" s="18">
        <v>0</v>
      </c>
      <c r="F66" s="19">
        <v>15600000</v>
      </c>
      <c r="G66" s="21" t="str">
        <f ca="1">IFERROR(__xludf.DUMMYFUNCTION("REGEXEXTRACT(C67, ""ک\s(\d{16})"")"),"6219861085062957")</f>
        <v>6219861085062957</v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25.5" customHeight="1">
      <c r="A67" s="15">
        <v>66</v>
      </c>
      <c r="B67" s="15" t="s">
        <v>1346</v>
      </c>
      <c r="C67" s="16" t="s">
        <v>1359</v>
      </c>
      <c r="D67" s="18" t="e">
        <f ca="1">VLOOKUP(G67, Cards!A:B, 2, FALSE)</f>
        <v>#N/A</v>
      </c>
      <c r="E67" s="18">
        <v>106000000</v>
      </c>
      <c r="F67" s="19">
        <v>0</v>
      </c>
      <c r="G67" s="21" t="str">
        <f ca="1">IFERROR(__xludf.DUMMYFUNCTION("REGEXEXTRACT(C68, ""ک\s(\d{16})"")"),"#N/A")</f>
        <v>#N/A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25.5" customHeight="1">
      <c r="A68" s="15">
        <v>67</v>
      </c>
      <c r="B68" s="15" t="s">
        <v>1360</v>
      </c>
      <c r="C68" s="16" t="s">
        <v>1361</v>
      </c>
      <c r="D68" s="18" t="str">
        <f ca="1">VLOOKUP(G68, Cards!A:B, 2, FALSE)</f>
        <v>علي ابراهيميان</v>
      </c>
      <c r="E68" s="18">
        <v>0</v>
      </c>
      <c r="F68" s="19">
        <v>1800</v>
      </c>
      <c r="G68" s="21" t="str">
        <f ca="1">IFERROR(__xludf.DUMMYFUNCTION("REGEXEXTRACT(C69, ""ک\s(\d{16})"")"),"6219861085062957")</f>
        <v>6219861085062957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25.5" customHeight="1">
      <c r="A69" s="15">
        <v>68</v>
      </c>
      <c r="B69" s="15" t="s">
        <v>1360</v>
      </c>
      <c r="C69" s="16" t="s">
        <v>1362</v>
      </c>
      <c r="D69" s="18" t="str">
        <f ca="1">VLOOKUP(G69, Cards!A:B, 2, FALSE)</f>
        <v>علي ابراهيميان</v>
      </c>
      <c r="E69" s="18">
        <v>0</v>
      </c>
      <c r="F69" s="19">
        <v>1800</v>
      </c>
      <c r="G69" s="21" t="str">
        <f ca="1">IFERROR(__xludf.DUMMYFUNCTION("REGEXEXTRACT(C70, ""ک\s(\d{16})"")"),"6219861085062957")</f>
        <v>6219861085062957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25.5" customHeight="1">
      <c r="A70" s="15">
        <v>69</v>
      </c>
      <c r="B70" s="15" t="s">
        <v>1360</v>
      </c>
      <c r="C70" s="16" t="s">
        <v>1363</v>
      </c>
      <c r="D70" s="18" t="e">
        <f ca="1">VLOOKUP(G70, Cards!A:B, 2, FALSE)</f>
        <v>#N/A</v>
      </c>
      <c r="E70" s="18">
        <v>550000</v>
      </c>
      <c r="F70" s="19">
        <v>0</v>
      </c>
      <c r="G70" s="21" t="str">
        <f ca="1">IFERROR(__xludf.DUMMYFUNCTION("REGEXEXTRACT(C71, ""ک\s(\d{16})"")"),"5859831221037343")</f>
        <v>5859831221037343</v>
      </c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25.5" customHeight="1">
      <c r="A71" s="15">
        <v>70</v>
      </c>
      <c r="B71" s="15" t="s">
        <v>1360</v>
      </c>
      <c r="C71" s="16" t="s">
        <v>1364</v>
      </c>
      <c r="D71" s="18" t="e">
        <f ca="1">VLOOKUP(G71, Cards!A:B, 2, FALSE)</f>
        <v>#N/A</v>
      </c>
      <c r="E71" s="18">
        <v>950000</v>
      </c>
      <c r="F71" s="19">
        <v>0</v>
      </c>
      <c r="G71" s="21" t="str">
        <f ca="1">IFERROR(__xludf.DUMMYFUNCTION("REGEXEXTRACT(C72, ""ک\s(\d{16})"")"),"6037998122288409")</f>
        <v>6037998122288409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25.5" customHeight="1">
      <c r="A72" s="15">
        <v>71</v>
      </c>
      <c r="B72" s="15" t="s">
        <v>1360</v>
      </c>
      <c r="C72" s="16" t="s">
        <v>1365</v>
      </c>
      <c r="D72" s="18" t="str">
        <f ca="1">VLOOKUP(G72, Cards!A:B, 2, FALSE)</f>
        <v>حسين ميربلوک</v>
      </c>
      <c r="E72" s="18">
        <v>550000</v>
      </c>
      <c r="F72" s="19">
        <v>0</v>
      </c>
      <c r="G72" s="21" t="str">
        <f ca="1">IFERROR(__xludf.DUMMYFUNCTION("REGEXEXTRACT(C73, ""ک\s(\d{16})"")"),"6037697681149024")</f>
        <v>6037697681149024</v>
      </c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25.5" customHeight="1">
      <c r="A73" s="15">
        <v>72</v>
      </c>
      <c r="B73" s="15" t="s">
        <v>1360</v>
      </c>
      <c r="C73" s="16" t="s">
        <v>1366</v>
      </c>
      <c r="D73" s="18" t="str">
        <f ca="1">VLOOKUP(G73, Cards!A:B, 2, FALSE)</f>
        <v>علي ابراهيميان</v>
      </c>
      <c r="E73" s="18">
        <v>0</v>
      </c>
      <c r="F73" s="19">
        <v>1800</v>
      </c>
      <c r="G73" s="21" t="str">
        <f ca="1">IFERROR(__xludf.DUMMYFUNCTION("REGEXEXTRACT(C74, ""ک\s(\d{16})"")"),"6219861085062957")</f>
        <v>6219861085062957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25.5" customHeight="1">
      <c r="A74" s="15">
        <v>73</v>
      </c>
      <c r="B74" s="15" t="s">
        <v>1360</v>
      </c>
      <c r="C74" s="16" t="s">
        <v>1367</v>
      </c>
      <c r="D74" s="18" t="str">
        <f ca="1">VLOOKUP(G74, Cards!A:B, 2, FALSE)</f>
        <v>علي ابراهيميان</v>
      </c>
      <c r="E74" s="18">
        <v>0</v>
      </c>
      <c r="F74" s="19">
        <v>13250000</v>
      </c>
      <c r="G74" s="21" t="str">
        <f ca="1">IFERROR(__xludf.DUMMYFUNCTION("REGEXEXTRACT(C75, ""ک\s(\d{16})"")"),"6219861085062957")</f>
        <v>6219861085062957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25.5" customHeight="1">
      <c r="A75" s="15">
        <v>74</v>
      </c>
      <c r="B75" s="15" t="s">
        <v>1360</v>
      </c>
      <c r="C75" s="16" t="s">
        <v>1368</v>
      </c>
      <c r="D75" s="18" t="str">
        <f ca="1">VLOOKUP(G75, Cards!A:B, 2, FALSE)</f>
        <v>علي ابراهيميان</v>
      </c>
      <c r="E75" s="18">
        <v>0</v>
      </c>
      <c r="F75" s="19">
        <v>1800</v>
      </c>
      <c r="G75" s="21" t="str">
        <f ca="1">IFERROR(__xludf.DUMMYFUNCTION("REGEXEXTRACT(C76, ""ک\s(\d{16})"")"),"6219861085062957")</f>
        <v>6219861085062957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25.5" customHeight="1">
      <c r="A76" s="15">
        <v>75</v>
      </c>
      <c r="B76" s="15" t="s">
        <v>1360</v>
      </c>
      <c r="C76" s="16" t="s">
        <v>1369</v>
      </c>
      <c r="D76" s="18" t="str">
        <f ca="1">VLOOKUP(G76, Cards!A:B, 2, FALSE)</f>
        <v>علي ابراهيميان</v>
      </c>
      <c r="E76" s="18">
        <v>0</v>
      </c>
      <c r="F76" s="19">
        <v>18600</v>
      </c>
      <c r="G76" s="21" t="str">
        <f ca="1">IFERROR(__xludf.DUMMYFUNCTION("REGEXEXTRACT(C77, ""ک\s(\d{16})"")"),"6219861085062957")</f>
        <v>6219861085062957</v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25.5" customHeight="1">
      <c r="A77" s="15">
        <v>76</v>
      </c>
      <c r="B77" s="15" t="s">
        <v>1360</v>
      </c>
      <c r="C77" s="16" t="s">
        <v>1370</v>
      </c>
      <c r="D77" s="18" t="e">
        <f ca="1">VLOOKUP(G77, Cards!A:B, 2, FALSE)</f>
        <v>#N/A</v>
      </c>
      <c r="E77" s="18">
        <v>0</v>
      </c>
      <c r="F77" s="19">
        <v>38000000</v>
      </c>
      <c r="G77" s="21" t="str">
        <f ca="1">IFERROR(__xludf.DUMMYFUNCTION("REGEXEXTRACT(C78, ""ک\s(\d{16})"")"),"6280238033262159")</f>
        <v>6280238033262159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25.5" customHeight="1">
      <c r="A78" s="15">
        <v>77</v>
      </c>
      <c r="B78" s="15" t="s">
        <v>1360</v>
      </c>
      <c r="C78" s="16" t="s">
        <v>1371</v>
      </c>
      <c r="D78" s="18" t="str">
        <f ca="1">VLOOKUP(G78, Cards!A:B, 2, FALSE)</f>
        <v>حجت عابدي</v>
      </c>
      <c r="E78" s="18">
        <v>0</v>
      </c>
      <c r="F78" s="19">
        <v>50000000</v>
      </c>
      <c r="G78" s="21" t="str">
        <f ca="1">IFERROR(__xludf.DUMMYFUNCTION("REGEXEXTRACT(C79, ""ک\s(\d{16})"")"),"6219861074936021")</f>
        <v>6219861074936021</v>
      </c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25.5" customHeight="1">
      <c r="A79" s="15">
        <v>78</v>
      </c>
      <c r="B79" s="15" t="s">
        <v>1360</v>
      </c>
      <c r="C79" s="16" t="s">
        <v>1372</v>
      </c>
      <c r="D79" s="18" t="str">
        <f ca="1">VLOOKUP(G79, Cards!A:B, 2, FALSE)</f>
        <v>علي ابراهيميان</v>
      </c>
      <c r="E79" s="18">
        <v>0</v>
      </c>
      <c r="F79" s="19">
        <v>18600</v>
      </c>
      <c r="G79" s="21" t="str">
        <f ca="1">IFERROR(__xludf.DUMMYFUNCTION("REGEXEXTRACT(C80, ""ک\s(\d{16})"")"),"6219861085062957")</f>
        <v>6219861085062957</v>
      </c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25.5" customHeight="1">
      <c r="A80" s="15">
        <v>79</v>
      </c>
      <c r="B80" s="15" t="s">
        <v>1360</v>
      </c>
      <c r="C80" s="16" t="s">
        <v>1373</v>
      </c>
      <c r="D80" s="18" t="e">
        <f ca="1">VLOOKUP(G80, Cards!A:B, 2, FALSE)</f>
        <v>#N/A</v>
      </c>
      <c r="E80" s="18">
        <v>0</v>
      </c>
      <c r="F80" s="19">
        <v>35000000</v>
      </c>
      <c r="G80" s="21" t="str">
        <f ca="1">IFERROR(__xludf.DUMMYFUNCTION("REGEXEXTRACT(C81, ""ک\s(\d{16})"")"),"6037997547989427")</f>
        <v>6037997547989427</v>
      </c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25.5" customHeight="1">
      <c r="A81" s="15">
        <v>80</v>
      </c>
      <c r="B81" s="15" t="s">
        <v>1360</v>
      </c>
      <c r="C81" s="16" t="s">
        <v>1374</v>
      </c>
      <c r="D81" s="18" t="e">
        <f ca="1">VLOOKUP(G81, Cards!A:B, 2, FALSE)</f>
        <v>#N/A</v>
      </c>
      <c r="E81" s="18">
        <v>82000000</v>
      </c>
      <c r="F81" s="19">
        <v>0</v>
      </c>
      <c r="G81" s="21" t="str">
        <f ca="1">IFERROR(__xludf.DUMMYFUNCTION("REGEXEXTRACT(C82, ""ک\s(\d{16})"")"),"#N/A")</f>
        <v>#N/A</v>
      </c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25.5" customHeight="1">
      <c r="A82" s="15">
        <v>81</v>
      </c>
      <c r="B82" s="15" t="s">
        <v>1360</v>
      </c>
      <c r="C82" s="16" t="s">
        <v>1375</v>
      </c>
      <c r="D82" s="18" t="e">
        <f ca="1">VLOOKUP(G82, Cards!A:B, 2, FALSE)</f>
        <v>#N/A</v>
      </c>
      <c r="E82" s="18">
        <v>8500000</v>
      </c>
      <c r="F82" s="19">
        <v>0</v>
      </c>
      <c r="G82" s="21" t="str">
        <f ca="1">IFERROR(__xludf.DUMMYFUNCTION("REGEXEXTRACT(C83, ""ک\s(\d{16})"")"),"#N/A")</f>
        <v>#N/A</v>
      </c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25.5" customHeight="1">
      <c r="A83" s="15">
        <v>82</v>
      </c>
      <c r="B83" s="15" t="s">
        <v>1376</v>
      </c>
      <c r="C83" s="16" t="s">
        <v>1377</v>
      </c>
      <c r="D83" s="18" t="str">
        <f ca="1">VLOOKUP(G83, Cards!A:B, 2, FALSE)</f>
        <v>علي ابراهيميان</v>
      </c>
      <c r="E83" s="18">
        <v>0</v>
      </c>
      <c r="F83" s="19">
        <v>9000</v>
      </c>
      <c r="G83" s="21" t="str">
        <f ca="1">IFERROR(__xludf.DUMMYFUNCTION("REGEXEXTRACT(C84, ""ک\s(\d{16})"")"),"6219861085062957")</f>
        <v>6219861085062957</v>
      </c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25.5" customHeight="1">
      <c r="A84" s="15">
        <v>83</v>
      </c>
      <c r="B84" s="15" t="s">
        <v>1376</v>
      </c>
      <c r="C84" s="16" t="s">
        <v>1378</v>
      </c>
      <c r="D84" s="18" t="str">
        <f ca="1">VLOOKUP(G84, Cards!A:B, 2, FALSE)</f>
        <v>محمد مومني</v>
      </c>
      <c r="E84" s="18">
        <v>0</v>
      </c>
      <c r="F84" s="19">
        <v>3500000</v>
      </c>
      <c r="G84" s="21" t="str">
        <f ca="1">IFERROR(__xludf.DUMMYFUNCTION("REGEXEXTRACT(C85, ""ک\s(\d{16})"")"),"6362141055049986")</f>
        <v>6362141055049986</v>
      </c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25.5" customHeight="1">
      <c r="A85" s="15">
        <v>84</v>
      </c>
      <c r="B85" s="15" t="s">
        <v>1376</v>
      </c>
      <c r="C85" s="16" t="s">
        <v>1379</v>
      </c>
      <c r="D85" s="18" t="str">
        <f ca="1">VLOOKUP(G85, Cards!A:B, 2, FALSE)</f>
        <v>علي ابراهيميان</v>
      </c>
      <c r="E85" s="18">
        <v>0</v>
      </c>
      <c r="F85" s="19">
        <v>1800</v>
      </c>
      <c r="G85" s="21" t="str">
        <f ca="1">IFERROR(__xludf.DUMMYFUNCTION("REGEXEXTRACT(C86, ""ک\s(\d{16})"")"),"6219861085062957")</f>
        <v>6219861085062957</v>
      </c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25.5" customHeight="1">
      <c r="A86" s="15">
        <v>85</v>
      </c>
      <c r="B86" s="15" t="s">
        <v>1376</v>
      </c>
      <c r="C86" s="16" t="s">
        <v>1380</v>
      </c>
      <c r="D86" s="18" t="str">
        <f ca="1">VLOOKUP(G86, Cards!A:B, 2, FALSE)</f>
        <v>حسين ميربلوک</v>
      </c>
      <c r="E86" s="18">
        <v>1100000</v>
      </c>
      <c r="F86" s="19">
        <v>0</v>
      </c>
      <c r="G86" s="21" t="str">
        <f ca="1">IFERROR(__xludf.DUMMYFUNCTION("REGEXEXTRACT(C87, ""ک\s(\d{16})"")"),"6037697681149024")</f>
        <v>6037697681149024</v>
      </c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25.5" customHeight="1">
      <c r="A87" s="15">
        <v>86</v>
      </c>
      <c r="B87" s="15" t="s">
        <v>1376</v>
      </c>
      <c r="C87" s="16" t="s">
        <v>1381</v>
      </c>
      <c r="D87" s="18" t="str">
        <f ca="1">VLOOKUP(G87, Cards!A:B, 2, FALSE)</f>
        <v>علي ابراهيميان</v>
      </c>
      <c r="E87" s="18">
        <v>0</v>
      </c>
      <c r="F87" s="19">
        <v>15400</v>
      </c>
      <c r="G87" s="21" t="str">
        <f ca="1">IFERROR(__xludf.DUMMYFUNCTION("REGEXEXTRACT(C88, ""ک\s(\d{16})"")"),"6219861085062957")</f>
        <v>6219861085062957</v>
      </c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25.5" customHeight="1">
      <c r="A88" s="15">
        <v>87</v>
      </c>
      <c r="B88" s="15" t="s">
        <v>1376</v>
      </c>
      <c r="C88" s="16" t="s">
        <v>1382</v>
      </c>
      <c r="D88" s="18" t="str">
        <f ca="1">VLOOKUP(G88, Cards!A:B, 2, FALSE)</f>
        <v>مجيد شجاع پور</v>
      </c>
      <c r="E88" s="18">
        <v>0</v>
      </c>
      <c r="F88" s="19">
        <v>21920000</v>
      </c>
      <c r="G88" s="21" t="str">
        <f ca="1">IFERROR(__xludf.DUMMYFUNCTION("REGEXEXTRACT(C89, ""ک\s(\d{16})"")"),"5892101626109181")</f>
        <v>5892101626109181</v>
      </c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25.5" customHeight="1">
      <c r="A89" s="15">
        <v>88</v>
      </c>
      <c r="B89" s="15" t="s">
        <v>1376</v>
      </c>
      <c r="C89" s="16" t="s">
        <v>1383</v>
      </c>
      <c r="D89" s="18" t="str">
        <f ca="1">VLOOKUP(G89, Cards!A:B, 2, FALSE)</f>
        <v>علي ابراهيميان</v>
      </c>
      <c r="E89" s="18">
        <v>0</v>
      </c>
      <c r="F89" s="19">
        <v>12200</v>
      </c>
      <c r="G89" s="21" t="str">
        <f ca="1">IFERROR(__xludf.DUMMYFUNCTION("REGEXEXTRACT(C90, ""ک\s(\d{16})"")"),"6219861085062957")</f>
        <v>6219861085062957</v>
      </c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25.5" customHeight="1">
      <c r="A90" s="15">
        <v>89</v>
      </c>
      <c r="B90" s="15" t="s">
        <v>1376</v>
      </c>
      <c r="C90" s="16" t="s">
        <v>1384</v>
      </c>
      <c r="D90" s="18" t="str">
        <f ca="1">VLOOKUP(G90, Cards!A:B, 2, FALSE)</f>
        <v>محمد کريمي</v>
      </c>
      <c r="E90" s="18">
        <v>0</v>
      </c>
      <c r="F90" s="19">
        <v>18892800</v>
      </c>
      <c r="G90" s="21" t="str">
        <f ca="1">IFERROR(__xludf.DUMMYFUNCTION("REGEXEXTRACT(C91, ""ک\s(\d{16})"")"),"5892101643117522")</f>
        <v>5892101643117522</v>
      </c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25.5" customHeight="1">
      <c r="A91" s="15">
        <v>90</v>
      </c>
      <c r="B91" s="15" t="s">
        <v>1376</v>
      </c>
      <c r="C91" s="16" t="s">
        <v>1385</v>
      </c>
      <c r="D91" s="18" t="str">
        <f ca="1">VLOOKUP(G91, Cards!A:B, 2, FALSE)</f>
        <v>علي ابراهيميان</v>
      </c>
      <c r="E91" s="18">
        <v>0</v>
      </c>
      <c r="F91" s="19">
        <v>1800000</v>
      </c>
      <c r="G91" s="21" t="str">
        <f ca="1">IFERROR(__xludf.DUMMYFUNCTION("REGEXEXTRACT(C92, ""ک\s(\d{16})"")"),"6219861085062957")</f>
        <v>6219861085062957</v>
      </c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25.5" customHeight="1">
      <c r="A92" s="15">
        <v>91</v>
      </c>
      <c r="B92" s="15" t="s">
        <v>1376</v>
      </c>
      <c r="C92" s="16" t="s">
        <v>1386</v>
      </c>
      <c r="D92" s="18" t="e">
        <f ca="1">VLOOKUP(G92, Cards!A:B, 2, FALSE)</f>
        <v>#N/A</v>
      </c>
      <c r="E92" s="18">
        <v>95000000</v>
      </c>
      <c r="F92" s="19">
        <v>0</v>
      </c>
      <c r="G92" s="21" t="str">
        <f ca="1">IFERROR(__xludf.DUMMYFUNCTION("REGEXEXTRACT(C93, ""ک\s(\d{16})"")"),"#N/A")</f>
        <v>#N/A</v>
      </c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25.5" customHeight="1">
      <c r="A93" s="15">
        <v>92</v>
      </c>
      <c r="B93" s="15" t="s">
        <v>1376</v>
      </c>
      <c r="C93" s="16" t="s">
        <v>1387</v>
      </c>
      <c r="D93" s="18" t="str">
        <f ca="1">VLOOKUP(G93, Cards!A:B, 2, FALSE)</f>
        <v>علي ابراهيميان</v>
      </c>
      <c r="E93" s="18">
        <v>0</v>
      </c>
      <c r="F93" s="19">
        <v>30600000</v>
      </c>
      <c r="G93" s="21" t="str">
        <f ca="1">IFERROR(__xludf.DUMMYFUNCTION("REGEXEXTRACT(C94, ""ک\s(\d{16})"")"),"6219861085062957")</f>
        <v>6219861085062957</v>
      </c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25.5" customHeight="1">
      <c r="A94" s="15">
        <v>93</v>
      </c>
      <c r="B94" s="15" t="s">
        <v>1376</v>
      </c>
      <c r="C94" s="16" t="s">
        <v>1388</v>
      </c>
      <c r="D94" s="18" t="str">
        <f ca="1">VLOOKUP(G94, Cards!A:B, 2, FALSE)</f>
        <v>علي ابراهيميان</v>
      </c>
      <c r="E94" s="18">
        <v>0</v>
      </c>
      <c r="F94" s="19">
        <v>1800</v>
      </c>
      <c r="G94" s="21" t="str">
        <f ca="1">IFERROR(__xludf.DUMMYFUNCTION("REGEXEXTRACT(C95, ""ک\s(\d{16})"")"),"6219861085062957")</f>
        <v>6219861085062957</v>
      </c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25.5" customHeight="1">
      <c r="A95" s="15">
        <v>94</v>
      </c>
      <c r="B95" s="15" t="s">
        <v>1376</v>
      </c>
      <c r="C95" s="16" t="s">
        <v>1389</v>
      </c>
      <c r="D95" s="18" t="str">
        <f ca="1">VLOOKUP(G95, Cards!A:B, 2, FALSE)</f>
        <v>علي ابراهيميان</v>
      </c>
      <c r="E95" s="18">
        <v>0</v>
      </c>
      <c r="F95" s="19">
        <v>15600000</v>
      </c>
      <c r="G95" s="21" t="str">
        <f ca="1">IFERROR(__xludf.DUMMYFUNCTION("REGEXEXTRACT(C96, ""ک\s(\d{16})"")"),"6219861085062957")</f>
        <v>6219861085062957</v>
      </c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25.5" customHeight="1">
      <c r="A96" s="15">
        <v>95</v>
      </c>
      <c r="B96" s="15" t="s">
        <v>1376</v>
      </c>
      <c r="C96" s="16" t="s">
        <v>1390</v>
      </c>
      <c r="D96" s="18" t="e">
        <f ca="1">VLOOKUP(G96, Cards!A:B, 2, FALSE)</f>
        <v>#N/A</v>
      </c>
      <c r="E96" s="18">
        <v>33000000</v>
      </c>
      <c r="F96" s="19">
        <v>0</v>
      </c>
      <c r="G96" s="21" t="str">
        <f ca="1">IFERROR(__xludf.DUMMYFUNCTION("REGEXEXTRACT(C97, ""ک\s(\d{16})"")"),"#N/A")</f>
        <v>#N/A</v>
      </c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25.5" customHeight="1">
      <c r="A97" s="15">
        <v>96</v>
      </c>
      <c r="B97" s="15" t="s">
        <v>1391</v>
      </c>
      <c r="C97" s="16" t="s">
        <v>1392</v>
      </c>
      <c r="D97" s="18" t="str">
        <f ca="1">VLOOKUP(G97, Cards!A:B, 2, FALSE)</f>
        <v>علي ابراهيميان</v>
      </c>
      <c r="E97" s="18">
        <v>0</v>
      </c>
      <c r="F97" s="19">
        <v>18600</v>
      </c>
      <c r="G97" s="21" t="str">
        <f ca="1">IFERROR(__xludf.DUMMYFUNCTION("REGEXEXTRACT(C98, ""ک\s(\d{16})"")"),"6219861085062957")</f>
        <v>6219861085062957</v>
      </c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25.5" customHeight="1">
      <c r="A98" s="15">
        <v>97</v>
      </c>
      <c r="B98" s="15" t="s">
        <v>1391</v>
      </c>
      <c r="C98" s="16" t="s">
        <v>1393</v>
      </c>
      <c r="D98" s="18" t="str">
        <f ca="1">VLOOKUP(G98, Cards!A:B, 2, FALSE)</f>
        <v>محسن خانگاه</v>
      </c>
      <c r="E98" s="18">
        <v>0</v>
      </c>
      <c r="F98" s="19">
        <v>34900000</v>
      </c>
      <c r="G98" s="21" t="str">
        <f ca="1">IFERROR(__xludf.DUMMYFUNCTION("REGEXEXTRACT(C99, ""ک\s(\d{16})"")"),"6274121208660688")</f>
        <v>6274121208660688</v>
      </c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25.5" customHeight="1">
      <c r="A99" s="15">
        <v>98</v>
      </c>
      <c r="B99" s="15" t="s">
        <v>1391</v>
      </c>
      <c r="C99" s="16" t="s">
        <v>1394</v>
      </c>
      <c r="D99" s="18" t="str">
        <f ca="1">VLOOKUP(G99, Cards!A:B, 2, FALSE)</f>
        <v>علي ابراهيميان</v>
      </c>
      <c r="E99" s="18">
        <v>0</v>
      </c>
      <c r="F99" s="19">
        <v>1800</v>
      </c>
      <c r="G99" s="21" t="str">
        <f ca="1">IFERROR(__xludf.DUMMYFUNCTION("REGEXEXTRACT(C100, ""ک\s(\d{16})"")"),"6219861085062957")</f>
        <v>6219861085062957</v>
      </c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25.5" customHeight="1">
      <c r="A100" s="15">
        <v>99</v>
      </c>
      <c r="B100" s="15" t="s">
        <v>1391</v>
      </c>
      <c r="C100" s="16" t="s">
        <v>1395</v>
      </c>
      <c r="D100" s="18" t="str">
        <f ca="1">VLOOKUP(G100, Cards!A:B, 2, FALSE)</f>
        <v>علي ابراهيميان</v>
      </c>
      <c r="E100" s="18">
        <v>0</v>
      </c>
      <c r="F100" s="19">
        <v>9000</v>
      </c>
      <c r="G100" s="21" t="str">
        <f ca="1">IFERROR(__xludf.DUMMYFUNCTION("REGEXEXTRACT(C101, ""ک\s(\d{16})"")"),"6219861085062957")</f>
        <v>6219861085062957</v>
      </c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25.5" customHeight="1">
      <c r="A101" s="15">
        <v>100</v>
      </c>
      <c r="B101" s="15" t="s">
        <v>1391</v>
      </c>
      <c r="C101" s="16" t="s">
        <v>1396</v>
      </c>
      <c r="D101" s="18" t="str">
        <f ca="1">VLOOKUP(G101, Cards!A:B, 2, FALSE)</f>
        <v>جواد ابراهيميان</v>
      </c>
      <c r="E101" s="18">
        <v>0</v>
      </c>
      <c r="F101" s="19">
        <v>3000000</v>
      </c>
      <c r="G101" s="21" t="str">
        <f ca="1">IFERROR(__xludf.DUMMYFUNCTION("REGEXEXTRACT(C102, ""ک\s(\d{16})"")"),"5029081028402846")</f>
        <v>5029081028402846</v>
      </c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25.5" customHeight="1">
      <c r="A102" s="15">
        <v>101</v>
      </c>
      <c r="B102" s="15" t="s">
        <v>1397</v>
      </c>
      <c r="C102" s="16" t="s">
        <v>1398</v>
      </c>
      <c r="D102" s="18" t="e">
        <f ca="1">VLOOKUP(G102, Cards!A:B, 2, FALSE)</f>
        <v>#N/A</v>
      </c>
      <c r="E102" s="18">
        <v>34000000</v>
      </c>
      <c r="F102" s="19">
        <v>0</v>
      </c>
      <c r="G102" s="21" t="str">
        <f ca="1">IFERROR(__xludf.DUMMYFUNCTION("REGEXEXTRACT(C103, ""ک\s(\d{16})"")"),"#N/A")</f>
        <v>#N/A</v>
      </c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25.5" customHeight="1">
      <c r="A103" s="15">
        <v>102</v>
      </c>
      <c r="B103" s="15" t="s">
        <v>1399</v>
      </c>
      <c r="C103" s="16" t="s">
        <v>1400</v>
      </c>
      <c r="D103" s="18" t="str">
        <f ca="1">VLOOKUP(G103, Cards!A:B, 2, FALSE)</f>
        <v>علي ابراهيميان</v>
      </c>
      <c r="E103" s="18">
        <v>0</v>
      </c>
      <c r="F103" s="19">
        <v>1800</v>
      </c>
      <c r="G103" s="21" t="str">
        <f ca="1">IFERROR(__xludf.DUMMYFUNCTION("REGEXEXTRACT(C104, ""ک\s(\d{16})"")"),"6219861085062957")</f>
        <v>6219861085062957</v>
      </c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25.5" customHeight="1">
      <c r="A104" s="15">
        <v>103</v>
      </c>
      <c r="B104" s="15" t="s">
        <v>1399</v>
      </c>
      <c r="C104" s="16" t="s">
        <v>1401</v>
      </c>
      <c r="D104" s="18" t="e">
        <f ca="1">VLOOKUP(G104, Cards!A:B, 2, FALSE)</f>
        <v>#N/A</v>
      </c>
      <c r="E104" s="18">
        <v>1100000</v>
      </c>
      <c r="F104" s="19">
        <v>0</v>
      </c>
      <c r="G104" s="21" t="str">
        <f ca="1">IFERROR(__xludf.DUMMYFUNCTION("REGEXEXTRACT(C105, ""ک\s(\d{16})"")"),"6104338661506499")</f>
        <v>6104338661506499</v>
      </c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25.5" customHeight="1">
      <c r="A105" s="15">
        <v>104</v>
      </c>
      <c r="B105" s="15" t="s">
        <v>1399</v>
      </c>
      <c r="C105" s="16" t="s">
        <v>1402</v>
      </c>
      <c r="D105" s="18" t="str">
        <f ca="1">VLOOKUP(G105, Cards!A:B, 2, FALSE)</f>
        <v>علي ابراهيميان</v>
      </c>
      <c r="E105" s="18">
        <v>0</v>
      </c>
      <c r="F105" s="19">
        <v>2900000</v>
      </c>
      <c r="G105" s="21" t="str">
        <f ca="1">IFERROR(__xludf.DUMMYFUNCTION("REGEXEXTRACT(C106, ""ک\s(\d{16})"")"),"6219861085062957")</f>
        <v>6219861085062957</v>
      </c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25.5" customHeight="1">
      <c r="A106" s="15">
        <v>105</v>
      </c>
      <c r="B106" s="15" t="s">
        <v>1399</v>
      </c>
      <c r="C106" s="16" t="s">
        <v>1403</v>
      </c>
      <c r="D106" s="18" t="str">
        <f ca="1">VLOOKUP(G106, Cards!A:B, 2, FALSE)</f>
        <v>علي ابراهيميان</v>
      </c>
      <c r="E106" s="18">
        <v>0</v>
      </c>
      <c r="F106" s="19">
        <v>18600</v>
      </c>
      <c r="G106" s="21" t="str">
        <f ca="1">IFERROR(__xludf.DUMMYFUNCTION("REGEXEXTRACT(C107, ""ک\s(\d{16})"")"),"6219861085062957")</f>
        <v>6219861085062957</v>
      </c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25.5" customHeight="1">
      <c r="A107" s="15">
        <v>106</v>
      </c>
      <c r="B107" s="15" t="s">
        <v>1399</v>
      </c>
      <c r="C107" s="16" t="s">
        <v>1404</v>
      </c>
      <c r="D107" s="18" t="str">
        <f ca="1">VLOOKUP(G107, Cards!A:B, 2, FALSE)</f>
        <v>محمد کريمي</v>
      </c>
      <c r="E107" s="18">
        <v>0</v>
      </c>
      <c r="F107" s="19">
        <v>31694400</v>
      </c>
      <c r="G107" s="21" t="str">
        <f ca="1">IFERROR(__xludf.DUMMYFUNCTION("REGEXEXTRACT(C108, ""ک\s(\d{16})"")"),"5892101643117522")</f>
        <v>5892101643117522</v>
      </c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25.5" customHeight="1">
      <c r="A108" s="15">
        <v>107</v>
      </c>
      <c r="B108" s="15" t="s">
        <v>1399</v>
      </c>
      <c r="C108" s="16" t="s">
        <v>1405</v>
      </c>
      <c r="D108" s="18" t="str">
        <f ca="1">VLOOKUP(G108, Cards!A:B, 2, FALSE)</f>
        <v>علي ابراهيميان</v>
      </c>
      <c r="E108" s="18">
        <v>0</v>
      </c>
      <c r="F108" s="19">
        <v>100000000</v>
      </c>
      <c r="G108" s="21" t="str">
        <f ca="1">IFERROR(__xludf.DUMMYFUNCTION("REGEXEXTRACT(C109, ""ک\s(\d{16})"")"),"6219861085062957")</f>
        <v>6219861085062957</v>
      </c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25.5" customHeight="1">
      <c r="A109" s="15">
        <v>108</v>
      </c>
      <c r="B109" s="15" t="s">
        <v>1399</v>
      </c>
      <c r="C109" s="16" t="s">
        <v>1406</v>
      </c>
      <c r="D109" s="18" t="e">
        <f ca="1">VLOOKUP(G109, Cards!A:B, 2, FALSE)</f>
        <v>#N/A</v>
      </c>
      <c r="E109" s="18">
        <v>135000000</v>
      </c>
      <c r="F109" s="19">
        <v>0</v>
      </c>
      <c r="G109" s="21" t="str">
        <f ca="1">IFERROR(__xludf.DUMMYFUNCTION("REGEXEXTRACT(C110, ""ک\s(\d{16})"")"),"#N/A")</f>
        <v>#N/A</v>
      </c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25.5" customHeight="1">
      <c r="A110" s="15">
        <v>109</v>
      </c>
      <c r="B110" s="15" t="s">
        <v>1399</v>
      </c>
      <c r="C110" s="16" t="s">
        <v>1407</v>
      </c>
      <c r="D110" s="18" t="str">
        <f ca="1">VLOOKUP(G110, Cards!A:B, 2, FALSE)</f>
        <v>علي ابراهيميان</v>
      </c>
      <c r="E110" s="18">
        <v>0</v>
      </c>
      <c r="F110" s="19">
        <v>1800</v>
      </c>
      <c r="G110" s="21" t="str">
        <f ca="1">IFERROR(__xludf.DUMMYFUNCTION("REGEXEXTRACT(C111, ""ک\s(\d{16})"")"),"6219861085062957")</f>
        <v>6219861085062957</v>
      </c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25.5" customHeight="1">
      <c r="A111" s="15">
        <v>110</v>
      </c>
      <c r="B111" s="15" t="s">
        <v>1399</v>
      </c>
      <c r="C111" s="16" t="s">
        <v>1408</v>
      </c>
      <c r="D111" s="18" t="str">
        <f ca="1">VLOOKUP(G111, Cards!A:B, 2, FALSE)</f>
        <v>علي ابراهيميان</v>
      </c>
      <c r="E111" s="18">
        <v>0</v>
      </c>
      <c r="F111" s="19">
        <v>13000000</v>
      </c>
      <c r="G111" s="21" t="str">
        <f ca="1">IFERROR(__xludf.DUMMYFUNCTION("REGEXEXTRACT(C112, ""ک\s(\d{16})"")"),"6219861085062957")</f>
        <v>6219861085062957</v>
      </c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25.5" customHeight="1">
      <c r="A112" s="15">
        <v>111</v>
      </c>
      <c r="B112" s="15" t="s">
        <v>1409</v>
      </c>
      <c r="C112" s="16" t="s">
        <v>1410</v>
      </c>
      <c r="D112" s="18" t="str">
        <f ca="1">VLOOKUP(G112, Cards!A:B, 2, FALSE)</f>
        <v>علي ابراهيميان</v>
      </c>
      <c r="E112" s="18">
        <v>0</v>
      </c>
      <c r="F112" s="19">
        <v>1800</v>
      </c>
      <c r="G112" s="21" t="str">
        <f ca="1">IFERROR(__xludf.DUMMYFUNCTION("REGEXEXTRACT(C113, ""ک\s(\d{16})"")"),"6219861085062957")</f>
        <v>6219861085062957</v>
      </c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25.5" customHeight="1">
      <c r="A113" s="15">
        <v>112</v>
      </c>
      <c r="B113" s="15" t="s">
        <v>1409</v>
      </c>
      <c r="C113" s="16" t="s">
        <v>1411</v>
      </c>
      <c r="D113" s="18" t="str">
        <f ca="1">VLOOKUP(G113, Cards!A:B, 2, FALSE)</f>
        <v>علي ابراهيميان</v>
      </c>
      <c r="E113" s="18">
        <v>0</v>
      </c>
      <c r="F113" s="19">
        <v>9000</v>
      </c>
      <c r="G113" s="21" t="str">
        <f ca="1">IFERROR(__xludf.DUMMYFUNCTION("REGEXEXTRACT(C114, ""ک\s(\d{16})"")"),"6219861085062957")</f>
        <v>6219861085062957</v>
      </c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25.5" customHeight="1">
      <c r="A114" s="15">
        <v>113</v>
      </c>
      <c r="B114" s="15" t="s">
        <v>1409</v>
      </c>
      <c r="C114" s="16" t="s">
        <v>1412</v>
      </c>
      <c r="D114" s="18" t="e">
        <f ca="1">VLOOKUP(G114, Cards!A:B, 2, FALSE)</f>
        <v>#N/A</v>
      </c>
      <c r="E114" s="18">
        <v>0</v>
      </c>
      <c r="F114" s="19">
        <v>7000000</v>
      </c>
      <c r="G114" s="21" t="str">
        <f ca="1">IFERROR(__xludf.DUMMYFUNCTION("REGEXEXTRACT(C115, ""ک\s(\d{16})"")"),"5859831103338371")</f>
        <v>5859831103338371</v>
      </c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25.5" customHeight="1">
      <c r="A115" s="15">
        <v>114</v>
      </c>
      <c r="B115" s="15" t="s">
        <v>1409</v>
      </c>
      <c r="C115" s="16" t="s">
        <v>1413</v>
      </c>
      <c r="D115" s="18" t="str">
        <f ca="1">VLOOKUP(G115, Cards!A:B, 2, FALSE)</f>
        <v>حسين ميربلوک</v>
      </c>
      <c r="E115" s="18">
        <v>550000</v>
      </c>
      <c r="F115" s="19">
        <v>0</v>
      </c>
      <c r="G115" s="21" t="str">
        <f ca="1">IFERROR(__xludf.DUMMYFUNCTION("REGEXEXTRACT(C116, ""ک\s(\d{16})"")"),"6037697681149024")</f>
        <v>6037697681149024</v>
      </c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25.5" customHeight="1">
      <c r="A116" s="15">
        <v>115</v>
      </c>
      <c r="B116" s="15" t="s">
        <v>1409</v>
      </c>
      <c r="C116" s="16" t="s">
        <v>1414</v>
      </c>
      <c r="D116" s="18" t="str">
        <f ca="1">VLOOKUP(G116, Cards!A:B, 2, FALSE)</f>
        <v>علي ابراهيميان</v>
      </c>
      <c r="E116" s="18">
        <v>0</v>
      </c>
      <c r="F116" s="19">
        <v>9000</v>
      </c>
      <c r="G116" s="21" t="str">
        <f ca="1">IFERROR(__xludf.DUMMYFUNCTION("REGEXEXTRACT(C117, ""ک\s(\d{16})"")"),"6219861085062957")</f>
        <v>6219861085062957</v>
      </c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25.5" customHeight="1">
      <c r="A117" s="15">
        <v>116</v>
      </c>
      <c r="B117" s="15" t="s">
        <v>1409</v>
      </c>
      <c r="C117" s="16" t="s">
        <v>1415</v>
      </c>
      <c r="D117" s="18" t="str">
        <f ca="1">VLOOKUP(G117, Cards!A:B, 2, FALSE)</f>
        <v>محمد مومني</v>
      </c>
      <c r="E117" s="18">
        <v>0</v>
      </c>
      <c r="F117" s="19">
        <v>3500000</v>
      </c>
      <c r="G117" s="21" t="str">
        <f ca="1">IFERROR(__xludf.DUMMYFUNCTION("REGEXEXTRACT(C118, ""ک\s(\d{16})"")"),"6362141055049986")</f>
        <v>6362141055049986</v>
      </c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25.5" customHeight="1">
      <c r="A118" s="15">
        <v>117</v>
      </c>
      <c r="B118" s="15" t="s">
        <v>1409</v>
      </c>
      <c r="C118" s="16" t="s">
        <v>1416</v>
      </c>
      <c r="D118" s="18" t="str">
        <f ca="1">VLOOKUP(G118, Cards!A:B, 2, FALSE)</f>
        <v>علي ابراهيميان</v>
      </c>
      <c r="E118" s="18">
        <v>0</v>
      </c>
      <c r="F118" s="19">
        <v>12200</v>
      </c>
      <c r="G118" s="21" t="str">
        <f ca="1">IFERROR(__xludf.DUMMYFUNCTION("REGEXEXTRACT(C119, ""ک\s(\d{16})"")"),"6219861085062957")</f>
        <v>6219861085062957</v>
      </c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25.5" customHeight="1">
      <c r="A119" s="15">
        <v>118</v>
      </c>
      <c r="B119" s="15" t="s">
        <v>1409</v>
      </c>
      <c r="C119" s="16" t="s">
        <v>1417</v>
      </c>
      <c r="D119" s="18" t="str">
        <f ca="1">VLOOKUP(G119, Cards!A:B, 2, FALSE)</f>
        <v>مجيد شجاع پور</v>
      </c>
      <c r="E119" s="18">
        <v>0</v>
      </c>
      <c r="F119" s="19">
        <v>17670000</v>
      </c>
      <c r="G119" s="21" t="str">
        <f ca="1">IFERROR(__xludf.DUMMYFUNCTION("REGEXEXTRACT(C120, ""ک\s(\d{16})"")"),"5892101626109181")</f>
        <v>5892101626109181</v>
      </c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25.5" customHeight="1">
      <c r="A120" s="15">
        <v>119</v>
      </c>
      <c r="B120" s="15" t="s">
        <v>1409</v>
      </c>
      <c r="C120" s="16" t="s">
        <v>1418</v>
      </c>
      <c r="D120" s="18" t="str">
        <f ca="1">VLOOKUP(G120, Cards!A:B, 2, FALSE)</f>
        <v>علي ابراهيميان</v>
      </c>
      <c r="E120" s="18">
        <v>0</v>
      </c>
      <c r="F120" s="19">
        <v>21800</v>
      </c>
      <c r="G120" s="21" t="str">
        <f ca="1">IFERROR(__xludf.DUMMYFUNCTION("REGEXEXTRACT(C121, ""ک\s(\d{16})"")"),"6219861085062957")</f>
        <v>6219861085062957</v>
      </c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25.5" customHeight="1">
      <c r="A121" s="15">
        <v>120</v>
      </c>
      <c r="B121" s="15" t="s">
        <v>1409</v>
      </c>
      <c r="C121" s="16" t="s">
        <v>1419</v>
      </c>
      <c r="D121" s="18" t="str">
        <f ca="1">VLOOKUP(G121, Cards!A:B, 2, FALSE)</f>
        <v>محسن خانگاه</v>
      </c>
      <c r="E121" s="18">
        <v>0</v>
      </c>
      <c r="F121" s="19">
        <v>48550000</v>
      </c>
      <c r="G121" s="21" t="str">
        <f ca="1">IFERROR(__xludf.DUMMYFUNCTION("REGEXEXTRACT(C122, ""ک\s(\d{16})"")"),"6274121208660688")</f>
        <v>6274121208660688</v>
      </c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25.5" customHeight="1">
      <c r="A122" s="15">
        <v>121</v>
      </c>
      <c r="B122" s="15" t="s">
        <v>1409</v>
      </c>
      <c r="C122" s="16" t="s">
        <v>1420</v>
      </c>
      <c r="D122" s="18" t="str">
        <f ca="1">VLOOKUP(G122, Cards!A:B, 2, FALSE)</f>
        <v>علي ابراهيميان</v>
      </c>
      <c r="E122" s="18">
        <v>0</v>
      </c>
      <c r="F122" s="19">
        <v>15400</v>
      </c>
      <c r="G122" s="21" t="str">
        <f ca="1">IFERROR(__xludf.DUMMYFUNCTION("REGEXEXTRACT(C123, ""ک\s(\d{16})"")"),"6219861085062957")</f>
        <v>6219861085062957</v>
      </c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25.5" customHeight="1">
      <c r="A123" s="15">
        <v>122</v>
      </c>
      <c r="B123" s="15" t="s">
        <v>1409</v>
      </c>
      <c r="C123" s="16" t="s">
        <v>1421</v>
      </c>
      <c r="D123" s="18" t="e">
        <f ca="1">VLOOKUP(G123, Cards!A:B, 2, FALSE)</f>
        <v>#N/A</v>
      </c>
      <c r="E123" s="18">
        <v>0</v>
      </c>
      <c r="F123" s="19">
        <v>22800000</v>
      </c>
      <c r="G123" s="21" t="str">
        <f ca="1">IFERROR(__xludf.DUMMYFUNCTION("REGEXEXTRACT(C124, ""ک\s(\d{16})"")"),"5894631874474901")</f>
        <v>5894631874474901</v>
      </c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25.5" customHeight="1">
      <c r="A124" s="15">
        <v>123</v>
      </c>
      <c r="B124" s="15" t="s">
        <v>1409</v>
      </c>
      <c r="C124" s="16" t="s">
        <v>1422</v>
      </c>
      <c r="D124" s="18" t="e">
        <f ca="1">VLOOKUP(G124, Cards!A:B, 2, FALSE)</f>
        <v>#N/A</v>
      </c>
      <c r="E124" s="18">
        <v>113000000</v>
      </c>
      <c r="F124" s="19">
        <v>0</v>
      </c>
      <c r="G124" s="21" t="str">
        <f ca="1">IFERROR(__xludf.DUMMYFUNCTION("REGEXEXTRACT(C125, ""ک\s(\d{16})"")"),"#N/A")</f>
        <v>#N/A</v>
      </c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25.5" customHeight="1">
      <c r="A125" s="15">
        <v>124</v>
      </c>
      <c r="B125" s="15" t="s">
        <v>1409</v>
      </c>
      <c r="C125" s="16" t="s">
        <v>1423</v>
      </c>
      <c r="D125" s="18" t="str">
        <f ca="1">VLOOKUP(G125, Cards!A:B, 2, FALSE)</f>
        <v>علي ابراهيميان</v>
      </c>
      <c r="E125" s="18">
        <v>0</v>
      </c>
      <c r="F125" s="19">
        <v>1800</v>
      </c>
      <c r="G125" s="21" t="str">
        <f ca="1">IFERROR(__xludf.DUMMYFUNCTION("REGEXEXTRACT(C126, ""ک\s(\d{16})"")"),"6219861085062957")</f>
        <v>6219861085062957</v>
      </c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25.5" customHeight="1">
      <c r="A126" s="15">
        <v>125</v>
      </c>
      <c r="B126" s="15" t="s">
        <v>1409</v>
      </c>
      <c r="C126" s="16" t="s">
        <v>1424</v>
      </c>
      <c r="D126" s="18" t="str">
        <f ca="1">VLOOKUP(G126, Cards!A:B, 2, FALSE)</f>
        <v>علي ابراهيميان</v>
      </c>
      <c r="E126" s="18">
        <v>0</v>
      </c>
      <c r="F126" s="19">
        <v>1800</v>
      </c>
      <c r="G126" s="21" t="str">
        <f ca="1">IFERROR(__xludf.DUMMYFUNCTION("REGEXEXTRACT(C127, ""ک\s(\d{16})"")"),"6219861085062957")</f>
        <v>6219861085062957</v>
      </c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25.5" customHeight="1">
      <c r="A127" s="15">
        <v>126</v>
      </c>
      <c r="B127" s="15" t="s">
        <v>1409</v>
      </c>
      <c r="C127" s="16" t="s">
        <v>1425</v>
      </c>
      <c r="D127" s="18" t="str">
        <f ca="1">VLOOKUP(G127, Cards!A:B, 2, FALSE)</f>
        <v>علي ابراهيميان</v>
      </c>
      <c r="E127" s="18">
        <v>0</v>
      </c>
      <c r="F127" s="19">
        <v>1800</v>
      </c>
      <c r="G127" s="21" t="str">
        <f ca="1">IFERROR(__xludf.DUMMYFUNCTION("REGEXEXTRACT(C128, ""ک\s(\d{16})"")"),"6219861085062957")</f>
        <v>6219861085062957</v>
      </c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25.5" customHeight="1">
      <c r="A128" s="15">
        <v>127</v>
      </c>
      <c r="B128" s="15" t="s">
        <v>1426</v>
      </c>
      <c r="C128" s="16" t="s">
        <v>1427</v>
      </c>
      <c r="D128" s="18" t="e">
        <f ca="1">VLOOKUP(G128, Cards!A:B, 2, FALSE)</f>
        <v>#N/A</v>
      </c>
      <c r="E128" s="18">
        <v>1850000</v>
      </c>
      <c r="F128" s="19">
        <v>0</v>
      </c>
      <c r="G128" s="21" t="str">
        <f ca="1">IFERROR(__xludf.DUMMYFUNCTION("REGEXEXTRACT(C129, ""ک\s(\d{16})"")"),"5022291574694830")</f>
        <v>5022291574694830</v>
      </c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25.5" customHeight="1">
      <c r="A129" s="15">
        <v>128</v>
      </c>
      <c r="B129" s="15" t="s">
        <v>1426</v>
      </c>
      <c r="C129" s="16" t="s">
        <v>1428</v>
      </c>
      <c r="D129" s="18" t="e">
        <f ca="1">VLOOKUP(G129, Cards!A:B, 2, FALSE)</f>
        <v>#N/A</v>
      </c>
      <c r="E129" s="18">
        <v>500000</v>
      </c>
      <c r="F129" s="19">
        <v>0</v>
      </c>
      <c r="G129" s="21" t="str">
        <f ca="1">IFERROR(__xludf.DUMMYFUNCTION("REGEXEXTRACT(C130, ""ک\s(\d{16})"")"),"6277601354811810")</f>
        <v>6277601354811810</v>
      </c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25.5" customHeight="1">
      <c r="A130" s="15">
        <v>129</v>
      </c>
      <c r="B130" s="15" t="s">
        <v>1426</v>
      </c>
      <c r="C130" s="16" t="s">
        <v>1429</v>
      </c>
      <c r="D130" s="18" t="e">
        <f ca="1">VLOOKUP(G130, Cards!A:B, 2, FALSE)</f>
        <v>#N/A</v>
      </c>
      <c r="E130" s="18">
        <v>800000</v>
      </c>
      <c r="F130" s="19">
        <v>0</v>
      </c>
      <c r="G130" s="21" t="str">
        <f ca="1">IFERROR(__xludf.DUMMYFUNCTION("REGEXEXTRACT(C131, ""ک\s(\d{16})"")"),"6037701523129408")</f>
        <v>6037701523129408</v>
      </c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25.5" customHeight="1">
      <c r="A131" s="15">
        <v>130</v>
      </c>
      <c r="B131" s="15" t="s">
        <v>1426</v>
      </c>
      <c r="C131" s="16" t="s">
        <v>1430</v>
      </c>
      <c r="D131" s="18" t="str">
        <f ca="1">VLOOKUP(G131, Cards!A:B, 2, FALSE)</f>
        <v>علي ابراهيميان</v>
      </c>
      <c r="E131" s="18">
        <v>0</v>
      </c>
      <c r="F131" s="19">
        <v>1800</v>
      </c>
      <c r="G131" s="21" t="str">
        <f ca="1">IFERROR(__xludf.DUMMYFUNCTION("REGEXEXTRACT(C132, ""ک\s(\d{16})"")"),"6219861085062957")</f>
        <v>6219861085062957</v>
      </c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25.5" customHeight="1">
      <c r="A132" s="15">
        <v>131</v>
      </c>
      <c r="B132" s="15" t="s">
        <v>1426</v>
      </c>
      <c r="C132" s="16" t="s">
        <v>1431</v>
      </c>
      <c r="D132" s="18" t="str">
        <f ca="1">VLOOKUP(G132, Cards!A:B, 2, FALSE)</f>
        <v>علي ابراهيميان</v>
      </c>
      <c r="E132" s="18">
        <v>0</v>
      </c>
      <c r="F132" s="19">
        <v>15400</v>
      </c>
      <c r="G132" s="21" t="str">
        <f ca="1">IFERROR(__xludf.DUMMYFUNCTION("REGEXEXTRACT(C133, ""ک\s(\d{16})"")"),"6219861085062957")</f>
        <v>6219861085062957</v>
      </c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25.5" customHeight="1">
      <c r="A133" s="15">
        <v>132</v>
      </c>
      <c r="B133" s="15" t="s">
        <v>1426</v>
      </c>
      <c r="C133" s="16" t="s">
        <v>1432</v>
      </c>
      <c r="D133" s="18" t="e">
        <f ca="1">VLOOKUP(G133, Cards!A:B, 2, FALSE)</f>
        <v>#N/A</v>
      </c>
      <c r="E133" s="18">
        <v>0</v>
      </c>
      <c r="F133" s="19">
        <v>30000000</v>
      </c>
      <c r="G133" s="21" t="str">
        <f ca="1">IFERROR(__xludf.DUMMYFUNCTION("REGEXEXTRACT(C134, ""ک\s(\d{16})"")"),"5894631874474901")</f>
        <v>5894631874474901</v>
      </c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25.5" customHeight="1">
      <c r="A134" s="15">
        <v>133</v>
      </c>
      <c r="B134" s="15" t="s">
        <v>1426</v>
      </c>
      <c r="C134" s="16" t="s">
        <v>1433</v>
      </c>
      <c r="D134" s="18" t="str">
        <f ca="1">VLOOKUP(G134, Cards!A:B, 2, FALSE)</f>
        <v>علي ابراهيميان</v>
      </c>
      <c r="E134" s="18">
        <v>0</v>
      </c>
      <c r="F134" s="19">
        <v>15400</v>
      </c>
      <c r="G134" s="21" t="str">
        <f ca="1">IFERROR(__xludf.DUMMYFUNCTION("REGEXEXTRACT(C135, ""ک\s(\d{16})"")"),"6219861085062957")</f>
        <v>6219861085062957</v>
      </c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25.5" customHeight="1">
      <c r="A135" s="15">
        <v>134</v>
      </c>
      <c r="B135" s="15" t="s">
        <v>1426</v>
      </c>
      <c r="C135" s="16" t="s">
        <v>1434</v>
      </c>
      <c r="D135" s="18" t="str">
        <f ca="1">VLOOKUP(G135, Cards!A:B, 2, FALSE)</f>
        <v>محسن خانگاه</v>
      </c>
      <c r="E135" s="18">
        <v>0</v>
      </c>
      <c r="F135" s="19">
        <v>20940000</v>
      </c>
      <c r="G135" s="21" t="str">
        <f ca="1">IFERROR(__xludf.DUMMYFUNCTION("REGEXEXTRACT(C136, ""ک\s(\d{16})"")"),"6274121208660688")</f>
        <v>6274121208660688</v>
      </c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25.5" customHeight="1">
      <c r="A136" s="15">
        <v>135</v>
      </c>
      <c r="B136" s="15" t="s">
        <v>1426</v>
      </c>
      <c r="C136" s="16" t="s">
        <v>1435</v>
      </c>
      <c r="D136" s="18" t="str">
        <f ca="1">VLOOKUP(G136, Cards!A:B, 2, FALSE)</f>
        <v>علي ابراهيميان</v>
      </c>
      <c r="E136" s="18">
        <v>0</v>
      </c>
      <c r="F136" s="19">
        <v>12200</v>
      </c>
      <c r="G136" s="21" t="str">
        <f ca="1">IFERROR(__xludf.DUMMYFUNCTION("REGEXEXTRACT(C137, ""ک\s(\d{16})"")"),"6219861085062957")</f>
        <v>6219861085062957</v>
      </c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25.5" customHeight="1">
      <c r="A137" s="15">
        <v>136</v>
      </c>
      <c r="B137" s="15" t="s">
        <v>1426</v>
      </c>
      <c r="C137" s="16" t="s">
        <v>1436</v>
      </c>
      <c r="D137" s="18" t="str">
        <f ca="1">VLOOKUP(G137, Cards!A:B, 2, FALSE)</f>
        <v>محمد کريمي</v>
      </c>
      <c r="E137" s="18">
        <v>0</v>
      </c>
      <c r="F137" s="19">
        <v>19576800</v>
      </c>
      <c r="G137" s="21" t="str">
        <f ca="1">IFERROR(__xludf.DUMMYFUNCTION("REGEXEXTRACT(C138, ""ک\s(\d{16})"")"),"5892101643117522")</f>
        <v>5892101643117522</v>
      </c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25.5" customHeight="1">
      <c r="A138" s="15">
        <v>137</v>
      </c>
      <c r="B138" s="15" t="s">
        <v>1426</v>
      </c>
      <c r="C138" s="16" t="s">
        <v>1437</v>
      </c>
      <c r="D138" s="18" t="str">
        <f ca="1">VLOOKUP(G138, Cards!A:B, 2, FALSE)</f>
        <v>علي ابراهيميان</v>
      </c>
      <c r="E138" s="18">
        <v>0</v>
      </c>
      <c r="F138" s="19">
        <v>1800</v>
      </c>
      <c r="G138" s="21" t="str">
        <f ca="1">IFERROR(__xludf.DUMMYFUNCTION("REGEXEXTRACT(C139, ""ک\s(\d{16})"")"),"6219861085062957")</f>
        <v>6219861085062957</v>
      </c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25.5" customHeight="1">
      <c r="A139" s="15">
        <v>138</v>
      </c>
      <c r="B139" s="15" t="s">
        <v>1426</v>
      </c>
      <c r="C139" s="16" t="s">
        <v>1438</v>
      </c>
      <c r="D139" s="18" t="str">
        <f ca="1">VLOOKUP(G139, Cards!A:B, 2, FALSE)</f>
        <v>علي ابراهيميان</v>
      </c>
      <c r="E139" s="18">
        <v>0</v>
      </c>
      <c r="F139" s="19">
        <v>1122000</v>
      </c>
      <c r="G139" s="21" t="str">
        <f ca="1">IFERROR(__xludf.DUMMYFUNCTION("REGEXEXTRACT(C140, ""ک\s(\d{16})"")"),"6219861085062957")</f>
        <v>6219861085062957</v>
      </c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25.5" customHeight="1">
      <c r="A140" s="15">
        <v>139</v>
      </c>
      <c r="B140" s="15" t="s">
        <v>1426</v>
      </c>
      <c r="C140" s="16" t="s">
        <v>1439</v>
      </c>
      <c r="D140" s="18" t="str">
        <f ca="1">VLOOKUP(G140, Cards!A:B, 2, FALSE)</f>
        <v>علي ابراهيميان</v>
      </c>
      <c r="E140" s="18">
        <v>0</v>
      </c>
      <c r="F140" s="19">
        <v>145000</v>
      </c>
      <c r="G140" s="21" t="str">
        <f ca="1">IFERROR(__xludf.DUMMYFUNCTION("REGEXEXTRACT(C141, ""ک\s(\d{16})"")"),"6219861085062957")</f>
        <v>6219861085062957</v>
      </c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25.5" customHeight="1">
      <c r="A141" s="15">
        <v>140</v>
      </c>
      <c r="B141" s="15" t="s">
        <v>1426</v>
      </c>
      <c r="C141" s="16" t="s">
        <v>1440</v>
      </c>
      <c r="D141" s="18" t="str">
        <f ca="1">VLOOKUP(G141, Cards!A:B, 2, FALSE)</f>
        <v>علي ابراهيميان</v>
      </c>
      <c r="E141" s="18">
        <v>0</v>
      </c>
      <c r="F141" s="19">
        <v>11600000</v>
      </c>
      <c r="G141" s="21" t="str">
        <f ca="1">IFERROR(__xludf.DUMMYFUNCTION("REGEXEXTRACT(C142, ""ک\s(\d{16})"")"),"6219861085062957")</f>
        <v>6219861085062957</v>
      </c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25.5" customHeight="1">
      <c r="A142" s="15">
        <v>141</v>
      </c>
      <c r="B142" s="15" t="s">
        <v>1426</v>
      </c>
      <c r="C142" s="16" t="s">
        <v>1441</v>
      </c>
      <c r="D142" s="18" t="str">
        <f ca="1">VLOOKUP(G142, Cards!A:B, 2, FALSE)</f>
        <v>علي ابراهيميان</v>
      </c>
      <c r="E142" s="18">
        <v>0</v>
      </c>
      <c r="F142" s="19">
        <v>2000000</v>
      </c>
      <c r="G142" s="21" t="str">
        <f ca="1">IFERROR(__xludf.DUMMYFUNCTION("REGEXEXTRACT(C143, ""ک\s(\d{16})"")"),"6219861085062957")</f>
        <v>6219861085062957</v>
      </c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25.5" customHeight="1">
      <c r="A143" s="15">
        <v>142</v>
      </c>
      <c r="B143" s="15" t="s">
        <v>1426</v>
      </c>
      <c r="C143" s="16" t="s">
        <v>1442</v>
      </c>
      <c r="D143" s="18" t="str">
        <f ca="1">VLOOKUP(G143, Cards!A:B, 2, FALSE)</f>
        <v>علي ابراهيميان</v>
      </c>
      <c r="E143" s="18">
        <v>0</v>
      </c>
      <c r="F143" s="19">
        <v>13000000</v>
      </c>
      <c r="G143" s="21" t="str">
        <f ca="1">IFERROR(__xludf.DUMMYFUNCTION("REGEXEXTRACT(C144, ""ک\s(\d{16})"")"),"6219861085062957")</f>
        <v>6219861085062957</v>
      </c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25.5" customHeight="1">
      <c r="A144" s="15">
        <v>143</v>
      </c>
      <c r="B144" s="15" t="s">
        <v>1426</v>
      </c>
      <c r="C144" s="16" t="s">
        <v>1443</v>
      </c>
      <c r="D144" s="18" t="e">
        <f ca="1">VLOOKUP(G144, Cards!A:B, 2, FALSE)</f>
        <v>#N/A</v>
      </c>
      <c r="E144" s="18">
        <v>41500000</v>
      </c>
      <c r="F144" s="19">
        <v>0</v>
      </c>
      <c r="G144" s="21" t="str">
        <f ca="1">IFERROR(__xludf.DUMMYFUNCTION("REGEXEXTRACT(C145, ""ک\s(\d{16})"")"),"#N/A")</f>
        <v>#N/A</v>
      </c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25.5" customHeight="1">
      <c r="A145" s="15">
        <v>144</v>
      </c>
      <c r="B145" s="15" t="s">
        <v>1426</v>
      </c>
      <c r="C145" s="16" t="s">
        <v>1444</v>
      </c>
      <c r="D145" s="18" t="e">
        <f ca="1">VLOOKUP(G145, Cards!A:B, 2, FALSE)</f>
        <v>#N/A</v>
      </c>
      <c r="E145" s="18">
        <v>64500000</v>
      </c>
      <c r="F145" s="19">
        <v>0</v>
      </c>
      <c r="G145" s="21" t="str">
        <f ca="1">IFERROR(__xludf.DUMMYFUNCTION("REGEXEXTRACT(C146, ""ک\s(\d{16})"")"),"#N/A")</f>
        <v>#N/A</v>
      </c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25.5" customHeight="1">
      <c r="A146" s="15">
        <v>145</v>
      </c>
      <c r="B146" s="15" t="s">
        <v>1445</v>
      </c>
      <c r="C146" s="16" t="s">
        <v>1446</v>
      </c>
      <c r="D146" s="18" t="e">
        <f ca="1">VLOOKUP(G146, Cards!A:B, 2, FALSE)</f>
        <v>#N/A</v>
      </c>
      <c r="E146" s="18">
        <v>850000</v>
      </c>
      <c r="F146" s="19">
        <v>0</v>
      </c>
      <c r="G146" s="21" t="str">
        <f ca="1">IFERROR(__xludf.DUMMYFUNCTION("REGEXEXTRACT(C147, ""ک\s(\d{16})"")"),"6063731167847020")</f>
        <v>6063731167847020</v>
      </c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25.5" customHeight="1">
      <c r="A147" s="15">
        <v>146</v>
      </c>
      <c r="B147" s="15" t="s">
        <v>1445</v>
      </c>
      <c r="C147" s="16" t="s">
        <v>1447</v>
      </c>
      <c r="D147" s="18" t="e">
        <f ca="1">VLOOKUP(G147, Cards!A:B, 2, FALSE)</f>
        <v>#N/A</v>
      </c>
      <c r="E147" s="18">
        <v>1450000</v>
      </c>
      <c r="F147" s="19">
        <v>0</v>
      </c>
      <c r="G147" s="21" t="str">
        <f ca="1">IFERROR(__xludf.DUMMYFUNCTION("REGEXEXTRACT(C148, ""ک\s(\d{16})"")"),"5022291561719608")</f>
        <v>5022291561719608</v>
      </c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25.5" customHeight="1">
      <c r="A148" s="15">
        <v>147</v>
      </c>
      <c r="B148" s="15" t="s">
        <v>1445</v>
      </c>
      <c r="C148" s="16" t="s">
        <v>1448</v>
      </c>
      <c r="D148" s="18" t="e">
        <f ca="1">VLOOKUP(G148, Cards!A:B, 2, FALSE)</f>
        <v>#N/A</v>
      </c>
      <c r="E148" s="18">
        <v>500000</v>
      </c>
      <c r="F148" s="19">
        <v>0</v>
      </c>
      <c r="G148" s="21" t="str">
        <f ca="1">IFERROR(__xludf.DUMMYFUNCTION("REGEXEXTRACT(C149, ""ک\s(\d{16})"")"),"#N/A")</f>
        <v>#N/A</v>
      </c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25.5" customHeight="1">
      <c r="A149" s="15">
        <v>148</v>
      </c>
      <c r="B149" s="15" t="s">
        <v>1445</v>
      </c>
      <c r="C149" s="16" t="s">
        <v>1449</v>
      </c>
      <c r="D149" s="18" t="e">
        <f ca="1">VLOOKUP(G149, Cards!A:B, 2, FALSE)</f>
        <v>#N/A</v>
      </c>
      <c r="E149" s="18">
        <v>500000</v>
      </c>
      <c r="F149" s="19">
        <v>0</v>
      </c>
      <c r="G149" s="21" t="str">
        <f ca="1">IFERROR(__xludf.DUMMYFUNCTION("REGEXEXTRACT(C150, ""ک\s(\d{16})"")"),"6037691532680139")</f>
        <v>6037691532680139</v>
      </c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25.5" customHeight="1">
      <c r="A150" s="15">
        <v>149</v>
      </c>
      <c r="B150" s="15" t="s">
        <v>1445</v>
      </c>
      <c r="C150" s="16" t="s">
        <v>1450</v>
      </c>
      <c r="D150" s="18" t="str">
        <f ca="1">VLOOKUP(G150, Cards!A:B, 2, FALSE)</f>
        <v>علي ابراهيميان</v>
      </c>
      <c r="E150" s="18">
        <v>0</v>
      </c>
      <c r="F150" s="19">
        <v>3500000</v>
      </c>
      <c r="G150" s="21" t="str">
        <f ca="1">IFERROR(__xludf.DUMMYFUNCTION("REGEXEXTRACT(C151, ""ک\s(\d{16})"")"),"6219861085062957")</f>
        <v>6219861085062957</v>
      </c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25.5" customHeight="1">
      <c r="A151" s="15">
        <v>150</v>
      </c>
      <c r="B151" s="15" t="s">
        <v>1445</v>
      </c>
      <c r="C151" s="16" t="s">
        <v>1451</v>
      </c>
      <c r="D151" s="18" t="str">
        <f ca="1">VLOOKUP(G151, Cards!A:B, 2, FALSE)</f>
        <v>علي ابراهيميان</v>
      </c>
      <c r="E151" s="18">
        <v>0</v>
      </c>
      <c r="F151" s="19">
        <v>1440</v>
      </c>
      <c r="G151" s="21" t="str">
        <f ca="1">IFERROR(__xludf.DUMMYFUNCTION("REGEXEXTRACT(C152, ""ک\s(\d{16})"")"),"6219861085062957")</f>
        <v>6219861085062957</v>
      </c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ht="25.5" customHeight="1">
      <c r="A152" s="15">
        <v>151</v>
      </c>
      <c r="B152" s="15" t="s">
        <v>1445</v>
      </c>
      <c r="C152" s="16" t="s">
        <v>1452</v>
      </c>
      <c r="D152" s="18" t="str">
        <f ca="1">VLOOKUP(G152, Cards!A:B, 2, FALSE)</f>
        <v>حسين ميربلوک</v>
      </c>
      <c r="E152" s="18">
        <v>850000</v>
      </c>
      <c r="F152" s="19">
        <v>0</v>
      </c>
      <c r="G152" s="21" t="str">
        <f ca="1">IFERROR(__xludf.DUMMYFUNCTION("REGEXEXTRACT(C153, ""ک\s(\d{16})"")"),"6037697681149024")</f>
        <v>6037697681149024</v>
      </c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spans="1:27" ht="25.5" customHeight="1">
      <c r="A153" s="15">
        <v>152</v>
      </c>
      <c r="B153" s="15" t="s">
        <v>1445</v>
      </c>
      <c r="C153" s="16" t="s">
        <v>1453</v>
      </c>
      <c r="D153" s="18" t="str">
        <f ca="1">VLOOKUP(G153, Cards!A:B, 2, FALSE)</f>
        <v>علي ابراهيميان</v>
      </c>
      <c r="E153" s="18">
        <v>0</v>
      </c>
      <c r="F153" s="19">
        <v>7200</v>
      </c>
      <c r="G153" s="21" t="str">
        <f ca="1">IFERROR(__xludf.DUMMYFUNCTION("REGEXEXTRACT(C154, ""ک\s(\d{16})"")"),"6219861085062957")</f>
        <v>6219861085062957</v>
      </c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spans="1:27" ht="25.5" customHeight="1">
      <c r="A154" s="15">
        <v>153</v>
      </c>
      <c r="B154" s="15" t="s">
        <v>1445</v>
      </c>
      <c r="C154" s="16" t="s">
        <v>1454</v>
      </c>
      <c r="D154" s="18" t="str">
        <f ca="1">VLOOKUP(G154, Cards!A:B, 2, FALSE)</f>
        <v>محسن خانگاه</v>
      </c>
      <c r="E154" s="18">
        <v>0</v>
      </c>
      <c r="F154" s="19">
        <v>10000000</v>
      </c>
      <c r="G154" s="21" t="str">
        <f ca="1">IFERROR(__xludf.DUMMYFUNCTION("REGEXEXTRACT(C155, ""ک\s(\d{16})"")"),"6274121208660688")</f>
        <v>6274121208660688</v>
      </c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spans="1:27" ht="25.5" customHeight="1">
      <c r="A155" s="15">
        <v>154</v>
      </c>
      <c r="B155" s="15" t="s">
        <v>1445</v>
      </c>
      <c r="C155" s="16" t="s">
        <v>1455</v>
      </c>
      <c r="D155" s="18" t="str">
        <f ca="1">VLOOKUP(G155, Cards!A:B, 2, FALSE)</f>
        <v>علي ابراهيميان</v>
      </c>
      <c r="E155" s="18">
        <v>0</v>
      </c>
      <c r="F155" s="19">
        <v>7200</v>
      </c>
      <c r="G155" s="21" t="str">
        <f ca="1">IFERROR(__xludf.DUMMYFUNCTION("REGEXEXTRACT(C156, ""ک\s(\d{16})"")"),"6219861085062957")</f>
        <v>6219861085062957</v>
      </c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spans="1:27" ht="25.5" customHeight="1">
      <c r="A156" s="15">
        <v>155</v>
      </c>
      <c r="B156" s="15" t="s">
        <v>1445</v>
      </c>
      <c r="C156" s="16" t="s">
        <v>1456</v>
      </c>
      <c r="D156" s="18" t="str">
        <f ca="1">VLOOKUP(G156, Cards!A:B, 2, FALSE)</f>
        <v>مجيد شجاع پور</v>
      </c>
      <c r="E156" s="18">
        <v>0</v>
      </c>
      <c r="F156" s="19">
        <v>9100000</v>
      </c>
      <c r="G156" s="21" t="str">
        <f ca="1">IFERROR(__xludf.DUMMYFUNCTION("REGEXEXTRACT(C157, ""ک\s(\d{16})"")"),"5892101626109181")</f>
        <v>5892101626109181</v>
      </c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spans="1:27" ht="25.5" customHeight="1">
      <c r="A157" s="15">
        <v>156</v>
      </c>
      <c r="B157" s="15" t="s">
        <v>1445</v>
      </c>
      <c r="C157" s="16" t="s">
        <v>1457</v>
      </c>
      <c r="D157" s="18" t="str">
        <f ca="1">VLOOKUP(G157, Cards!A:B, 2, FALSE)</f>
        <v>علي ابراهيميان</v>
      </c>
      <c r="E157" s="18">
        <v>0</v>
      </c>
      <c r="F157" s="19">
        <v>1440</v>
      </c>
      <c r="G157" s="21" t="str">
        <f ca="1">IFERROR(__xludf.DUMMYFUNCTION("REGEXEXTRACT(C158, ""ک\s(\d{16})"")"),"6219861085062957")</f>
        <v>6219861085062957</v>
      </c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spans="1:27" ht="25.5" customHeight="1">
      <c r="A158" s="15">
        <v>157</v>
      </c>
      <c r="B158" s="15" t="s">
        <v>1445</v>
      </c>
      <c r="C158" s="16" t="s">
        <v>1458</v>
      </c>
      <c r="D158" s="18" t="str">
        <f ca="1">VLOOKUP(G158, Cards!A:B, 2, FALSE)</f>
        <v>علي ابراهيميان</v>
      </c>
      <c r="E158" s="18">
        <v>0</v>
      </c>
      <c r="F158" s="19">
        <v>18400</v>
      </c>
      <c r="G158" s="21" t="str">
        <f ca="1">IFERROR(__xludf.DUMMYFUNCTION("REGEXEXTRACT(C159, ""ک\s(\d{16})"")"),"6219861085062957")</f>
        <v>6219861085062957</v>
      </c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spans="1:27" ht="25.5" customHeight="1">
      <c r="A159" s="15">
        <v>158</v>
      </c>
      <c r="B159" s="15" t="s">
        <v>1445</v>
      </c>
      <c r="C159" s="16" t="s">
        <v>1459</v>
      </c>
      <c r="D159" s="18" t="e">
        <f ca="1">VLOOKUP(G159, Cards!A:B, 2, FALSE)</f>
        <v>#N/A</v>
      </c>
      <c r="E159" s="18">
        <v>0</v>
      </c>
      <c r="F159" s="19">
        <v>41000000</v>
      </c>
      <c r="G159" s="21" t="str">
        <f ca="1">IFERROR(__xludf.DUMMYFUNCTION("REGEXEXTRACT(C160, ""ک\s(\d{16})"")"),"6104337830162200")</f>
        <v>6104337830162200</v>
      </c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spans="1:27" ht="25.5" customHeight="1">
      <c r="A160" s="15">
        <v>159</v>
      </c>
      <c r="B160" s="15" t="s">
        <v>1445</v>
      </c>
      <c r="C160" s="16" t="s">
        <v>1460</v>
      </c>
      <c r="D160" s="18" t="e">
        <f ca="1">VLOOKUP(G160, Cards!A:B, 2, FALSE)</f>
        <v>#N/A</v>
      </c>
      <c r="E160" s="18">
        <v>63000000</v>
      </c>
      <c r="F160" s="19">
        <v>0</v>
      </c>
      <c r="G160" s="21" t="str">
        <f ca="1">IFERROR(__xludf.DUMMYFUNCTION("REGEXEXTRACT(C161, ""ک\s(\d{16})"")"),"#N/A")</f>
        <v>#N/A</v>
      </c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spans="1:27" ht="25.5" customHeight="1">
      <c r="A161" s="15">
        <v>160</v>
      </c>
      <c r="B161" s="15" t="s">
        <v>1461</v>
      </c>
      <c r="C161" s="16" t="s">
        <v>1462</v>
      </c>
      <c r="D161" s="18" t="e">
        <f ca="1">VLOOKUP(G161, Cards!A:B, 2, FALSE)</f>
        <v>#N/A</v>
      </c>
      <c r="E161" s="18">
        <v>600000</v>
      </c>
      <c r="F161" s="19">
        <v>0</v>
      </c>
      <c r="G161" s="21" t="str">
        <f ca="1">IFERROR(__xludf.DUMMYFUNCTION("REGEXEXTRACT(C162, ""ک\s(\d{16})"")"),"6037991535478063")</f>
        <v>6037991535478063</v>
      </c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spans="1:27" ht="25.5" customHeight="1">
      <c r="A162" s="15">
        <v>161</v>
      </c>
      <c r="B162" s="15" t="s">
        <v>1461</v>
      </c>
      <c r="C162" s="16" t="s">
        <v>1463</v>
      </c>
      <c r="D162" s="18" t="e">
        <f ca="1">VLOOKUP(G162, Cards!A:B, 2, FALSE)</f>
        <v>#N/A</v>
      </c>
      <c r="E162" s="18">
        <v>1100000</v>
      </c>
      <c r="F162" s="19">
        <v>0</v>
      </c>
      <c r="G162" s="21" t="str">
        <f ca="1">IFERROR(__xludf.DUMMYFUNCTION("REGEXEXTRACT(C163, ""ک\s(\d{16})"")"),"6037997388559198")</f>
        <v>6037997388559198</v>
      </c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spans="1:27" ht="25.5" customHeight="1">
      <c r="A163" s="15">
        <v>162</v>
      </c>
      <c r="B163" s="15" t="s">
        <v>1461</v>
      </c>
      <c r="C163" s="16" t="s">
        <v>1464</v>
      </c>
      <c r="D163" s="18" t="str">
        <f ca="1">VLOOKUP(G163, Cards!A:B, 2, FALSE)</f>
        <v>علي ابراهيميان</v>
      </c>
      <c r="E163" s="18">
        <v>0</v>
      </c>
      <c r="F163" s="19">
        <v>1440</v>
      </c>
      <c r="G163" s="21" t="str">
        <f ca="1">IFERROR(__xludf.DUMMYFUNCTION("REGEXEXTRACT(C164, ""ک\s(\d{16})"")"),"6219861085062957")</f>
        <v>6219861085062957</v>
      </c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spans="1:27" ht="25.5" customHeight="1">
      <c r="A164" s="15">
        <v>163</v>
      </c>
      <c r="B164" s="15" t="s">
        <v>1461</v>
      </c>
      <c r="C164" s="16" t="s">
        <v>1465</v>
      </c>
      <c r="D164" s="18" t="str">
        <f ca="1">VLOOKUP(G164, Cards!A:B, 2, FALSE)</f>
        <v>علي ابراهيميان</v>
      </c>
      <c r="E164" s="18">
        <v>0</v>
      </c>
      <c r="F164" s="19">
        <v>12800</v>
      </c>
      <c r="G164" s="21" t="str">
        <f ca="1">IFERROR(__xludf.DUMMYFUNCTION("REGEXEXTRACT(C165, ""ک\s(\d{16})"")"),"6219861085062957")</f>
        <v>6219861085062957</v>
      </c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spans="1:27" ht="25.5" customHeight="1">
      <c r="A165" s="15">
        <v>164</v>
      </c>
      <c r="B165" s="15" t="s">
        <v>1461</v>
      </c>
      <c r="C165" s="16" t="s">
        <v>1466</v>
      </c>
      <c r="D165" s="18" t="str">
        <f ca="1">VLOOKUP(G165, Cards!A:B, 2, FALSE)</f>
        <v>محسن خانگاه</v>
      </c>
      <c r="E165" s="18">
        <v>0</v>
      </c>
      <c r="F165" s="19">
        <v>20090000</v>
      </c>
      <c r="G165" s="21" t="str">
        <f ca="1">IFERROR(__xludf.DUMMYFUNCTION("REGEXEXTRACT(C166, ""ک\s(\d{16})"")"),"6274121208660688")</f>
        <v>6274121208660688</v>
      </c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spans="1:27" ht="25.5" customHeight="1">
      <c r="A166" s="15">
        <v>165</v>
      </c>
      <c r="B166" s="15" t="s">
        <v>1461</v>
      </c>
      <c r="C166" s="16" t="s">
        <v>1467</v>
      </c>
      <c r="D166" s="18" t="str">
        <f ca="1">VLOOKUP(G166, Cards!A:B, 2, FALSE)</f>
        <v>علي ابراهيميان</v>
      </c>
      <c r="E166" s="18">
        <v>0</v>
      </c>
      <c r="F166" s="19">
        <v>24000</v>
      </c>
      <c r="G166" s="21" t="str">
        <f ca="1">IFERROR(__xludf.DUMMYFUNCTION("REGEXEXTRACT(C167, ""ک\s(\d{16})"")"),"6219861085062957")</f>
        <v>6219861085062957</v>
      </c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spans="1:27" ht="25.5" customHeight="1">
      <c r="A167" s="15">
        <v>166</v>
      </c>
      <c r="B167" s="15" t="s">
        <v>1461</v>
      </c>
      <c r="C167" s="16" t="s">
        <v>1468</v>
      </c>
      <c r="D167" s="18" t="e">
        <f ca="1">VLOOKUP(G167, Cards!A:B, 2, FALSE)</f>
        <v>#N/A</v>
      </c>
      <c r="E167" s="18">
        <v>0</v>
      </c>
      <c r="F167" s="19">
        <v>67300000</v>
      </c>
      <c r="G167" s="21" t="str">
        <f ca="1">IFERROR(__xludf.DUMMYFUNCTION("REGEXEXTRACT(C168, ""ک\s(\d{16})"")"),"6037697515190897")</f>
        <v>6037697515190897</v>
      </c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spans="1:27" ht="25.5" customHeight="1">
      <c r="A168" s="15">
        <v>167</v>
      </c>
      <c r="B168" s="15" t="s">
        <v>1461</v>
      </c>
      <c r="C168" s="16" t="s">
        <v>1469</v>
      </c>
      <c r="D168" s="18" t="str">
        <f ca="1">VLOOKUP(G168, Cards!A:B, 2, FALSE)</f>
        <v>علي ابراهيميان</v>
      </c>
      <c r="E168" s="18">
        <v>0</v>
      </c>
      <c r="F168" s="19">
        <v>1440</v>
      </c>
      <c r="G168" s="21" t="str">
        <f ca="1">IFERROR(__xludf.DUMMYFUNCTION("REGEXEXTRACT(C169, ""ک\s(\d{16})"")"),"6219861085062957")</f>
        <v>6219861085062957</v>
      </c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spans="1:27" ht="25.5" customHeight="1">
      <c r="A169" s="15">
        <v>168</v>
      </c>
      <c r="B169" s="15" t="s">
        <v>1461</v>
      </c>
      <c r="C169" s="16" t="s">
        <v>1470</v>
      </c>
      <c r="D169" s="18" t="str">
        <f ca="1">VLOOKUP(G169, Cards!A:B, 2, FALSE)</f>
        <v>علي ابراهيميان</v>
      </c>
      <c r="E169" s="18">
        <v>0</v>
      </c>
      <c r="F169" s="19">
        <v>15600000</v>
      </c>
      <c r="G169" s="21" t="str">
        <f ca="1">IFERROR(__xludf.DUMMYFUNCTION("REGEXEXTRACT(C170, ""ک\s(\d{16})"")"),"6219861085062957")</f>
        <v>6219861085062957</v>
      </c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spans="1:27" ht="25.5" customHeight="1">
      <c r="A170" s="15">
        <v>169</v>
      </c>
      <c r="B170" s="15" t="s">
        <v>1461</v>
      </c>
      <c r="C170" s="16" t="s">
        <v>1471</v>
      </c>
      <c r="D170" s="18" t="e">
        <f ca="1">VLOOKUP(G170, Cards!A:B, 2, FALSE)</f>
        <v>#N/A</v>
      </c>
      <c r="E170" s="18">
        <v>96000000</v>
      </c>
      <c r="F170" s="19">
        <v>0</v>
      </c>
      <c r="G170" s="21" t="str">
        <f ca="1">IFERROR(__xludf.DUMMYFUNCTION("REGEXEXTRACT(C171, ""ک\s(\d{16})"")"),"#N/A")</f>
        <v>#N/A</v>
      </c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spans="1:27" ht="25.5" customHeight="1">
      <c r="A171" s="15">
        <v>170</v>
      </c>
      <c r="B171" s="15" t="s">
        <v>1472</v>
      </c>
      <c r="C171" s="16" t="s">
        <v>1473</v>
      </c>
      <c r="D171" s="18" t="str">
        <f ca="1">VLOOKUP(G171, Cards!A:B, 2, FALSE)</f>
        <v>علي ابراهيميان</v>
      </c>
      <c r="E171" s="18">
        <v>0</v>
      </c>
      <c r="F171" s="19">
        <v>2600000</v>
      </c>
      <c r="G171" s="21" t="str">
        <f ca="1">IFERROR(__xludf.DUMMYFUNCTION("REGEXEXTRACT(C172, ""ک\s(\d{16})"")"),"6219861085062957")</f>
        <v>6219861085062957</v>
      </c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spans="1:27" ht="25.5" customHeight="1">
      <c r="A172" s="15">
        <v>171</v>
      </c>
      <c r="B172" s="15" t="s">
        <v>1472</v>
      </c>
      <c r="C172" s="16" t="s">
        <v>1474</v>
      </c>
      <c r="D172" s="18" t="str">
        <f ca="1">VLOOKUP(G172, Cards!A:B, 2, FALSE)</f>
        <v>علي ابراهيميان</v>
      </c>
      <c r="E172" s="18">
        <v>0</v>
      </c>
      <c r="F172" s="19">
        <v>15600</v>
      </c>
      <c r="G172" s="21" t="str">
        <f ca="1">IFERROR(__xludf.DUMMYFUNCTION("REGEXEXTRACT(C173, ""ک\s(\d{16})"")"),"6219861085062957")</f>
        <v>6219861085062957</v>
      </c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spans="1:27" ht="25.5" customHeight="1">
      <c r="A173" s="15">
        <v>172</v>
      </c>
      <c r="B173" s="15" t="s">
        <v>1472</v>
      </c>
      <c r="C173" s="16" t="s">
        <v>1475</v>
      </c>
      <c r="D173" s="18" t="str">
        <f ca="1">VLOOKUP(G173, Cards!A:B, 2, FALSE)</f>
        <v>محمد کريمي</v>
      </c>
      <c r="E173" s="18">
        <v>0</v>
      </c>
      <c r="F173" s="19">
        <v>32623200</v>
      </c>
      <c r="G173" s="21" t="str">
        <f ca="1">IFERROR(__xludf.DUMMYFUNCTION("REGEXEXTRACT(C174, ""ک\s(\d{16})"")"),"5892101643117522")</f>
        <v>5892101643117522</v>
      </c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spans="1:27" ht="25.5" customHeight="1">
      <c r="A174" s="15">
        <v>173</v>
      </c>
      <c r="B174" s="15" t="s">
        <v>1472</v>
      </c>
      <c r="C174" s="16" t="s">
        <v>1476</v>
      </c>
      <c r="D174" s="18" t="str">
        <f ca="1">VLOOKUP(G174, Cards!A:B, 2, FALSE)</f>
        <v>علي ابراهيميان</v>
      </c>
      <c r="E174" s="18">
        <v>0</v>
      </c>
      <c r="F174" s="19">
        <v>1440</v>
      </c>
      <c r="G174" s="21" t="str">
        <f ca="1">IFERROR(__xludf.DUMMYFUNCTION("REGEXEXTRACT(C175, ""ک\s(\d{16})"")"),"6219861085062957")</f>
        <v>6219861085062957</v>
      </c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spans="1:27" ht="25.5" customHeight="1">
      <c r="A175" s="15">
        <v>174</v>
      </c>
      <c r="B175" s="15" t="s">
        <v>1472</v>
      </c>
      <c r="C175" s="16" t="s">
        <v>1477</v>
      </c>
      <c r="D175" s="18" t="str">
        <f ca="1">VLOOKUP(G175, Cards!A:B, 2, FALSE)</f>
        <v>علي ابراهيميان</v>
      </c>
      <c r="E175" s="18">
        <v>0</v>
      </c>
      <c r="F175" s="19">
        <v>5400000</v>
      </c>
      <c r="G175" s="21" t="str">
        <f ca="1">IFERROR(__xludf.DUMMYFUNCTION("REGEXEXTRACT(C176, ""ک\s(\d{16})"")"),"6219861085062957")</f>
        <v>6219861085062957</v>
      </c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spans="1:27" ht="25.5" customHeight="1">
      <c r="A176" s="15">
        <v>175</v>
      </c>
      <c r="B176" s="15" t="s">
        <v>1472</v>
      </c>
      <c r="C176" s="16" t="s">
        <v>1478</v>
      </c>
      <c r="D176" s="18" t="e">
        <f ca="1">VLOOKUP(G176, Cards!A:B, 2, FALSE)</f>
        <v>#N/A</v>
      </c>
      <c r="E176" s="18">
        <v>1200000</v>
      </c>
      <c r="F176" s="19">
        <v>0</v>
      </c>
      <c r="G176" s="21" t="str">
        <f ca="1">IFERROR(__xludf.DUMMYFUNCTION("REGEXEXTRACT(C177, ""ک\s(\d{16})"")"),"5022291332189099")</f>
        <v>5022291332189099</v>
      </c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spans="1:27" ht="25.5" customHeight="1">
      <c r="A177" s="15">
        <v>176</v>
      </c>
      <c r="B177" s="15" t="s">
        <v>1472</v>
      </c>
      <c r="C177" s="16" t="s">
        <v>1479</v>
      </c>
      <c r="D177" s="18" t="e">
        <f ca="1">VLOOKUP(G177, Cards!A:B, 2, FALSE)</f>
        <v>#N/A</v>
      </c>
      <c r="E177" s="18">
        <v>600000</v>
      </c>
      <c r="F177" s="19">
        <v>0</v>
      </c>
      <c r="G177" s="21" t="str">
        <f ca="1">IFERROR(__xludf.DUMMYFUNCTION("REGEXEXTRACT(C178, ""ک\s(\d{16})"")"),"6037991714945296")</f>
        <v>6037991714945296</v>
      </c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spans="1:27" ht="25.5" customHeight="1">
      <c r="A178" s="15">
        <v>177</v>
      </c>
      <c r="B178" s="15" t="s">
        <v>1472</v>
      </c>
      <c r="C178" s="16" t="s">
        <v>1480</v>
      </c>
      <c r="D178" s="18" t="str">
        <f ca="1">VLOOKUP(G178, Cards!A:B, 2, FALSE)</f>
        <v>علي ابراهيميان</v>
      </c>
      <c r="E178" s="18">
        <v>0</v>
      </c>
      <c r="F178" s="19">
        <v>1440</v>
      </c>
      <c r="G178" s="21" t="str">
        <f ca="1">IFERROR(__xludf.DUMMYFUNCTION("REGEXEXTRACT(C179, ""ک\s(\d{16})"")"),"6219861085062957")</f>
        <v>6219861085062957</v>
      </c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spans="1:27" ht="25.5" customHeight="1">
      <c r="A179" s="15">
        <v>178</v>
      </c>
      <c r="B179" s="15" t="s">
        <v>1472</v>
      </c>
      <c r="C179" s="16" t="s">
        <v>1481</v>
      </c>
      <c r="D179" s="18" t="e">
        <f ca="1">VLOOKUP(G179, Cards!A:B, 2, FALSE)</f>
        <v>#N/A</v>
      </c>
      <c r="E179" s="18">
        <v>500000</v>
      </c>
      <c r="F179" s="19">
        <v>0</v>
      </c>
      <c r="G179" s="21" t="str">
        <f ca="1">IFERROR(__xludf.DUMMYFUNCTION("REGEXEXTRACT(C180, ""ک\s(\d{16})"")"),"6037697652167229")</f>
        <v>6037697652167229</v>
      </c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spans="1:27" ht="25.5" customHeight="1">
      <c r="A180" s="15">
        <v>179</v>
      </c>
      <c r="B180" s="15" t="s">
        <v>1472</v>
      </c>
      <c r="C180" s="16" t="s">
        <v>1482</v>
      </c>
      <c r="D180" s="18" t="str">
        <f ca="1">VLOOKUP(G180, Cards!A:B, 2, FALSE)</f>
        <v>علي ابراهيميان</v>
      </c>
      <c r="E180" s="18">
        <v>0</v>
      </c>
      <c r="F180" s="19">
        <v>7200</v>
      </c>
      <c r="G180" s="21" t="str">
        <f ca="1">IFERROR(__xludf.DUMMYFUNCTION("REGEXEXTRACT(C181, ""ک\s(\d{16})"")"),"6219861085062957")</f>
        <v>6219861085062957</v>
      </c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spans="1:27" ht="25.5" customHeight="1">
      <c r="A181" s="15">
        <v>180</v>
      </c>
      <c r="B181" s="15" t="s">
        <v>1472</v>
      </c>
      <c r="C181" s="16" t="s">
        <v>1483</v>
      </c>
      <c r="D181" s="18" t="str">
        <f ca="1">VLOOKUP(G181, Cards!A:B, 2, FALSE)</f>
        <v>مهدي ابراهيميان</v>
      </c>
      <c r="E181" s="18">
        <v>0</v>
      </c>
      <c r="F181" s="19">
        <v>5000000</v>
      </c>
      <c r="G181" s="21" t="str">
        <f ca="1">IFERROR(__xludf.DUMMYFUNCTION("REGEXEXTRACT(C182, ""ک\s(\d{16})"")"),"6219861050987337")</f>
        <v>6219861050987337</v>
      </c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spans="1:27" ht="25.5" customHeight="1">
      <c r="A182" s="15">
        <v>181</v>
      </c>
      <c r="B182" s="15" t="s">
        <v>1472</v>
      </c>
      <c r="C182" s="16" t="s">
        <v>1484</v>
      </c>
      <c r="D182" s="18" t="str">
        <f ca="1">VLOOKUP(G182, Cards!A:B, 2, FALSE)</f>
        <v>علي ابراهيميان</v>
      </c>
      <c r="E182" s="18">
        <v>0</v>
      </c>
      <c r="F182" s="19">
        <v>7200</v>
      </c>
      <c r="G182" s="21" t="str">
        <f ca="1">IFERROR(__xludf.DUMMYFUNCTION("REGEXEXTRACT(C183, ""ک\s(\d{16})"")"),"6219861085062957")</f>
        <v>6219861085062957</v>
      </c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spans="1:27" ht="25.5" customHeight="1">
      <c r="A183" s="15">
        <v>182</v>
      </c>
      <c r="B183" s="15" t="s">
        <v>1472</v>
      </c>
      <c r="C183" s="16" t="s">
        <v>1485</v>
      </c>
      <c r="D183" s="18" t="str">
        <f ca="1">VLOOKUP(G183, Cards!A:B, 2, FALSE)</f>
        <v>عليرضا سيد ابادي</v>
      </c>
      <c r="E183" s="18">
        <v>0</v>
      </c>
      <c r="F183" s="19">
        <v>5900000</v>
      </c>
      <c r="G183" s="21" t="str">
        <f ca="1">IFERROR(__xludf.DUMMYFUNCTION("REGEXEXTRACT(C184, ""ک\s(\d{16})"")"),"6104338653250742")</f>
        <v>6104338653250742</v>
      </c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spans="1:27" ht="25.5" customHeight="1">
      <c r="A184" s="15">
        <v>183</v>
      </c>
      <c r="B184" s="15" t="s">
        <v>1472</v>
      </c>
      <c r="C184" s="16" t="s">
        <v>1486</v>
      </c>
      <c r="D184" s="18" t="str">
        <f ca="1">VLOOKUP(G184, Cards!A:B, 2, FALSE)</f>
        <v>علي ابراهيميان</v>
      </c>
      <c r="E184" s="18">
        <v>0</v>
      </c>
      <c r="F184" s="19">
        <v>7200</v>
      </c>
      <c r="G184" s="21" t="str">
        <f ca="1">IFERROR(__xludf.DUMMYFUNCTION("REGEXEXTRACT(C185, ""ک\s(\d{16})"")"),"6219861085062957")</f>
        <v>6219861085062957</v>
      </c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spans="1:27" ht="25.5" customHeight="1">
      <c r="A185" s="15">
        <v>184</v>
      </c>
      <c r="B185" s="15" t="s">
        <v>1472</v>
      </c>
      <c r="C185" s="16" t="s">
        <v>1487</v>
      </c>
      <c r="D185" s="18" t="str">
        <f ca="1">VLOOKUP(G185, Cards!A:B, 2, FALSE)</f>
        <v>محمد مومني</v>
      </c>
      <c r="E185" s="18">
        <v>0</v>
      </c>
      <c r="F185" s="19">
        <v>3500000</v>
      </c>
      <c r="G185" s="21" t="str">
        <f ca="1">IFERROR(__xludf.DUMMYFUNCTION("REGEXEXTRACT(C186, ""ک\s(\d{16})"")"),"6362141055049986")</f>
        <v>6362141055049986</v>
      </c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spans="1:27" ht="25.5" customHeight="1">
      <c r="A186" s="15">
        <v>185</v>
      </c>
      <c r="B186" s="15" t="s">
        <v>1472</v>
      </c>
      <c r="C186" s="16" t="s">
        <v>1488</v>
      </c>
      <c r="D186" s="18" t="e">
        <f ca="1">VLOOKUP(G186, Cards!A:B, 2, FALSE)</f>
        <v>#N/A</v>
      </c>
      <c r="E186" s="18">
        <v>500000</v>
      </c>
      <c r="F186" s="19">
        <v>0</v>
      </c>
      <c r="G186" s="21" t="str">
        <f ca="1">IFERROR(__xludf.DUMMYFUNCTION("REGEXEXTRACT(C187, ""ک\s(\d{16})"")"),"5057851033294510")</f>
        <v>5057851033294510</v>
      </c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spans="1:27" ht="25.5" customHeight="1">
      <c r="A187" s="15">
        <v>186</v>
      </c>
      <c r="B187" s="15" t="s">
        <v>1472</v>
      </c>
      <c r="C187" s="16" t="s">
        <v>1489</v>
      </c>
      <c r="D187" s="18" t="str">
        <f ca="1">VLOOKUP(G187, Cards!A:B, 2, FALSE)</f>
        <v>علي ابراهيميان</v>
      </c>
      <c r="E187" s="18">
        <v>0</v>
      </c>
      <c r="F187" s="19">
        <v>1440</v>
      </c>
      <c r="G187" s="21" t="str">
        <f ca="1">IFERROR(__xludf.DUMMYFUNCTION("REGEXEXTRACT(C188, ""ک\s(\d{16})"")"),"6219861085062957")</f>
        <v>6219861085062957</v>
      </c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spans="1:27" ht="25.5" customHeight="1">
      <c r="A188" s="15">
        <v>187</v>
      </c>
      <c r="B188" s="15" t="s">
        <v>1490</v>
      </c>
      <c r="C188" s="16" t="s">
        <v>1491</v>
      </c>
      <c r="D188" s="18" t="str">
        <f ca="1">VLOOKUP(G188, Cards!A:B, 2, FALSE)</f>
        <v>علي ابراهيميان</v>
      </c>
      <c r="E188" s="18">
        <v>0</v>
      </c>
      <c r="F188" s="19">
        <v>10000</v>
      </c>
      <c r="G188" s="21" t="str">
        <f ca="1">IFERROR(__xludf.DUMMYFUNCTION("REGEXEXTRACT(C189, ""ک\s(\d{16})"")"),"6219861085062957")</f>
        <v>6219861085062957</v>
      </c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spans="1:27" ht="25.5" customHeight="1">
      <c r="A189" s="15">
        <v>188</v>
      </c>
      <c r="B189" s="15" t="s">
        <v>1490</v>
      </c>
      <c r="C189" s="16" t="s">
        <v>1492</v>
      </c>
      <c r="D189" s="18" t="e">
        <f ca="1">VLOOKUP(G189, Cards!A:B, 2, FALSE)</f>
        <v>#N/A</v>
      </c>
      <c r="E189" s="18">
        <v>0</v>
      </c>
      <c r="F189" s="19">
        <v>15000000</v>
      </c>
      <c r="G189" s="21" t="str">
        <f ca="1">IFERROR(__xludf.DUMMYFUNCTION("REGEXEXTRACT(C190, ""ک\s(\d{16})"")"),"6104338697697478")</f>
        <v>6104338697697478</v>
      </c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spans="1:27" ht="25.5" customHeight="1">
      <c r="A190" s="15">
        <v>189</v>
      </c>
      <c r="B190" s="15" t="s">
        <v>1490</v>
      </c>
      <c r="C190" s="16" t="s">
        <v>1493</v>
      </c>
      <c r="D190" s="18" t="e">
        <f ca="1">VLOOKUP(G190, Cards!A:B, 2, FALSE)</f>
        <v>#N/A</v>
      </c>
      <c r="E190" s="18">
        <v>2859</v>
      </c>
      <c r="F190" s="19">
        <v>0</v>
      </c>
      <c r="G190" s="21" t="str">
        <f ca="1">IFERROR(__xludf.DUMMYFUNCTION("REGEXEXTRACT(C191, ""ک\s(\d{16})"")"),"#N/A")</f>
        <v>#N/A</v>
      </c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spans="1:27" ht="25.5" customHeight="1">
      <c r="A191" s="15">
        <v>190</v>
      </c>
      <c r="B191" s="15" t="s">
        <v>1494</v>
      </c>
      <c r="C191" s="16" t="s">
        <v>1495</v>
      </c>
      <c r="D191" s="18" t="e">
        <f ca="1">VLOOKUP(G191, Cards!A:B, 2, FALSE)</f>
        <v>#N/A</v>
      </c>
      <c r="E191" s="18">
        <v>49500000</v>
      </c>
      <c r="F191" s="19">
        <v>0</v>
      </c>
      <c r="G191" s="21" t="str">
        <f ca="1">IFERROR(__xludf.DUMMYFUNCTION("REGEXEXTRACT(C192, ""ک\s(\d{16})"")"),"#N/A")</f>
        <v>#N/A</v>
      </c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spans="1:27" ht="25.5" customHeight="1">
      <c r="A192" s="15">
        <v>191</v>
      </c>
      <c r="B192" s="15" t="s">
        <v>1494</v>
      </c>
      <c r="C192" s="16" t="s">
        <v>1496</v>
      </c>
      <c r="D192" s="18" t="str">
        <f ca="1">VLOOKUP(G192, Cards!A:B, 2, FALSE)</f>
        <v>علي ابراهيميان</v>
      </c>
      <c r="E192" s="18">
        <v>0</v>
      </c>
      <c r="F192" s="19">
        <v>7800000</v>
      </c>
      <c r="G192" s="21" t="str">
        <f ca="1">IFERROR(__xludf.DUMMYFUNCTION("REGEXEXTRACT(C193, ""ک\s(\d{16})"")"),"6219861085062957")</f>
        <v>6219861085062957</v>
      </c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spans="1:27" ht="25.5" customHeight="1">
      <c r="A193" s="15">
        <v>192</v>
      </c>
      <c r="B193" s="15" t="s">
        <v>1494</v>
      </c>
      <c r="C193" s="16" t="s">
        <v>1497</v>
      </c>
      <c r="D193" s="18" t="str">
        <f ca="1">VLOOKUP(G193, Cards!A:B, 2, FALSE)</f>
        <v>علي ابراهيميان</v>
      </c>
      <c r="E193" s="18">
        <v>0</v>
      </c>
      <c r="F193" s="19">
        <v>12800</v>
      </c>
      <c r="G193" s="21" t="str">
        <f ca="1">IFERROR(__xludf.DUMMYFUNCTION("REGEXEXTRACT(C194, ""ک\s(\d{16})"")"),"6219861085062957")</f>
        <v>6219861085062957</v>
      </c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spans="1:27" ht="25.5" customHeight="1">
      <c r="A194" s="15">
        <v>193</v>
      </c>
      <c r="B194" s="15" t="s">
        <v>1494</v>
      </c>
      <c r="C194" s="16" t="s">
        <v>1498</v>
      </c>
      <c r="D194" s="18" t="e">
        <f ca="1">VLOOKUP(G194, Cards!A:B, 2, FALSE)</f>
        <v>#N/A</v>
      </c>
      <c r="E194" s="18">
        <v>0</v>
      </c>
      <c r="F194" s="19">
        <v>25000000</v>
      </c>
      <c r="G194" s="21" t="str">
        <f ca="1">IFERROR(__xludf.DUMMYFUNCTION("REGEXEXTRACT(C195, ""ک\s(\d{16})"")"),"6104338697697478")</f>
        <v>6104338697697478</v>
      </c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spans="1:27" ht="25.5" customHeight="1">
      <c r="A195" s="15">
        <v>194</v>
      </c>
      <c r="B195" s="15" t="s">
        <v>1499</v>
      </c>
      <c r="C195" s="16" t="s">
        <v>1500</v>
      </c>
      <c r="D195" s="18" t="str">
        <f ca="1">VLOOKUP(G195, Cards!A:B, 2, FALSE)</f>
        <v>علي ابراهيميان</v>
      </c>
      <c r="E195" s="18">
        <v>0</v>
      </c>
      <c r="F195" s="19">
        <v>10000</v>
      </c>
      <c r="G195" s="21" t="str">
        <f ca="1">IFERROR(__xludf.DUMMYFUNCTION("REGEXEXTRACT(C196, ""ک\s(\d{16})"")"),"6219861085062957")</f>
        <v>6219861085062957</v>
      </c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spans="1:27" ht="25.5" customHeight="1">
      <c r="A196" s="15">
        <v>195</v>
      </c>
      <c r="B196" s="15" t="s">
        <v>1499</v>
      </c>
      <c r="C196" s="16" t="s">
        <v>1501</v>
      </c>
      <c r="D196" s="18" t="e">
        <f ca="1">VLOOKUP(G196, Cards!A:B, 2, FALSE)</f>
        <v>#N/A</v>
      </c>
      <c r="E196" s="18">
        <v>0</v>
      </c>
      <c r="F196" s="19">
        <v>10150000</v>
      </c>
      <c r="G196" s="21" t="str">
        <f ca="1">IFERROR(__xludf.DUMMYFUNCTION("REGEXEXTRACT(C197, ""ک\s(\d{16})"")"),"6037701619881540")</f>
        <v>6037701619881540</v>
      </c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spans="1:27" ht="25.5" customHeight="1">
      <c r="A197" s="15">
        <v>196</v>
      </c>
      <c r="B197" s="15" t="s">
        <v>1499</v>
      </c>
      <c r="C197" s="16" t="s">
        <v>1502</v>
      </c>
      <c r="D197" s="18" t="str">
        <f ca="1">VLOOKUP(G197, Cards!A:B, 2, FALSE)</f>
        <v>علي ابراهيميان</v>
      </c>
      <c r="E197" s="18">
        <v>0</v>
      </c>
      <c r="F197" s="19">
        <v>21200</v>
      </c>
      <c r="G197" s="21" t="str">
        <f ca="1">IFERROR(__xludf.DUMMYFUNCTION("REGEXEXTRACT(C198, ""ک\s(\d{16})"")"),"6219861085062957")</f>
        <v>6219861085062957</v>
      </c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spans="1:27" ht="25.5" customHeight="1">
      <c r="A198" s="15">
        <v>197</v>
      </c>
      <c r="B198" s="15" t="s">
        <v>1499</v>
      </c>
      <c r="C198" s="16" t="s">
        <v>1503</v>
      </c>
      <c r="D198" s="18" t="str">
        <f ca="1">VLOOKUP(G198, Cards!A:B, 2, FALSE)</f>
        <v>محسن خانگاه</v>
      </c>
      <c r="E198" s="18">
        <v>0</v>
      </c>
      <c r="F198" s="19">
        <v>51530000</v>
      </c>
      <c r="G198" s="21" t="str">
        <f ca="1">IFERROR(__xludf.DUMMYFUNCTION("REGEXEXTRACT(C199, ""ک\s(\d{16})"")"),"6274121208660688")</f>
        <v>6274121208660688</v>
      </c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ht="25.5" customHeight="1">
      <c r="A199" s="15">
        <v>198</v>
      </c>
      <c r="B199" s="15" t="s">
        <v>1499</v>
      </c>
      <c r="C199" s="16" t="s">
        <v>1504</v>
      </c>
      <c r="D199" s="18" t="str">
        <f ca="1">VLOOKUP(G199, Cards!A:B, 2, FALSE)</f>
        <v>علي ابراهيميان</v>
      </c>
      <c r="E199" s="18">
        <v>0</v>
      </c>
      <c r="F199" s="19">
        <v>10000</v>
      </c>
      <c r="G199" s="21" t="str">
        <f ca="1">IFERROR(__xludf.DUMMYFUNCTION("REGEXEXTRACT(C200, ""ک\s(\d{16})"")"),"6219861085062957")</f>
        <v>6219861085062957</v>
      </c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spans="1:27" ht="25.5" customHeight="1">
      <c r="A200" s="15">
        <v>199</v>
      </c>
      <c r="B200" s="15" t="s">
        <v>1499</v>
      </c>
      <c r="C200" s="16" t="s">
        <v>1505</v>
      </c>
      <c r="D200" s="18" t="str">
        <f ca="1">VLOOKUP(G200, Cards!A:B, 2, FALSE)</f>
        <v>محمد کريمي</v>
      </c>
      <c r="E200" s="18">
        <v>0</v>
      </c>
      <c r="F200" s="19">
        <v>18295200</v>
      </c>
      <c r="G200" s="21" t="str">
        <f ca="1">IFERROR(__xludf.DUMMYFUNCTION("REGEXEXTRACT(C201, ""ک\s(\d{16})"")"),"5892101643117522")</f>
        <v>5892101643117522</v>
      </c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spans="1:27" ht="25.5" customHeight="1">
      <c r="A201" s="15">
        <v>200</v>
      </c>
      <c r="B201" s="15" t="s">
        <v>1499</v>
      </c>
      <c r="C201" s="16" t="s">
        <v>1506</v>
      </c>
      <c r="D201" s="18" t="str">
        <f ca="1">VLOOKUP(G201, Cards!A:B, 2, FALSE)</f>
        <v>علي ابراهيميان</v>
      </c>
      <c r="E201" s="18">
        <v>0</v>
      </c>
      <c r="F201" s="19">
        <v>10000</v>
      </c>
      <c r="G201" s="21" t="str">
        <f ca="1">IFERROR(__xludf.DUMMYFUNCTION("REGEXEXTRACT(C202, ""ک\s(\d{16})"")"),"6219861085062957")</f>
        <v>6219861085062957</v>
      </c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spans="1:27" ht="25.5" customHeight="1">
      <c r="A202" s="15">
        <v>201</v>
      </c>
      <c r="B202" s="15" t="s">
        <v>1499</v>
      </c>
      <c r="C202" s="16" t="s">
        <v>1507</v>
      </c>
      <c r="D202" s="18" t="str">
        <f ca="1">VLOOKUP(G202, Cards!A:B, 2, FALSE)</f>
        <v>عليرضا سيد ابادي</v>
      </c>
      <c r="E202" s="18">
        <v>0</v>
      </c>
      <c r="F202" s="19">
        <v>20000000</v>
      </c>
      <c r="G202" s="21" t="str">
        <f ca="1">IFERROR(__xludf.DUMMYFUNCTION("REGEXEXTRACT(C203, ""ک\s(\d{16})"")"),"6104338653250742")</f>
        <v>6104338653250742</v>
      </c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spans="1:27" ht="25.5" customHeight="1">
      <c r="A203" s="15">
        <v>202</v>
      </c>
      <c r="B203" s="15" t="s">
        <v>1499</v>
      </c>
      <c r="C203" s="16" t="s">
        <v>1508</v>
      </c>
      <c r="D203" s="18" t="e">
        <f ca="1">VLOOKUP(G203, Cards!A:B, 2, FALSE)</f>
        <v>#N/A</v>
      </c>
      <c r="E203" s="18">
        <v>350000</v>
      </c>
      <c r="F203" s="19">
        <v>0</v>
      </c>
      <c r="G203" s="21" t="str">
        <f ca="1">IFERROR(__xludf.DUMMYFUNCTION("REGEXEXTRACT(C204, ""ک\s(\d{16})"")"),"5859831818205105")</f>
        <v>5859831818205105</v>
      </c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spans="1:27" ht="25.5" customHeight="1">
      <c r="A204" s="15">
        <v>203</v>
      </c>
      <c r="B204" s="15" t="s">
        <v>1499</v>
      </c>
      <c r="C204" s="16" t="s">
        <v>1509</v>
      </c>
      <c r="D204" s="18" t="e">
        <f ca="1">VLOOKUP(G204, Cards!A:B, 2, FALSE)</f>
        <v>#N/A</v>
      </c>
      <c r="E204" s="18">
        <v>1650000</v>
      </c>
      <c r="F204" s="19">
        <v>0</v>
      </c>
      <c r="G204" s="21" t="str">
        <f ca="1">IFERROR(__xludf.DUMMYFUNCTION("REGEXEXTRACT(C205, ""ک\s(\d{16})"")"),"6037697676609438")</f>
        <v>6037697676609438</v>
      </c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spans="1:27" ht="25.5" customHeight="1">
      <c r="A205" s="15">
        <v>204</v>
      </c>
      <c r="B205" s="15" t="s">
        <v>1499</v>
      </c>
      <c r="C205" s="16" t="s">
        <v>1510</v>
      </c>
      <c r="D205" s="18" t="e">
        <f ca="1">VLOOKUP(G205, Cards!A:B, 2, FALSE)</f>
        <v>#N/A</v>
      </c>
      <c r="E205" s="18">
        <v>500000</v>
      </c>
      <c r="F205" s="19">
        <v>0</v>
      </c>
      <c r="G205" s="21" t="str">
        <f ca="1">IFERROR(__xludf.DUMMYFUNCTION("REGEXEXTRACT(C206, ""ک\s(\d{16})"")"),"6037997479820061")</f>
        <v>6037997479820061</v>
      </c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spans="1:27" ht="25.5" customHeight="1">
      <c r="A206" s="15">
        <v>205</v>
      </c>
      <c r="B206" s="15" t="s">
        <v>1499</v>
      </c>
      <c r="C206" s="16" t="s">
        <v>1511</v>
      </c>
      <c r="D206" s="18" t="str">
        <f ca="1">VLOOKUP(G206, Cards!A:B, 2, FALSE)</f>
        <v>علي ابراهيميان</v>
      </c>
      <c r="E206" s="18">
        <v>0</v>
      </c>
      <c r="F206" s="19">
        <v>1440</v>
      </c>
      <c r="G206" s="21" t="str">
        <f ca="1">IFERROR(__xludf.DUMMYFUNCTION("REGEXEXTRACT(C207, ""ک\s(\d{16})"")"),"6219861085062957")</f>
        <v>6219861085062957</v>
      </c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spans="1:27" ht="25.5" customHeight="1">
      <c r="A207" s="15">
        <v>206</v>
      </c>
      <c r="B207" s="15" t="s">
        <v>1499</v>
      </c>
      <c r="C207" s="16" t="s">
        <v>1512</v>
      </c>
      <c r="D207" s="18" t="e">
        <f ca="1">VLOOKUP(G207, Cards!A:B, 2, FALSE)</f>
        <v>#N/A</v>
      </c>
      <c r="E207" s="18">
        <v>135000000</v>
      </c>
      <c r="F207" s="19">
        <v>0</v>
      </c>
      <c r="G207" s="21" t="str">
        <f ca="1">IFERROR(__xludf.DUMMYFUNCTION("REGEXEXTRACT(C208, ""ک\s(\d{16})"")"),"#N/A")</f>
        <v>#N/A</v>
      </c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spans="1:27" ht="25.5" customHeight="1">
      <c r="A208" s="15">
        <v>207</v>
      </c>
      <c r="B208" s="15" t="s">
        <v>1513</v>
      </c>
      <c r="C208" s="16" t="s">
        <v>1514</v>
      </c>
      <c r="D208" s="18" t="str">
        <f ca="1">VLOOKUP(G208, Cards!A:B, 2, FALSE)</f>
        <v>علي ابراهيميان</v>
      </c>
      <c r="E208" s="18">
        <v>0</v>
      </c>
      <c r="F208" s="19">
        <v>7200</v>
      </c>
      <c r="G208" s="21" t="str">
        <f ca="1">IFERROR(__xludf.DUMMYFUNCTION("REGEXEXTRACT(C209, ""ک\s(\d{16})"")"),"6219861085062957")</f>
        <v>6219861085062957</v>
      </c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spans="1:27" ht="25.5" customHeight="1">
      <c r="A209" s="15">
        <v>208</v>
      </c>
      <c r="B209" s="15" t="s">
        <v>1513</v>
      </c>
      <c r="C209" s="16" t="s">
        <v>1515</v>
      </c>
      <c r="D209" s="18" t="e">
        <f ca="1">VLOOKUP(G209, Cards!A:B, 2, FALSE)</f>
        <v>#N/A</v>
      </c>
      <c r="E209" s="18">
        <v>0</v>
      </c>
      <c r="F209" s="19">
        <v>1600000</v>
      </c>
      <c r="G209" s="21" t="str">
        <f ca="1">IFERROR(__xludf.DUMMYFUNCTION("REGEXEXTRACT(C210, ""ک\s(\d{16})"")"),"6037701509719917")</f>
        <v>6037701509719917</v>
      </c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spans="1:27" ht="25.5" customHeight="1">
      <c r="A210" s="15">
        <v>209</v>
      </c>
      <c r="B210" s="15" t="s">
        <v>1513</v>
      </c>
      <c r="C210" s="16" t="s">
        <v>1516</v>
      </c>
      <c r="D210" s="18" t="str">
        <f ca="1">VLOOKUP(G210, Cards!A:B, 2, FALSE)</f>
        <v>علي ابراهيميان</v>
      </c>
      <c r="E210" s="18">
        <v>0</v>
      </c>
      <c r="F210" s="19">
        <v>7200</v>
      </c>
      <c r="G210" s="21" t="str">
        <f ca="1">IFERROR(__xludf.DUMMYFUNCTION("REGEXEXTRACT(C211, ""ک\s(\d{16})"")"),"6219861085062957")</f>
        <v>6219861085062957</v>
      </c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spans="1:27" ht="25.5" customHeight="1">
      <c r="A211" s="15">
        <v>210</v>
      </c>
      <c r="B211" s="15" t="s">
        <v>1513</v>
      </c>
      <c r="C211" s="16" t="s">
        <v>1517</v>
      </c>
      <c r="D211" s="18" t="str">
        <f ca="1">VLOOKUP(G211, Cards!A:B, 2, FALSE)</f>
        <v>محمد مومني</v>
      </c>
      <c r="E211" s="18">
        <v>0</v>
      </c>
      <c r="F211" s="19">
        <v>3500000</v>
      </c>
      <c r="G211" s="21" t="str">
        <f ca="1">IFERROR(__xludf.DUMMYFUNCTION("REGEXEXTRACT(C212, ""ک\s(\d{16})"")"),"6362141055049986")</f>
        <v>6362141055049986</v>
      </c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spans="1:27" ht="25.5" customHeight="1">
      <c r="A212" s="15">
        <v>211</v>
      </c>
      <c r="B212" s="15" t="s">
        <v>1513</v>
      </c>
      <c r="C212" s="16" t="s">
        <v>1518</v>
      </c>
      <c r="D212" s="18" t="str">
        <f ca="1">VLOOKUP(G212, Cards!A:B, 2, FALSE)</f>
        <v>علي ابراهيميان</v>
      </c>
      <c r="E212" s="18">
        <v>0</v>
      </c>
      <c r="F212" s="19">
        <v>1440</v>
      </c>
      <c r="G212" s="21" t="str">
        <f ca="1">IFERROR(__xludf.DUMMYFUNCTION("REGEXEXTRACT(C213, ""ک\s(\d{16})"")"),"6219861085062957")</f>
        <v>6219861085062957</v>
      </c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spans="1:27" ht="25.5" customHeight="1">
      <c r="A213" s="15">
        <v>212</v>
      </c>
      <c r="B213" s="15" t="s">
        <v>1513</v>
      </c>
      <c r="C213" s="16" t="s">
        <v>1519</v>
      </c>
      <c r="D213" s="18" t="str">
        <f ca="1">VLOOKUP(G213, Cards!A:B, 2, FALSE)</f>
        <v>علي ابراهيميان</v>
      </c>
      <c r="E213" s="18">
        <v>0</v>
      </c>
      <c r="F213" s="19">
        <v>26830000</v>
      </c>
      <c r="G213" s="21" t="str">
        <f ca="1">IFERROR(__xludf.DUMMYFUNCTION("REGEXEXTRACT(C214, ""ک\s(\d{16})"")"),"6219861085062957")</f>
        <v>6219861085062957</v>
      </c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spans="1:27" ht="25.5" customHeight="1">
      <c r="A214" s="15">
        <v>213</v>
      </c>
      <c r="B214" s="15" t="s">
        <v>1513</v>
      </c>
      <c r="C214" s="16" t="s">
        <v>1520</v>
      </c>
      <c r="D214" s="18" t="str">
        <f ca="1">VLOOKUP(G214, Cards!A:B, 2, FALSE)</f>
        <v>علي ابراهيميان</v>
      </c>
      <c r="E214" s="18">
        <v>0</v>
      </c>
      <c r="F214" s="19">
        <v>11700000</v>
      </c>
      <c r="G214" s="21" t="str">
        <f ca="1">IFERROR(__xludf.DUMMYFUNCTION("REGEXEXTRACT(C215, ""ک\s(\d{16})"")"),"6219861085062957")</f>
        <v>6219861085062957</v>
      </c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spans="1:27" ht="25.5" customHeight="1">
      <c r="A215" s="15">
        <v>214</v>
      </c>
      <c r="B215" s="15" t="s">
        <v>1513</v>
      </c>
      <c r="C215" s="16" t="s">
        <v>1521</v>
      </c>
      <c r="D215" s="18" t="str">
        <f ca="1">VLOOKUP(G215, Cards!A:B, 2, FALSE)</f>
        <v>علي ابراهيميان</v>
      </c>
      <c r="E215" s="18">
        <v>0</v>
      </c>
      <c r="F215" s="19">
        <v>1440</v>
      </c>
      <c r="G215" s="21" t="str">
        <f ca="1">IFERROR(__xludf.DUMMYFUNCTION("REGEXEXTRACT(C216, ""ک\s(\d{16})"")"),"6219861085062957")</f>
        <v>6219861085062957</v>
      </c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spans="1:27" ht="25.5" customHeight="1">
      <c r="A216" s="15">
        <v>215</v>
      </c>
      <c r="B216" s="15" t="s">
        <v>1513</v>
      </c>
      <c r="C216" s="16" t="s">
        <v>1522</v>
      </c>
      <c r="D216" s="18" t="str">
        <f ca="1">VLOOKUP(G216, Cards!A:B, 2, FALSE)</f>
        <v>علي ابراهيميان</v>
      </c>
      <c r="E216" s="18">
        <v>0</v>
      </c>
      <c r="F216" s="19">
        <v>10000</v>
      </c>
      <c r="G216" s="21" t="str">
        <f ca="1">IFERROR(__xludf.DUMMYFUNCTION("REGEXEXTRACT(C217, ""ک\s(\d{16})"")"),"6219861085062957")</f>
        <v>6219861085062957</v>
      </c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spans="1:27" ht="25.5" customHeight="1">
      <c r="A217" s="15">
        <v>216</v>
      </c>
      <c r="B217" s="15" t="s">
        <v>1513</v>
      </c>
      <c r="C217" s="16" t="s">
        <v>1523</v>
      </c>
      <c r="D217" s="18" t="str">
        <f ca="1">VLOOKUP(G217, Cards!A:B, 2, FALSE)</f>
        <v>محمد کوچکي</v>
      </c>
      <c r="E217" s="18">
        <v>0</v>
      </c>
      <c r="F217" s="19">
        <v>10400000</v>
      </c>
      <c r="G217" s="21" t="str">
        <f ca="1">IFERROR(__xludf.DUMMYFUNCTION("REGEXEXTRACT(C218, ""ک\s(\d{16})"")"),"6037697600840968")</f>
        <v>6037697600840968</v>
      </c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spans="1:27" ht="25.5" customHeight="1">
      <c r="A218" s="15">
        <v>217</v>
      </c>
      <c r="B218" s="15" t="s">
        <v>1513</v>
      </c>
      <c r="C218" s="16" t="s">
        <v>1524</v>
      </c>
      <c r="D218" s="18" t="e">
        <f ca="1">VLOOKUP(G218, Cards!A:B, 2, FALSE)</f>
        <v>#N/A</v>
      </c>
      <c r="E218" s="18">
        <v>1450000</v>
      </c>
      <c r="F218" s="19">
        <v>0</v>
      </c>
      <c r="G218" s="21" t="str">
        <f ca="1">IFERROR(__xludf.DUMMYFUNCTION("REGEXEXTRACT(C219, ""ک\s(\d{16})"")"),"5892101632569626")</f>
        <v>5892101632569626</v>
      </c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spans="1:27" ht="25.5" customHeight="1">
      <c r="A219" s="15">
        <v>218</v>
      </c>
      <c r="B219" s="15" t="s">
        <v>1513</v>
      </c>
      <c r="C219" s="16" t="s">
        <v>1525</v>
      </c>
      <c r="D219" s="18" t="str">
        <f ca="1">VLOOKUP(G219, Cards!A:B, 2, FALSE)</f>
        <v>علي ابراهيميان</v>
      </c>
      <c r="E219" s="18">
        <v>0</v>
      </c>
      <c r="F219" s="19">
        <v>15600</v>
      </c>
      <c r="G219" s="21" t="str">
        <f ca="1">IFERROR(__xludf.DUMMYFUNCTION("REGEXEXTRACT(C220, ""ک\s(\d{16})"")"),"6219861085062957")</f>
        <v>6219861085062957</v>
      </c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spans="1:27" ht="25.5" customHeight="1">
      <c r="A220" s="15">
        <v>219</v>
      </c>
      <c r="B220" s="15" t="s">
        <v>1513</v>
      </c>
      <c r="C220" s="16" t="s">
        <v>1526</v>
      </c>
      <c r="D220" s="18" t="str">
        <f ca="1">VLOOKUP(G220, Cards!A:B, 2, FALSE)</f>
        <v>گلثومه برمهاني</v>
      </c>
      <c r="E220" s="18">
        <v>0</v>
      </c>
      <c r="F220" s="19">
        <v>34459200</v>
      </c>
      <c r="G220" s="21" t="str">
        <f ca="1">IFERROR(__xludf.DUMMYFUNCTION("REGEXEXTRACT(C221, ""ک\s(\d{16})"")"),"5057851012912561")</f>
        <v>5057851012912561</v>
      </c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spans="1:27" ht="25.5" customHeight="1">
      <c r="A221" s="15">
        <v>220</v>
      </c>
      <c r="B221" s="15" t="s">
        <v>1513</v>
      </c>
      <c r="C221" s="16" t="s">
        <v>1527</v>
      </c>
      <c r="D221" s="18" t="str">
        <f ca="1">VLOOKUP(G221, Cards!A:B, 2, FALSE)</f>
        <v>علي ابراهيميان</v>
      </c>
      <c r="E221" s="18">
        <v>0</v>
      </c>
      <c r="F221" s="19">
        <v>15600</v>
      </c>
      <c r="G221" s="21" t="str">
        <f ca="1">IFERROR(__xludf.DUMMYFUNCTION("REGEXEXTRACT(C222, ""ک\s(\d{16})"")"),"6219861085062957")</f>
        <v>6219861085062957</v>
      </c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spans="1:27" ht="25.5" customHeight="1">
      <c r="A222" s="15">
        <v>221</v>
      </c>
      <c r="B222" s="15" t="s">
        <v>1513</v>
      </c>
      <c r="C222" s="16" t="s">
        <v>1528</v>
      </c>
      <c r="D222" s="18" t="str">
        <f ca="1">VLOOKUP(G222, Cards!A:B, 2, FALSE)</f>
        <v>محمد کريمي</v>
      </c>
      <c r="E222" s="18">
        <v>0</v>
      </c>
      <c r="F222" s="19">
        <v>36360000</v>
      </c>
      <c r="G222" s="21" t="str">
        <f ca="1">IFERROR(__xludf.DUMMYFUNCTION("REGEXEXTRACT(C223, ""ک\s(\d{16})"")"),"5892101643117522")</f>
        <v>5892101643117522</v>
      </c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spans="1:27" ht="25.5" customHeight="1">
      <c r="A223" s="15">
        <v>222</v>
      </c>
      <c r="B223" s="15" t="s">
        <v>1513</v>
      </c>
      <c r="C223" s="16" t="s">
        <v>1529</v>
      </c>
      <c r="D223" s="18" t="e">
        <f ca="1">VLOOKUP(G223, Cards!A:B, 2, FALSE)</f>
        <v>#N/A</v>
      </c>
      <c r="E223" s="18">
        <v>106000000</v>
      </c>
      <c r="F223" s="19">
        <v>0</v>
      </c>
      <c r="G223" s="21" t="str">
        <f ca="1">IFERROR(__xludf.DUMMYFUNCTION("REGEXEXTRACT(C224, ""ک\s(\d{16})"")"),"#N/A")</f>
        <v>#N/A</v>
      </c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spans="1:27" ht="25.5" customHeight="1">
      <c r="A224" s="15">
        <v>223</v>
      </c>
      <c r="B224" s="15" t="s">
        <v>1513</v>
      </c>
      <c r="C224" s="16" t="s">
        <v>1530</v>
      </c>
      <c r="D224" s="18" t="e">
        <f ca="1">VLOOKUP(G224, Cards!A:B, 2, FALSE)</f>
        <v>#N/A</v>
      </c>
      <c r="E224" s="18">
        <v>9000000</v>
      </c>
      <c r="F224" s="19">
        <v>0</v>
      </c>
      <c r="G224" s="21" t="str">
        <f ca="1">IFERROR(__xludf.DUMMYFUNCTION("REGEXEXTRACT(C225, ""ک\s(\d{16})"")"),"#N/A")</f>
        <v>#N/A</v>
      </c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spans="1:27" ht="25.5" customHeight="1">
      <c r="A225" s="15">
        <v>224</v>
      </c>
      <c r="B225" s="15" t="s">
        <v>1531</v>
      </c>
      <c r="C225" s="16" t="s">
        <v>1532</v>
      </c>
      <c r="D225" s="18" t="e">
        <f ca="1">VLOOKUP(G225, Cards!A:B, 2, FALSE)</f>
        <v>#N/A</v>
      </c>
      <c r="E225" s="18">
        <v>850000</v>
      </c>
      <c r="F225" s="19">
        <v>0</v>
      </c>
      <c r="G225" s="21" t="str">
        <f ca="1">IFERROR(__xludf.DUMMYFUNCTION("REGEXEXTRACT(C226, ""ک\s(\d{16})"")"),"5859831025835926")</f>
        <v>5859831025835926</v>
      </c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spans="1:27" ht="25.5" customHeight="1">
      <c r="A226" s="15">
        <v>225</v>
      </c>
      <c r="B226" s="15" t="s">
        <v>1531</v>
      </c>
      <c r="C226" s="16" t="s">
        <v>1533</v>
      </c>
      <c r="D226" s="18" t="e">
        <f ca="1">VLOOKUP(G226, Cards!A:B, 2, FALSE)</f>
        <v>#N/A</v>
      </c>
      <c r="E226" s="18">
        <v>1600000</v>
      </c>
      <c r="F226" s="19">
        <v>0</v>
      </c>
      <c r="G226" s="21" t="str">
        <f ca="1">IFERROR(__xludf.DUMMYFUNCTION("REGEXEXTRACT(C227, ""ک\s(\d{16})"")"),"6221061235290667")</f>
        <v>6221061235290667</v>
      </c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spans="1:27" ht="25.5" customHeight="1">
      <c r="A227" s="15">
        <v>226</v>
      </c>
      <c r="B227" s="15" t="s">
        <v>1531</v>
      </c>
      <c r="C227" s="16" t="s">
        <v>1534</v>
      </c>
      <c r="D227" s="18" t="e">
        <f ca="1">VLOOKUP(G227, Cards!A:B, 2, FALSE)</f>
        <v>#N/A</v>
      </c>
      <c r="E227" s="18">
        <v>1100000</v>
      </c>
      <c r="F227" s="19">
        <v>0</v>
      </c>
      <c r="G227" s="21" t="str">
        <f ca="1">IFERROR(__xludf.DUMMYFUNCTION("REGEXEXTRACT(C228, ""ک\s(\d{16})"")"),"5892101625162702")</f>
        <v>5892101625162702</v>
      </c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spans="1:27" ht="25.5" customHeight="1">
      <c r="A228" s="15">
        <v>227</v>
      </c>
      <c r="B228" s="15" t="s">
        <v>1531</v>
      </c>
      <c r="C228" s="16" t="s">
        <v>1535</v>
      </c>
      <c r="D228" s="18" t="str">
        <f ca="1">VLOOKUP(G228, Cards!A:B, 2, FALSE)</f>
        <v>حسين ميربلوک</v>
      </c>
      <c r="E228" s="18">
        <v>550000</v>
      </c>
      <c r="F228" s="19">
        <v>0</v>
      </c>
      <c r="G228" s="21" t="str">
        <f ca="1">IFERROR(__xludf.DUMMYFUNCTION("REGEXEXTRACT(C229, ""ک\s(\d{16})"")"),"6037697681149024")</f>
        <v>6037697681149024</v>
      </c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spans="1:27" ht="25.5" customHeight="1">
      <c r="A229" s="15">
        <v>228</v>
      </c>
      <c r="B229" s="15" t="s">
        <v>1531</v>
      </c>
      <c r="C229" s="16" t="s">
        <v>1536</v>
      </c>
      <c r="D229" s="18" t="str">
        <f ca="1">VLOOKUP(G229, Cards!A:B, 2, FALSE)</f>
        <v>علي ابراهيميان</v>
      </c>
      <c r="E229" s="18">
        <v>0</v>
      </c>
      <c r="F229" s="19">
        <v>1440</v>
      </c>
      <c r="G229" s="21" t="str">
        <f ca="1">IFERROR(__xludf.DUMMYFUNCTION("REGEXEXTRACT(C230, ""ک\s(\d{16})"")"),"6219861085062957")</f>
        <v>6219861085062957</v>
      </c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spans="1:27" ht="25.5" customHeight="1">
      <c r="A230" s="15">
        <v>229</v>
      </c>
      <c r="B230" s="15" t="s">
        <v>1531</v>
      </c>
      <c r="C230" s="16" t="s">
        <v>1537</v>
      </c>
      <c r="D230" s="18" t="str">
        <f ca="1">VLOOKUP(G230, Cards!A:B, 2, FALSE)</f>
        <v>علي ابراهيميان</v>
      </c>
      <c r="E230" s="18">
        <v>0</v>
      </c>
      <c r="F230" s="19">
        <v>10000</v>
      </c>
      <c r="G230" s="21" t="str">
        <f ca="1">IFERROR(__xludf.DUMMYFUNCTION("REGEXEXTRACT(C231, ""ک\s(\d{16})"")"),"6219861085062957")</f>
        <v>6219861085062957</v>
      </c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spans="1:27" ht="25.5" customHeight="1">
      <c r="A231" s="15">
        <v>230</v>
      </c>
      <c r="B231" s="15" t="s">
        <v>1531</v>
      </c>
      <c r="C231" s="16" t="s">
        <v>1538</v>
      </c>
      <c r="D231" s="18" t="str">
        <f ca="1">VLOOKUP(G231, Cards!A:B, 2, FALSE)</f>
        <v>طاهره برمهاني</v>
      </c>
      <c r="E231" s="18">
        <v>0</v>
      </c>
      <c r="F231" s="19">
        <v>11700000</v>
      </c>
      <c r="G231" s="21" t="str">
        <f ca="1">IFERROR(__xludf.DUMMYFUNCTION("REGEXEXTRACT(C232, ""ک\s(\d{16})"")"),"6280231511386376")</f>
        <v>6280231511386376</v>
      </c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spans="1:27" ht="25.5" customHeight="1">
      <c r="A232" s="15">
        <v>231</v>
      </c>
      <c r="B232" s="15" t="s">
        <v>1531</v>
      </c>
      <c r="C232" s="16" t="s">
        <v>1539</v>
      </c>
      <c r="D232" s="18" t="str">
        <f ca="1">VLOOKUP(G232, Cards!A:B, 2, FALSE)</f>
        <v>علي ابراهيميان</v>
      </c>
      <c r="E232" s="18">
        <v>0</v>
      </c>
      <c r="F232" s="19">
        <v>10000</v>
      </c>
      <c r="G232" s="21" t="str">
        <f ca="1">IFERROR(__xludf.DUMMYFUNCTION("REGEXEXTRACT(C233, ""ک\s(\d{16})"")"),"6219861085062957")</f>
        <v>6219861085062957</v>
      </c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spans="1:27" ht="25.5" customHeight="1">
      <c r="A233" s="15">
        <v>232</v>
      </c>
      <c r="B233" s="15" t="s">
        <v>1531</v>
      </c>
      <c r="C233" s="16" t="s">
        <v>1540</v>
      </c>
      <c r="D233" s="18" t="str">
        <f ca="1">VLOOKUP(G233, Cards!A:B, 2, FALSE)</f>
        <v>گلثومه برمهاني</v>
      </c>
      <c r="E233" s="18">
        <v>0</v>
      </c>
      <c r="F233" s="19">
        <v>20000000</v>
      </c>
      <c r="G233" s="21" t="str">
        <f ca="1">IFERROR(__xludf.DUMMYFUNCTION("REGEXEXTRACT(C234, ""ک\s(\d{16})"")"),"5057851012912561")</f>
        <v>5057851012912561</v>
      </c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spans="1:27" ht="25.5" customHeight="1">
      <c r="A234" s="15">
        <v>233</v>
      </c>
      <c r="B234" s="15" t="s">
        <v>1531</v>
      </c>
      <c r="C234" s="16" t="s">
        <v>1541</v>
      </c>
      <c r="D234" s="18" t="str">
        <f ca="1">VLOOKUP(G234, Cards!A:B, 2, FALSE)</f>
        <v>علي ابراهيميان</v>
      </c>
      <c r="E234" s="18">
        <v>0</v>
      </c>
      <c r="F234" s="19">
        <v>18400</v>
      </c>
      <c r="G234" s="21" t="str">
        <f ca="1">IFERROR(__xludf.DUMMYFUNCTION("REGEXEXTRACT(C235, ""ک\s(\d{16})"")"),"6219861085062957")</f>
        <v>6219861085062957</v>
      </c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spans="1:27" ht="25.5" customHeight="1">
      <c r="A235" s="15">
        <v>234</v>
      </c>
      <c r="B235" s="15" t="s">
        <v>1531</v>
      </c>
      <c r="C235" s="16" t="s">
        <v>1542</v>
      </c>
      <c r="D235" s="18" t="str">
        <f ca="1">VLOOKUP(G235, Cards!A:B, 2, FALSE)</f>
        <v>محسن عاملي</v>
      </c>
      <c r="E235" s="18">
        <v>0</v>
      </c>
      <c r="F235" s="19">
        <v>50000000</v>
      </c>
      <c r="G235" s="21" t="str">
        <f ca="1">IFERROR(__xludf.DUMMYFUNCTION("REGEXEXTRACT(C236, ""ک\s(\d{16})"")"),"6104337886219300")</f>
        <v>6104337886219300</v>
      </c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spans="1:27" ht="25.5" customHeight="1">
      <c r="A236" s="15">
        <v>235</v>
      </c>
      <c r="B236" s="15" t="s">
        <v>1531</v>
      </c>
      <c r="C236" s="16" t="s">
        <v>1543</v>
      </c>
      <c r="D236" s="18" t="str">
        <f ca="1">VLOOKUP(G236, Cards!A:B, 2, FALSE)</f>
        <v>علي ابراهيميان</v>
      </c>
      <c r="E236" s="18">
        <v>0</v>
      </c>
      <c r="F236" s="19">
        <v>10000</v>
      </c>
      <c r="G236" s="21" t="str">
        <f ca="1">IFERROR(__xludf.DUMMYFUNCTION("REGEXEXTRACT(C237, ""ک\s(\d{16})"")"),"6219861085062957")</f>
        <v>6219861085062957</v>
      </c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spans="1:27" ht="25.5" customHeight="1">
      <c r="A237" s="15">
        <v>236</v>
      </c>
      <c r="B237" s="15" t="s">
        <v>1531</v>
      </c>
      <c r="C237" s="16" t="s">
        <v>1544</v>
      </c>
      <c r="D237" s="18" t="str">
        <f ca="1">VLOOKUP(G237, Cards!A:B, 2, FALSE)</f>
        <v>مجيد شجاع پور</v>
      </c>
      <c r="E237" s="18">
        <v>0</v>
      </c>
      <c r="F237" s="19">
        <v>15905000</v>
      </c>
      <c r="G237" s="21" t="str">
        <f ca="1">IFERROR(__xludf.DUMMYFUNCTION("REGEXEXTRACT(C238, ""ک\s(\d{16})"")"),"5892101626109181")</f>
        <v>5892101626109181</v>
      </c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spans="1:27" ht="25.5" customHeight="1">
      <c r="A238" s="15">
        <v>237</v>
      </c>
      <c r="B238" s="15" t="s">
        <v>1531</v>
      </c>
      <c r="C238" s="16" t="s">
        <v>1545</v>
      </c>
      <c r="D238" s="18" t="str">
        <f ca="1">VLOOKUP(G238, Cards!A:B, 2, FALSE)</f>
        <v>علي ابراهيميان</v>
      </c>
      <c r="E238" s="18">
        <v>0</v>
      </c>
      <c r="F238" s="19">
        <v>11600000</v>
      </c>
      <c r="G238" s="21" t="str">
        <f ca="1">IFERROR(__xludf.DUMMYFUNCTION("REGEXEXTRACT(C239, ""ک\s(\d{16})"")"),"6219861085062957")</f>
        <v>6219861085062957</v>
      </c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spans="1:27" ht="25.5" customHeight="1">
      <c r="A239" s="15">
        <v>238</v>
      </c>
      <c r="B239" s="15" t="s">
        <v>1531</v>
      </c>
      <c r="C239" s="16" t="s">
        <v>1546</v>
      </c>
      <c r="D239" s="18" t="e">
        <f ca="1">VLOOKUP(G239, Cards!A:B, 2, FALSE)</f>
        <v>#N/A</v>
      </c>
      <c r="E239" s="18">
        <v>115000000</v>
      </c>
      <c r="F239" s="19">
        <v>0</v>
      </c>
      <c r="G239" s="21" t="str">
        <f ca="1">IFERROR(__xludf.DUMMYFUNCTION("REGEXEXTRACT(C240, ""ک\s(\d{16})"")"),"#N/A")</f>
        <v>#N/A</v>
      </c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spans="1:27" ht="25.5" customHeight="1">
      <c r="A240" s="15">
        <v>239</v>
      </c>
      <c r="B240" s="15" t="s">
        <v>1547</v>
      </c>
      <c r="C240" s="16" t="s">
        <v>1548</v>
      </c>
      <c r="D240" s="18" t="str">
        <f ca="1">VLOOKUP(G240, Cards!A:B, 2, FALSE)</f>
        <v>علي ابراهيميان</v>
      </c>
      <c r="E240" s="18">
        <v>0</v>
      </c>
      <c r="F240" s="19">
        <v>1440</v>
      </c>
      <c r="G240" s="21" t="str">
        <f ca="1">IFERROR(__xludf.DUMMYFUNCTION("REGEXEXTRACT(C241, ""ک\s(\d{16})"")"),"6219861085062957")</f>
        <v>6219861085062957</v>
      </c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spans="1:27" ht="25.5" customHeight="1">
      <c r="A241" s="15">
        <v>240</v>
      </c>
      <c r="B241" s="15" t="s">
        <v>1547</v>
      </c>
      <c r="C241" s="16" t="s">
        <v>1549</v>
      </c>
      <c r="D241" s="18" t="e">
        <f ca="1">VLOOKUP(G241, Cards!A:B, 2, FALSE)</f>
        <v>#N/A</v>
      </c>
      <c r="E241" s="18">
        <v>550000</v>
      </c>
      <c r="F241" s="19">
        <v>0</v>
      </c>
      <c r="G241" s="21" t="str">
        <f ca="1">IFERROR(__xludf.DUMMYFUNCTION("REGEXEXTRACT(C242, ""ک\s(\d{16})"")"),"6037701641558355")</f>
        <v>6037701641558355</v>
      </c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spans="1:27" ht="25.5" customHeight="1">
      <c r="A242" s="15">
        <v>241</v>
      </c>
      <c r="B242" s="15" t="s">
        <v>1547</v>
      </c>
      <c r="C242" s="16" t="s">
        <v>1550</v>
      </c>
      <c r="D242" s="18" t="e">
        <f ca="1">VLOOKUP(G242, Cards!A:B, 2, FALSE)</f>
        <v>#N/A</v>
      </c>
      <c r="E242" s="18">
        <v>1750000</v>
      </c>
      <c r="F242" s="19">
        <v>0</v>
      </c>
      <c r="G242" s="21" t="str">
        <f ca="1">IFERROR(__xludf.DUMMYFUNCTION("REGEXEXTRACT(C243, ""ک\s(\d{16})"")"),"5047061664151715")</f>
        <v>5047061664151715</v>
      </c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spans="1:27" ht="25.5" customHeight="1">
      <c r="A243" s="15">
        <v>242</v>
      </c>
      <c r="B243" s="15" t="s">
        <v>1547</v>
      </c>
      <c r="C243" s="16" t="s">
        <v>1551</v>
      </c>
      <c r="D243" s="18" t="e">
        <f ca="1">VLOOKUP(G243, Cards!A:B, 2, FALSE)</f>
        <v>#N/A</v>
      </c>
      <c r="E243" s="18">
        <v>950000</v>
      </c>
      <c r="F243" s="19">
        <v>0</v>
      </c>
      <c r="G243" s="21" t="str">
        <f ca="1">IFERROR(__xludf.DUMMYFUNCTION("REGEXEXTRACT(C244, ""ک\s(\d{16})"")"),"6104338783451012")</f>
        <v>6104338783451012</v>
      </c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spans="1:27" ht="25.5" customHeight="1">
      <c r="A244" s="15">
        <v>243</v>
      </c>
      <c r="B244" s="15" t="s">
        <v>1547</v>
      </c>
      <c r="C244" s="16" t="s">
        <v>1552</v>
      </c>
      <c r="D244" s="18" t="str">
        <f ca="1">VLOOKUP(G244, Cards!A:B, 2, FALSE)</f>
        <v>علي ابراهيميان</v>
      </c>
      <c r="E244" s="18">
        <v>0</v>
      </c>
      <c r="F244" s="19">
        <v>15600000</v>
      </c>
      <c r="G244" s="21" t="str">
        <f ca="1">IFERROR(__xludf.DUMMYFUNCTION("REGEXEXTRACT(C245, ""ک\s(\d{16})"")"),"6219861085062957")</f>
        <v>6219861085062957</v>
      </c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spans="1:27" ht="25.5" customHeight="1">
      <c r="A245" s="15">
        <v>244</v>
      </c>
      <c r="B245" s="15" t="s">
        <v>1547</v>
      </c>
      <c r="C245" s="16" t="s">
        <v>1553</v>
      </c>
      <c r="D245" s="18" t="e">
        <f ca="1">VLOOKUP(G245, Cards!A:B, 2, FALSE)</f>
        <v>#N/A</v>
      </c>
      <c r="E245" s="18">
        <v>0</v>
      </c>
      <c r="F245" s="19">
        <v>31730000</v>
      </c>
      <c r="G245" s="21" t="str">
        <f ca="1">IFERROR(__xludf.DUMMYFUNCTION("REGEXEXTRACT(C246, ""ک\s(\d{16})"")"),"6219861902493468")</f>
        <v>6219861902493468</v>
      </c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spans="1:27" ht="25.5" customHeight="1">
      <c r="A246" s="15">
        <v>245</v>
      </c>
      <c r="B246" s="15" t="s">
        <v>1547</v>
      </c>
      <c r="C246" s="16" t="s">
        <v>1554</v>
      </c>
      <c r="D246" s="18" t="str">
        <f ca="1">VLOOKUP(G246, Cards!A:B, 2, FALSE)</f>
        <v>علي ابراهيميان</v>
      </c>
      <c r="E246" s="18">
        <v>0</v>
      </c>
      <c r="F246" s="19">
        <v>12800</v>
      </c>
      <c r="G246" s="21" t="str">
        <f ca="1">IFERROR(__xludf.DUMMYFUNCTION("REGEXEXTRACT(C247, ""ک\s(\d{16})"")"),"6219861085062957")</f>
        <v>6219861085062957</v>
      </c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spans="1:27" ht="25.5" customHeight="1">
      <c r="A247" s="15">
        <v>246</v>
      </c>
      <c r="B247" s="15" t="s">
        <v>1547</v>
      </c>
      <c r="C247" s="16" t="s">
        <v>1555</v>
      </c>
      <c r="D247" s="18" t="str">
        <f ca="1">VLOOKUP(G247, Cards!A:B, 2, FALSE)</f>
        <v>محسن عاملي</v>
      </c>
      <c r="E247" s="18">
        <v>0</v>
      </c>
      <c r="F247" s="19">
        <v>25000000</v>
      </c>
      <c r="G247" s="21" t="str">
        <f ca="1">IFERROR(__xludf.DUMMYFUNCTION("REGEXEXTRACT(C248, ""ک\s(\d{16})"")"),"6104337886219300")</f>
        <v>6104337886219300</v>
      </c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spans="1:27" ht="25.5" customHeight="1">
      <c r="A248" s="15">
        <v>247</v>
      </c>
      <c r="B248" s="15" t="s">
        <v>1547</v>
      </c>
      <c r="C248" s="16" t="s">
        <v>1556</v>
      </c>
      <c r="D248" s="18" t="str">
        <f ca="1">VLOOKUP(G248, Cards!A:B, 2, FALSE)</f>
        <v>علي ابراهيميان</v>
      </c>
      <c r="E248" s="18">
        <v>0</v>
      </c>
      <c r="F248" s="19">
        <v>10000</v>
      </c>
      <c r="G248" s="21" t="str">
        <f ca="1">IFERROR(__xludf.DUMMYFUNCTION("REGEXEXTRACT(C249, ""ک\s(\d{16})"")"),"6219861085062957")</f>
        <v>6219861085062957</v>
      </c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spans="1:27" ht="25.5" customHeight="1">
      <c r="A249" s="15">
        <v>248</v>
      </c>
      <c r="B249" s="15" t="s">
        <v>1547</v>
      </c>
      <c r="C249" s="16" t="s">
        <v>1557</v>
      </c>
      <c r="D249" s="18" t="str">
        <f ca="1">VLOOKUP(G249, Cards!A:B, 2, FALSE)</f>
        <v>محمد کريمي</v>
      </c>
      <c r="E249" s="18">
        <v>0</v>
      </c>
      <c r="F249" s="19">
        <v>19850000</v>
      </c>
      <c r="G249" s="21" t="str">
        <f ca="1">IFERROR(__xludf.DUMMYFUNCTION("REGEXEXTRACT(C250, ""ک\s(\d{16})"")"),"5892101643117522")</f>
        <v>5892101643117522</v>
      </c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spans="1:27" ht="25.5" customHeight="1">
      <c r="A250" s="15">
        <v>249</v>
      </c>
      <c r="B250" s="15" t="s">
        <v>1547</v>
      </c>
      <c r="C250" s="16" t="s">
        <v>1558</v>
      </c>
      <c r="D250" s="18" t="str">
        <f ca="1">VLOOKUP(G250, Cards!A:B, 2, FALSE)</f>
        <v>علي ابراهيميان</v>
      </c>
      <c r="E250" s="18">
        <v>0</v>
      </c>
      <c r="F250" s="19">
        <v>18400</v>
      </c>
      <c r="G250" s="21" t="str">
        <f ca="1">IFERROR(__xludf.DUMMYFUNCTION("REGEXEXTRACT(C251, ""ک\s(\d{16})"")"),"6219861085062957")</f>
        <v>6219861085062957</v>
      </c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spans="1:27" ht="25.5" customHeight="1">
      <c r="A251" s="15">
        <v>250</v>
      </c>
      <c r="B251" s="15" t="s">
        <v>1547</v>
      </c>
      <c r="C251" s="16" t="s">
        <v>1559</v>
      </c>
      <c r="D251" s="18" t="str">
        <f ca="1">VLOOKUP(G251, Cards!A:B, 2, FALSE)</f>
        <v>محسن خانگاه</v>
      </c>
      <c r="E251" s="18">
        <v>0</v>
      </c>
      <c r="F251" s="19">
        <v>46830000</v>
      </c>
      <c r="G251" s="21" t="str">
        <f ca="1">IFERROR(__xludf.DUMMYFUNCTION("REGEXEXTRACT(C252, ""ک\s(\d{16})"")"),"6274121208660688")</f>
        <v>6274121208660688</v>
      </c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spans="1:27" ht="25.5" customHeight="1">
      <c r="A252" s="15">
        <v>251</v>
      </c>
      <c r="B252" s="15" t="s">
        <v>1547</v>
      </c>
      <c r="C252" s="16" t="s">
        <v>1560</v>
      </c>
      <c r="D252" s="18" t="e">
        <f ca="1">VLOOKUP(G252, Cards!A:B, 2, FALSE)</f>
        <v>#N/A</v>
      </c>
      <c r="E252" s="18">
        <v>80000000</v>
      </c>
      <c r="F252" s="19">
        <v>0</v>
      </c>
      <c r="G252" s="21" t="str">
        <f ca="1">IFERROR(__xludf.DUMMYFUNCTION("REGEXEXTRACT(C253, ""ک\s(\d{16})"")"),"#N/A")</f>
        <v>#N/A</v>
      </c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spans="1:27" ht="25.5" customHeight="1">
      <c r="A253" s="15">
        <v>252</v>
      </c>
      <c r="B253" s="15" t="s">
        <v>1547</v>
      </c>
      <c r="C253" s="16" t="s">
        <v>1561</v>
      </c>
      <c r="D253" s="18" t="e">
        <f ca="1">VLOOKUP(G253, Cards!A:B, 2, FALSE)</f>
        <v>#N/A</v>
      </c>
      <c r="E253" s="18">
        <v>56000000</v>
      </c>
      <c r="F253" s="19">
        <v>0</v>
      </c>
      <c r="G253" s="21" t="str">
        <f ca="1">IFERROR(__xludf.DUMMYFUNCTION("REGEXEXTRACT(C254, ""ک\s(\d{16})"")"),"#N/A")</f>
        <v>#N/A</v>
      </c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spans="1:27" ht="25.5" customHeight="1">
      <c r="A254" s="15">
        <v>253</v>
      </c>
      <c r="B254" s="15" t="s">
        <v>1562</v>
      </c>
      <c r="C254" s="16" t="s">
        <v>1563</v>
      </c>
      <c r="D254" s="18" t="str">
        <f ca="1">VLOOKUP(G254, Cards!A:B, 2, FALSE)</f>
        <v>محمد سيدآبادي</v>
      </c>
      <c r="E254" s="18">
        <v>550000</v>
      </c>
      <c r="F254" s="19">
        <v>0</v>
      </c>
      <c r="G254" s="21" t="str">
        <f ca="1">IFERROR(__xludf.DUMMYFUNCTION("REGEXEXTRACT(C255, ""ک\s(\d{16})"")"),"5892101311895185")</f>
        <v>5892101311895185</v>
      </c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spans="1:27" ht="25.5" customHeight="1">
      <c r="A255" s="15">
        <v>254</v>
      </c>
      <c r="B255" s="15" t="s">
        <v>1562</v>
      </c>
      <c r="C255" s="16" t="s">
        <v>1564</v>
      </c>
      <c r="D255" s="18" t="e">
        <f ca="1">VLOOKUP(G255, Cards!A:B, 2, FALSE)</f>
        <v>#N/A</v>
      </c>
      <c r="E255" s="18">
        <v>1700000</v>
      </c>
      <c r="F255" s="19">
        <v>0</v>
      </c>
      <c r="G255" s="21" t="str">
        <f ca="1">IFERROR(__xludf.DUMMYFUNCTION("REGEXEXTRACT(C256, ""ک\s(\d{16})"")"),"6037998218984200")</f>
        <v>6037998218984200</v>
      </c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spans="1:27" ht="25.5" customHeight="1">
      <c r="A256" s="15">
        <v>255</v>
      </c>
      <c r="B256" s="15" t="s">
        <v>1562</v>
      </c>
      <c r="C256" s="16" t="s">
        <v>1565</v>
      </c>
      <c r="D256" s="18" t="e">
        <f ca="1">VLOOKUP(G256, Cards!A:B, 2, FALSE)</f>
        <v>#N/A</v>
      </c>
      <c r="E256" s="18">
        <v>0</v>
      </c>
      <c r="F256" s="19">
        <v>297000</v>
      </c>
      <c r="G256" s="21" t="str">
        <f ca="1">IFERROR(__xludf.DUMMYFUNCTION("REGEXEXTRACT(C257, ""ک\s(\d{16})"")"),"#N/A")</f>
        <v>#N/A</v>
      </c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spans="1:27" ht="25.5" customHeight="1">
      <c r="A257" s="15">
        <v>256</v>
      </c>
      <c r="B257" s="15" t="s">
        <v>1562</v>
      </c>
      <c r="C257" s="16" t="s">
        <v>1566</v>
      </c>
      <c r="D257" s="18" t="e">
        <f ca="1">VLOOKUP(G257, Cards!A:B, 2, FALSE)</f>
        <v>#N/A</v>
      </c>
      <c r="E257" s="18">
        <v>450000</v>
      </c>
      <c r="F257" s="19">
        <v>0</v>
      </c>
      <c r="G257" s="21" t="str">
        <f ca="1">IFERROR(__xludf.DUMMYFUNCTION("REGEXEXTRACT(C258, ""ک\s(\d{16})"")"),"6221061079086700")</f>
        <v>6221061079086700</v>
      </c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spans="1:27" ht="25.5" customHeight="1">
      <c r="A258" s="15">
        <v>257</v>
      </c>
      <c r="B258" s="15" t="s">
        <v>1562</v>
      </c>
      <c r="C258" s="16" t="s">
        <v>1567</v>
      </c>
      <c r="D258" s="18" t="e">
        <f ca="1">VLOOKUP(G258, Cards!A:B, 2, FALSE)</f>
        <v>#N/A</v>
      </c>
      <c r="E258" s="18">
        <v>550000</v>
      </c>
      <c r="F258" s="19">
        <v>0</v>
      </c>
      <c r="G258" s="21" t="str">
        <f ca="1">IFERROR(__xludf.DUMMYFUNCTION("REGEXEXTRACT(C259, ""ک\s(\d{16})"")"),"6037997487480379")</f>
        <v>6037997487480379</v>
      </c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spans="1:27" ht="25.5" customHeight="1">
      <c r="A259" s="15">
        <v>258</v>
      </c>
      <c r="B259" s="15" t="s">
        <v>1562</v>
      </c>
      <c r="C259" s="16" t="s">
        <v>1568</v>
      </c>
      <c r="D259" s="18" t="e">
        <f ca="1">VLOOKUP(G259, Cards!A:B, 2, FALSE)</f>
        <v>#N/A</v>
      </c>
      <c r="E259" s="18">
        <v>9600000</v>
      </c>
      <c r="F259" s="19">
        <v>0</v>
      </c>
      <c r="G259" s="21" t="str">
        <f ca="1">IFERROR(__xludf.DUMMYFUNCTION("REGEXEXTRACT(C260, ""ک\s(\d{16})"")"),"6280231478146292")</f>
        <v>6280231478146292</v>
      </c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spans="1:27" ht="25.5" customHeight="1">
      <c r="A260" s="15">
        <v>259</v>
      </c>
      <c r="B260" s="15" t="s">
        <v>1562</v>
      </c>
      <c r="C260" s="16" t="s">
        <v>1569</v>
      </c>
      <c r="D260" s="18" t="str">
        <f ca="1">VLOOKUP(G260, Cards!A:B, 2, FALSE)</f>
        <v>حسين ميربلوک</v>
      </c>
      <c r="E260" s="18">
        <v>550000</v>
      </c>
      <c r="F260" s="19">
        <v>0</v>
      </c>
      <c r="G260" s="21" t="str">
        <f ca="1">IFERROR(__xludf.DUMMYFUNCTION("REGEXEXTRACT(C261, ""ک\s(\d{16})"")"),"6037697681149024")</f>
        <v>6037697681149024</v>
      </c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spans="1:27" ht="25.5" customHeight="1">
      <c r="A261" s="15">
        <v>260</v>
      </c>
      <c r="B261" s="15" t="s">
        <v>1562</v>
      </c>
      <c r="C261" s="16" t="s">
        <v>1570</v>
      </c>
      <c r="D261" s="18" t="e">
        <f ca="1">VLOOKUP(G261, Cards!A:B, 2, FALSE)</f>
        <v>#N/A</v>
      </c>
      <c r="E261" s="18">
        <v>550000</v>
      </c>
      <c r="F261" s="19">
        <v>0</v>
      </c>
      <c r="G261" s="21" t="str">
        <f ca="1">IFERROR(__xludf.DUMMYFUNCTION("REGEXEXTRACT(C262, ""ک\s(\d{16})"")"),"5057851033294510")</f>
        <v>5057851033294510</v>
      </c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spans="1:27" ht="25.5" customHeight="1">
      <c r="A262" s="15">
        <v>261</v>
      </c>
      <c r="B262" s="15" t="s">
        <v>1562</v>
      </c>
      <c r="C262" s="16" t="s">
        <v>1571</v>
      </c>
      <c r="D262" s="18" t="str">
        <f ca="1">VLOOKUP(G262, Cards!A:B, 2, FALSE)</f>
        <v>علي ابراهيميان</v>
      </c>
      <c r="E262" s="18">
        <v>0</v>
      </c>
      <c r="F262" s="19">
        <v>1440</v>
      </c>
      <c r="G262" s="21" t="str">
        <f ca="1">IFERROR(__xludf.DUMMYFUNCTION("REGEXEXTRACT(C263, ""ک\s(\d{16})"")"),"6219861085062957")</f>
        <v>6219861085062957</v>
      </c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spans="1:27" ht="25.5" customHeight="1">
      <c r="A263" s="15">
        <v>262</v>
      </c>
      <c r="B263" s="15" t="s">
        <v>1562</v>
      </c>
      <c r="C263" s="16" t="s">
        <v>1572</v>
      </c>
      <c r="D263" s="18" t="str">
        <f ca="1">VLOOKUP(G263, Cards!A:B, 2, FALSE)</f>
        <v>علي ابراهيميان</v>
      </c>
      <c r="E263" s="18">
        <v>0</v>
      </c>
      <c r="F263" s="19">
        <v>18400</v>
      </c>
      <c r="G263" s="21" t="str">
        <f ca="1">IFERROR(__xludf.DUMMYFUNCTION("REGEXEXTRACT(C264, ""ک\s(\d{16})"")"),"6219861085062957")</f>
        <v>6219861085062957</v>
      </c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spans="1:27" ht="25.5" customHeight="1">
      <c r="A264" s="15">
        <v>263</v>
      </c>
      <c r="B264" s="15" t="s">
        <v>1562</v>
      </c>
      <c r="C264" s="16" t="s">
        <v>1573</v>
      </c>
      <c r="D264" s="18" t="str">
        <f ca="1">VLOOKUP(G264, Cards!A:B, 2, FALSE)</f>
        <v>محسن عاملي</v>
      </c>
      <c r="E264" s="18">
        <v>0</v>
      </c>
      <c r="F264" s="19">
        <v>50000000</v>
      </c>
      <c r="G264" s="21" t="str">
        <f ca="1">IFERROR(__xludf.DUMMYFUNCTION("REGEXEXTRACT(C265, ""ک\s(\d{16})"")"),"6104337886219300")</f>
        <v>6104337886219300</v>
      </c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spans="1:27" ht="25.5" customHeight="1">
      <c r="A265" s="15">
        <v>264</v>
      </c>
      <c r="B265" s="15" t="s">
        <v>1562</v>
      </c>
      <c r="C265" s="16" t="s">
        <v>1574</v>
      </c>
      <c r="D265" s="18" t="str">
        <f ca="1">VLOOKUP(G265, Cards!A:B, 2, FALSE)</f>
        <v>علي ابراهيميان</v>
      </c>
      <c r="E265" s="18">
        <v>0</v>
      </c>
      <c r="F265" s="19">
        <v>12800</v>
      </c>
      <c r="G265" s="21" t="str">
        <f ca="1">IFERROR(__xludf.DUMMYFUNCTION("REGEXEXTRACT(C266, ""ک\s(\d{16})"")"),"6219861085062957")</f>
        <v>6219861085062957</v>
      </c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spans="1:27" ht="25.5" customHeight="1">
      <c r="A266" s="15">
        <v>265</v>
      </c>
      <c r="B266" s="15" t="s">
        <v>1562</v>
      </c>
      <c r="C266" s="16" t="s">
        <v>1575</v>
      </c>
      <c r="D266" s="18" t="str">
        <f ca="1">VLOOKUP(G266, Cards!A:B, 2, FALSE)</f>
        <v>عليرضا سيد ابادي</v>
      </c>
      <c r="E266" s="18">
        <v>0</v>
      </c>
      <c r="F266" s="19">
        <v>26550000</v>
      </c>
      <c r="G266" s="21" t="str">
        <f ca="1">IFERROR(__xludf.DUMMYFUNCTION("REGEXEXTRACT(C267, ""ک\s(\d{16})"")"),"6104338653250742")</f>
        <v>6104338653250742</v>
      </c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spans="1:27" ht="25.5" customHeight="1">
      <c r="A267" s="15">
        <v>266</v>
      </c>
      <c r="B267" s="15" t="s">
        <v>1562</v>
      </c>
      <c r="C267" s="16" t="s">
        <v>1576</v>
      </c>
      <c r="D267" s="18" t="str">
        <f ca="1">VLOOKUP(G267, Cards!A:B, 2, FALSE)</f>
        <v>علي ابراهيميان</v>
      </c>
      <c r="E267" s="18">
        <v>0</v>
      </c>
      <c r="F267" s="19">
        <v>7200</v>
      </c>
      <c r="G267" s="21" t="str">
        <f ca="1">IFERROR(__xludf.DUMMYFUNCTION("REGEXEXTRACT(C268, ""ک\s(\d{16})"")"),"6219861085062957")</f>
        <v>6219861085062957</v>
      </c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spans="1:27" ht="25.5" customHeight="1">
      <c r="A268" s="15">
        <v>267</v>
      </c>
      <c r="B268" s="15" t="s">
        <v>1562</v>
      </c>
      <c r="C268" s="16" t="s">
        <v>1577</v>
      </c>
      <c r="D268" s="18" t="e">
        <f ca="1">VLOOKUP(G268, Cards!A:B, 2, FALSE)</f>
        <v>#N/A</v>
      </c>
      <c r="E268" s="18">
        <v>0</v>
      </c>
      <c r="F268" s="19">
        <v>9000000</v>
      </c>
      <c r="G268" s="21" t="str">
        <f ca="1">IFERROR(__xludf.DUMMYFUNCTION("REGEXEXTRACT(C269, ""ک\s(\d{16})"")"),"6037997188987458")</f>
        <v>6037997188987458</v>
      </c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spans="1:27" ht="25.5" customHeight="1">
      <c r="A269" s="15">
        <v>268</v>
      </c>
      <c r="B269" s="15" t="s">
        <v>1562</v>
      </c>
      <c r="C269" s="16" t="s">
        <v>1578</v>
      </c>
      <c r="D269" s="18" t="str">
        <f ca="1">VLOOKUP(G269, Cards!A:B, 2, FALSE)</f>
        <v>علي ابراهيميان</v>
      </c>
      <c r="E269" s="18">
        <v>0</v>
      </c>
      <c r="F269" s="19">
        <v>7200</v>
      </c>
      <c r="G269" s="21" t="str">
        <f ca="1">IFERROR(__xludf.DUMMYFUNCTION("REGEXEXTRACT(C270, ""ک\s(\d{16})"")"),"6219861085062957")</f>
        <v>6219861085062957</v>
      </c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spans="1:27" ht="25.5" customHeight="1">
      <c r="A270" s="15">
        <v>269</v>
      </c>
      <c r="B270" s="15" t="s">
        <v>1562</v>
      </c>
      <c r="C270" s="16" t="s">
        <v>1579</v>
      </c>
      <c r="D270" s="18" t="e">
        <f ca="1">VLOOKUP(G270, Cards!A:B, 2, FALSE)</f>
        <v>#N/A</v>
      </c>
      <c r="E270" s="18">
        <v>0</v>
      </c>
      <c r="F270" s="19">
        <v>9000000</v>
      </c>
      <c r="G270" s="21" t="str">
        <f ca="1">IFERROR(__xludf.DUMMYFUNCTION("REGEXEXTRACT(C271, ""ک\s(\d{16})"")"),"5022291571797925")</f>
        <v>5022291571797925</v>
      </c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spans="1:27" ht="25.5" customHeight="1">
      <c r="A271" s="15">
        <v>270</v>
      </c>
      <c r="B271" s="15" t="s">
        <v>1562</v>
      </c>
      <c r="C271" s="16" t="s">
        <v>1580</v>
      </c>
      <c r="D271" s="18" t="str">
        <f ca="1">VLOOKUP(G271, Cards!A:B, 2, FALSE)</f>
        <v>علي ابراهيميان</v>
      </c>
      <c r="E271" s="18">
        <v>0</v>
      </c>
      <c r="F271" s="19">
        <v>7200</v>
      </c>
      <c r="G271" s="21" t="str">
        <f ca="1">IFERROR(__xludf.DUMMYFUNCTION("REGEXEXTRACT(C272, ""ک\s(\d{16})"")"),"6219861085062957")</f>
        <v>6219861085062957</v>
      </c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spans="1:27" ht="25.5" customHeight="1">
      <c r="A272" s="15">
        <v>271</v>
      </c>
      <c r="B272" s="15" t="s">
        <v>1562</v>
      </c>
      <c r="C272" s="16" t="s">
        <v>1581</v>
      </c>
      <c r="D272" s="18" t="str">
        <f ca="1">VLOOKUP(G272, Cards!A:B, 2, FALSE)</f>
        <v>محمد مومني</v>
      </c>
      <c r="E272" s="18">
        <v>0</v>
      </c>
      <c r="F272" s="19">
        <v>3500000</v>
      </c>
      <c r="G272" s="21" t="str">
        <f ca="1">IFERROR(__xludf.DUMMYFUNCTION("REGEXEXTRACT(C273, ""ک\s(\d{16})"")"),"6362141055049986")</f>
        <v>6362141055049986</v>
      </c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spans="1:27" ht="25.5" customHeight="1">
      <c r="A273" s="15">
        <v>272</v>
      </c>
      <c r="B273" s="15" t="s">
        <v>1562</v>
      </c>
      <c r="C273" s="16" t="s">
        <v>1582</v>
      </c>
      <c r="D273" s="18" t="str">
        <f ca="1">VLOOKUP(G273, Cards!A:B, 2, FALSE)</f>
        <v>علي ابراهيميان</v>
      </c>
      <c r="E273" s="18">
        <v>0</v>
      </c>
      <c r="F273" s="19">
        <v>1440</v>
      </c>
      <c r="G273" s="21" t="str">
        <f ca="1">IFERROR(__xludf.DUMMYFUNCTION("REGEXEXTRACT(C274, ""ک\s(\d{16})"")"),"6219861085062957")</f>
        <v>6219861085062957</v>
      </c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spans="1:27" ht="25.5" customHeight="1">
      <c r="A274" s="15">
        <v>273</v>
      </c>
      <c r="B274" s="15" t="s">
        <v>1583</v>
      </c>
      <c r="C274" s="16" t="s">
        <v>1584</v>
      </c>
      <c r="D274" s="18" t="e">
        <f ca="1">VLOOKUP(G274, Cards!A:B, 2, FALSE)</f>
        <v>#N/A</v>
      </c>
      <c r="E274" s="18">
        <v>4920000</v>
      </c>
      <c r="F274" s="19">
        <v>0</v>
      </c>
      <c r="G274" s="21" t="str">
        <f ca="1">IFERROR(__xludf.DUMMYFUNCTION("REGEXEXTRACT(C275, ""ک\s(\d{16})"")"),"6393461045557127")</f>
        <v>6393461045557127</v>
      </c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spans="1:27" ht="25.5" customHeight="1">
      <c r="A275" s="15">
        <v>274</v>
      </c>
      <c r="B275" s="15" t="s">
        <v>1583</v>
      </c>
      <c r="C275" s="16" t="s">
        <v>1585</v>
      </c>
      <c r="D275" s="18" t="str">
        <f ca="1">VLOOKUP(G275, Cards!A:B, 2, FALSE)</f>
        <v>علي ابراهيميان</v>
      </c>
      <c r="E275" s="18">
        <v>0</v>
      </c>
      <c r="F275" s="19">
        <v>2750000</v>
      </c>
      <c r="G275" s="21" t="str">
        <f ca="1">IFERROR(__xludf.DUMMYFUNCTION("REGEXEXTRACT(C276, ""ک\s(\d{16})"")"),"6219861085062957")</f>
        <v>6219861085062957</v>
      </c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spans="1:27" ht="25.5" customHeight="1">
      <c r="A276" s="15">
        <v>275</v>
      </c>
      <c r="B276" s="15" t="s">
        <v>1583</v>
      </c>
      <c r="C276" s="16" t="s">
        <v>1586</v>
      </c>
      <c r="D276" s="18" t="str">
        <f ca="1">VLOOKUP(G276, Cards!A:B, 2, FALSE)</f>
        <v>علي ابراهيميان</v>
      </c>
      <c r="E276" s="18">
        <v>0</v>
      </c>
      <c r="F276" s="19">
        <v>1200000</v>
      </c>
      <c r="G276" s="21" t="str">
        <f ca="1">IFERROR(__xludf.DUMMYFUNCTION("REGEXEXTRACT(C277, ""ک\s(\d{16})"")"),"6219861085062957")</f>
        <v>6219861085062957</v>
      </c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spans="1:27" ht="25.5" customHeight="1">
      <c r="A277" s="15">
        <v>276</v>
      </c>
      <c r="B277" s="15" t="s">
        <v>1583</v>
      </c>
      <c r="C277" s="16" t="s">
        <v>1587</v>
      </c>
      <c r="D277" s="18" t="str">
        <f ca="1">VLOOKUP(G277, Cards!A:B, 2, FALSE)</f>
        <v>علي ابراهيميان</v>
      </c>
      <c r="E277" s="18">
        <v>0</v>
      </c>
      <c r="F277" s="19">
        <v>7680000</v>
      </c>
      <c r="G277" s="21" t="str">
        <f ca="1">IFERROR(__xludf.DUMMYFUNCTION("REGEXEXTRACT(C278, ""ک\s(\d{16})"")"),"6219861085062957")</f>
        <v>6219861085062957</v>
      </c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spans="1:27" ht="25.5" customHeight="1">
      <c r="A278" s="15">
        <v>277</v>
      </c>
      <c r="B278" s="15" t="s">
        <v>1583</v>
      </c>
      <c r="C278" s="16" t="s">
        <v>1588</v>
      </c>
      <c r="D278" s="18" t="e">
        <f ca="1">VLOOKUP(G278, Cards!A:B, 2, FALSE)</f>
        <v>#N/A</v>
      </c>
      <c r="E278" s="18">
        <v>104000000</v>
      </c>
      <c r="F278" s="19">
        <v>0</v>
      </c>
      <c r="G278" s="21" t="str">
        <f ca="1">IFERROR(__xludf.DUMMYFUNCTION("REGEXEXTRACT(C279, ""ک\s(\d{16})"")"),"#N/A")</f>
        <v>#N/A</v>
      </c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spans="1:27" ht="25.5" customHeight="1">
      <c r="A279" s="15">
        <v>278</v>
      </c>
      <c r="B279" s="15" t="s">
        <v>1589</v>
      </c>
      <c r="C279" s="16" t="s">
        <v>1590</v>
      </c>
      <c r="D279" s="18" t="str">
        <f ca="1">VLOOKUP(G279, Cards!A:B, 2, FALSE)</f>
        <v>علي ابراهيميان</v>
      </c>
      <c r="E279" s="18">
        <v>0</v>
      </c>
      <c r="F279" s="19">
        <v>50000000</v>
      </c>
      <c r="G279" s="21" t="str">
        <f ca="1">IFERROR(__xludf.DUMMYFUNCTION("REGEXEXTRACT(C280, ""ک\s(\d{16})"")"),"6219861085062957")</f>
        <v>6219861085062957</v>
      </c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spans="1:27" ht="25.5" customHeight="1">
      <c r="A280" s="15">
        <v>279</v>
      </c>
      <c r="B280" s="15" t="s">
        <v>1589</v>
      </c>
      <c r="C280" s="16" t="s">
        <v>1591</v>
      </c>
      <c r="D280" s="18" t="str">
        <f ca="1">VLOOKUP(G280, Cards!A:B, 2, FALSE)</f>
        <v>علي ابراهيميان</v>
      </c>
      <c r="E280" s="18">
        <v>0</v>
      </c>
      <c r="F280" s="19">
        <v>1440</v>
      </c>
      <c r="G280" s="21" t="str">
        <f ca="1">IFERROR(__xludf.DUMMYFUNCTION("REGEXEXTRACT(C281, ""ک\s(\d{16})"")"),"6219861085062957")</f>
        <v>6219861085062957</v>
      </c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spans="1:27" ht="25.5" customHeight="1">
      <c r="A281" s="15">
        <v>280</v>
      </c>
      <c r="B281" s="15" t="s">
        <v>1589</v>
      </c>
      <c r="C281" s="16" t="s">
        <v>1592</v>
      </c>
      <c r="D281" s="18" t="e">
        <f ca="1">VLOOKUP(G281, Cards!A:B, 2, FALSE)</f>
        <v>#N/A</v>
      </c>
      <c r="E281" s="18">
        <v>600000</v>
      </c>
      <c r="F281" s="19">
        <v>0</v>
      </c>
      <c r="G281" s="21" t="str">
        <f ca="1">IFERROR(__xludf.DUMMYFUNCTION("REGEXEXTRACT(C282, ""ک\s(\d{16})"")"),"5859831812214202")</f>
        <v>5859831812214202</v>
      </c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spans="1:27" ht="25.5" customHeight="1">
      <c r="A282" s="15">
        <v>281</v>
      </c>
      <c r="B282" s="15" t="s">
        <v>1589</v>
      </c>
      <c r="C282" s="16" t="s">
        <v>1593</v>
      </c>
      <c r="D282" s="18" t="str">
        <f ca="1">VLOOKUP(G282, Cards!A:B, 2, FALSE)</f>
        <v>علي ابراهيميان</v>
      </c>
      <c r="E282" s="18">
        <v>0</v>
      </c>
      <c r="F282" s="19">
        <v>12800</v>
      </c>
      <c r="G282" s="21" t="str">
        <f ca="1">IFERROR(__xludf.DUMMYFUNCTION("REGEXEXTRACT(C283, ""ک\s(\d{16})"")"),"6219861085062957")</f>
        <v>6219861085062957</v>
      </c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spans="1:27" ht="25.5" customHeight="1">
      <c r="A283" s="15">
        <v>282</v>
      </c>
      <c r="B283" s="15" t="s">
        <v>1589</v>
      </c>
      <c r="C283" s="16" t="s">
        <v>1594</v>
      </c>
      <c r="D283" s="18" t="str">
        <f ca="1">VLOOKUP(G283, Cards!A:B, 2, FALSE)</f>
        <v>محسن خانگاه</v>
      </c>
      <c r="E283" s="18">
        <v>0</v>
      </c>
      <c r="F283" s="19">
        <v>21210000</v>
      </c>
      <c r="G283" s="21" t="str">
        <f ca="1">IFERROR(__xludf.DUMMYFUNCTION("REGEXEXTRACT(C284, ""ک\s(\d{16})"")"),"6274121208660688")</f>
        <v>6274121208660688</v>
      </c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spans="1:27" ht="25.5" customHeight="1">
      <c r="A284" s="15">
        <v>283</v>
      </c>
      <c r="B284" s="15" t="s">
        <v>1589</v>
      </c>
      <c r="C284" s="16" t="s">
        <v>1595</v>
      </c>
      <c r="D284" s="18" t="str">
        <f ca="1">VLOOKUP(G284, Cards!A:B, 2, FALSE)</f>
        <v>علي ابراهيميان</v>
      </c>
      <c r="E284" s="18">
        <v>0</v>
      </c>
      <c r="F284" s="19">
        <v>12800</v>
      </c>
      <c r="G284" s="21" t="str">
        <f ca="1">IFERROR(__xludf.DUMMYFUNCTION("REGEXEXTRACT(C285, ""ک\s(\d{16})"")"),"6219861085062957")</f>
        <v>6219861085062957</v>
      </c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spans="1:27" ht="25.5" customHeight="1">
      <c r="A285" s="15">
        <v>284</v>
      </c>
      <c r="B285" s="15" t="s">
        <v>1589</v>
      </c>
      <c r="C285" s="16" t="s">
        <v>1596</v>
      </c>
      <c r="D285" s="18" t="str">
        <f ca="1">VLOOKUP(G285, Cards!A:B, 2, FALSE)</f>
        <v>محمد کريمي</v>
      </c>
      <c r="E285" s="18">
        <v>0</v>
      </c>
      <c r="F285" s="19">
        <v>20332800</v>
      </c>
      <c r="G285" s="21" t="str">
        <f ca="1">IFERROR(__xludf.DUMMYFUNCTION("REGEXEXTRACT(C286, ""ک\s(\d{16})"")"),"5892101643117522")</f>
        <v>5892101643117522</v>
      </c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spans="1:27" ht="25.5" customHeight="1">
      <c r="A286" s="15">
        <v>285</v>
      </c>
      <c r="B286" s="15" t="s">
        <v>1589</v>
      </c>
      <c r="C286" s="16" t="s">
        <v>1597</v>
      </c>
      <c r="D286" s="18" t="str">
        <f ca="1">VLOOKUP(G286, Cards!A:B, 2, FALSE)</f>
        <v>علي ابراهيميان</v>
      </c>
      <c r="E286" s="18">
        <v>0</v>
      </c>
      <c r="F286" s="19">
        <v>10000</v>
      </c>
      <c r="G286" s="21" t="str">
        <f ca="1">IFERROR(__xludf.DUMMYFUNCTION("REGEXEXTRACT(C287, ""ک\s(\d{16})"")"),"6219861085062957")</f>
        <v>6219861085062957</v>
      </c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spans="1:27" ht="25.5" customHeight="1">
      <c r="A287" s="15">
        <v>286</v>
      </c>
      <c r="B287" s="15" t="s">
        <v>1589</v>
      </c>
      <c r="C287" s="16" t="s">
        <v>1598</v>
      </c>
      <c r="D287" s="18" t="str">
        <f ca="1">VLOOKUP(G287, Cards!A:B, 2, FALSE)</f>
        <v>محمد کوچکي</v>
      </c>
      <c r="E287" s="18">
        <v>0</v>
      </c>
      <c r="F287" s="19">
        <v>15600000</v>
      </c>
      <c r="G287" s="21" t="str">
        <f ca="1">IFERROR(__xludf.DUMMYFUNCTION("REGEXEXTRACT(C288, ""ک\s(\d{16})"")"),"6037697600840968")</f>
        <v>6037697600840968</v>
      </c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spans="1:27" ht="25.5" customHeight="1">
      <c r="A288" s="15">
        <v>287</v>
      </c>
      <c r="B288" s="15" t="s">
        <v>1589</v>
      </c>
      <c r="C288" s="16" t="s">
        <v>1599</v>
      </c>
      <c r="D288" s="18" t="str">
        <f ca="1">VLOOKUP(G288, Cards!A:B, 2, FALSE)</f>
        <v>علي ابراهيميان</v>
      </c>
      <c r="E288" s="18">
        <v>0</v>
      </c>
      <c r="F288" s="19">
        <v>1440</v>
      </c>
      <c r="G288" s="21" t="str">
        <f ca="1">IFERROR(__xludf.DUMMYFUNCTION("REGEXEXTRACT(C289, ""ک\s(\d{16})"")"),"6219861085062957")</f>
        <v>6219861085062957</v>
      </c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spans="1:27" ht="25.5" customHeight="1">
      <c r="A289" s="15">
        <v>288</v>
      </c>
      <c r="B289" s="15" t="s">
        <v>1589</v>
      </c>
      <c r="C289" s="16" t="s">
        <v>1600</v>
      </c>
      <c r="D289" s="18" t="str">
        <f ca="1">VLOOKUP(G289, Cards!A:B, 2, FALSE)</f>
        <v>علي ابراهيميان</v>
      </c>
      <c r="E289" s="18">
        <v>0</v>
      </c>
      <c r="F289" s="19">
        <v>16810000</v>
      </c>
      <c r="G289" s="21" t="str">
        <f ca="1">IFERROR(__xludf.DUMMYFUNCTION("REGEXEXTRACT(C290, ""ک\s(\d{16})"")"),"6219861085062957")</f>
        <v>6219861085062957</v>
      </c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spans="1:27" ht="25.5" customHeight="1">
      <c r="A290" s="15">
        <v>289</v>
      </c>
      <c r="B290" s="15" t="s">
        <v>1589</v>
      </c>
      <c r="C290" s="16" t="s">
        <v>1601</v>
      </c>
      <c r="D290" s="18" t="e">
        <f ca="1">VLOOKUP(G290, Cards!A:B, 2, FALSE)</f>
        <v>#N/A</v>
      </c>
      <c r="E290" s="18">
        <v>1600000</v>
      </c>
      <c r="F290" s="19">
        <v>0</v>
      </c>
      <c r="G290" s="21" t="str">
        <f ca="1">IFERROR(__xludf.DUMMYFUNCTION("REGEXEXTRACT(C291, ""ک\s(\d{16})"")"),"6037697582069735")</f>
        <v>6037697582069735</v>
      </c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spans="1:27" ht="25.5" customHeight="1">
      <c r="A291" s="15">
        <v>290</v>
      </c>
      <c r="B291" s="15" t="s">
        <v>1589</v>
      </c>
      <c r="C291" s="16" t="s">
        <v>1602</v>
      </c>
      <c r="D291" s="18" t="e">
        <f ca="1">VLOOKUP(G291, Cards!A:B, 2, FALSE)</f>
        <v>#N/A</v>
      </c>
      <c r="E291" s="18">
        <v>109000000</v>
      </c>
      <c r="F291" s="19">
        <v>0</v>
      </c>
      <c r="G291" s="21" t="str">
        <f ca="1">IFERROR(__xludf.DUMMYFUNCTION("REGEXEXTRACT(C292, ""ک\s(\d{16})"")"),"#N/A")</f>
        <v>#N/A</v>
      </c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spans="1:27" ht="25.5" customHeight="1">
      <c r="A292" s="15">
        <v>291</v>
      </c>
      <c r="B292" s="15" t="s">
        <v>1603</v>
      </c>
      <c r="C292" s="16" t="s">
        <v>1604</v>
      </c>
      <c r="D292" s="18" t="e">
        <f ca="1">VLOOKUP(G292, Cards!A:B, 2, FALSE)</f>
        <v>#N/A</v>
      </c>
      <c r="E292" s="18">
        <v>900000</v>
      </c>
      <c r="F292" s="19">
        <v>0</v>
      </c>
      <c r="G292" s="21" t="str">
        <f ca="1">IFERROR(__xludf.DUMMYFUNCTION("REGEXEXTRACT(C293, ""ک\s(\d{16})"")"),"6037997498315291")</f>
        <v>6037997498315291</v>
      </c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spans="1:27" ht="25.5" customHeight="1">
      <c r="A293" s="15">
        <v>292</v>
      </c>
      <c r="B293" s="15" t="s">
        <v>1603</v>
      </c>
      <c r="C293" s="16" t="s">
        <v>1605</v>
      </c>
      <c r="D293" s="18" t="str">
        <f ca="1">VLOOKUP(G293, Cards!A:B, 2, FALSE)</f>
        <v>علي ابراهيميان</v>
      </c>
      <c r="E293" s="18">
        <v>0</v>
      </c>
      <c r="F293" s="19">
        <v>7200</v>
      </c>
      <c r="G293" s="21" t="str">
        <f ca="1">IFERROR(__xludf.DUMMYFUNCTION("REGEXEXTRACT(C294, ""ک\s(\d{16})"")"),"6219861085062957")</f>
        <v>6219861085062957</v>
      </c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spans="1:27" ht="25.5" customHeight="1">
      <c r="A294" s="15">
        <v>293</v>
      </c>
      <c r="B294" s="15" t="s">
        <v>1603</v>
      </c>
      <c r="C294" s="16" t="s">
        <v>1606</v>
      </c>
      <c r="D294" s="18" t="str">
        <f ca="1">VLOOKUP(G294, Cards!A:B, 2, FALSE)</f>
        <v>مجيد شجاع پور</v>
      </c>
      <c r="E294" s="18">
        <v>0</v>
      </c>
      <c r="F294" s="19">
        <v>6870000</v>
      </c>
      <c r="G294" s="21" t="str">
        <f ca="1">IFERROR(__xludf.DUMMYFUNCTION("REGEXEXTRACT(C295, ""ک\s(\d{16})"")"),"5892101626109181")</f>
        <v>5892101626109181</v>
      </c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spans="1:27" ht="25.5" customHeight="1">
      <c r="A295" s="15">
        <v>294</v>
      </c>
      <c r="B295" s="15" t="s">
        <v>1603</v>
      </c>
      <c r="C295" s="16" t="s">
        <v>1607</v>
      </c>
      <c r="D295" s="18" t="str">
        <f ca="1">VLOOKUP(G295, Cards!A:B, 2, FALSE)</f>
        <v>علي ابراهيميان</v>
      </c>
      <c r="E295" s="18">
        <v>0</v>
      </c>
      <c r="F295" s="19">
        <v>1440</v>
      </c>
      <c r="G295" s="21" t="str">
        <f ca="1">IFERROR(__xludf.DUMMYFUNCTION("REGEXEXTRACT(C296, ""ک\s(\d{16})"")"),"6219861085062957")</f>
        <v>6219861085062957</v>
      </c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spans="1:27" ht="25.5" customHeight="1">
      <c r="A296" s="15">
        <v>295</v>
      </c>
      <c r="B296" s="15" t="s">
        <v>1603</v>
      </c>
      <c r="C296" s="16" t="s">
        <v>1608</v>
      </c>
      <c r="D296" s="18" t="e">
        <f ca="1">VLOOKUP(G296, Cards!A:B, 2, FALSE)</f>
        <v>#N/A</v>
      </c>
      <c r="E296" s="18">
        <v>700000</v>
      </c>
      <c r="F296" s="19">
        <v>0</v>
      </c>
      <c r="G296" s="21" t="str">
        <f ca="1">IFERROR(__xludf.DUMMYFUNCTION("REGEXEXTRACT(C297, ""ک\s(\d{16})"")"),"5022291546028927")</f>
        <v>5022291546028927</v>
      </c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spans="1:27" ht="25.5" customHeight="1">
      <c r="A297" s="15">
        <v>296</v>
      </c>
      <c r="B297" s="15" t="s">
        <v>1603</v>
      </c>
      <c r="C297" s="16" t="s">
        <v>1609</v>
      </c>
      <c r="D297" s="18" t="e">
        <f ca="1">VLOOKUP(G297, Cards!A:B, 2, FALSE)</f>
        <v>#N/A</v>
      </c>
      <c r="E297" s="18">
        <v>1200000</v>
      </c>
      <c r="F297" s="19">
        <v>0</v>
      </c>
      <c r="G297" s="21" t="str">
        <f ca="1">IFERROR(__xludf.DUMMYFUNCTION("REGEXEXTRACT(C298, ""ک\s(\d{16})"")"),"#N/A")</f>
        <v>#N/A</v>
      </c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spans="1:27" ht="25.5" customHeight="1">
      <c r="A298" s="15">
        <v>297</v>
      </c>
      <c r="B298" s="15" t="s">
        <v>1603</v>
      </c>
      <c r="C298" s="16" t="s">
        <v>1610</v>
      </c>
      <c r="D298" s="18" t="str">
        <f ca="1">VLOOKUP(G298, Cards!A:B, 2, FALSE)</f>
        <v>علي ابراهيميان</v>
      </c>
      <c r="E298" s="18">
        <v>0</v>
      </c>
      <c r="F298" s="19">
        <v>12800</v>
      </c>
      <c r="G298" s="21" t="str">
        <f ca="1">IFERROR(__xludf.DUMMYFUNCTION("REGEXEXTRACT(C299, ""ک\s(\d{16})"")"),"6219861085062957")</f>
        <v>6219861085062957</v>
      </c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spans="1:27" ht="25.5" customHeight="1">
      <c r="A299" s="15">
        <v>298</v>
      </c>
      <c r="B299" s="15" t="s">
        <v>1603</v>
      </c>
      <c r="C299" s="16" t="s">
        <v>1611</v>
      </c>
      <c r="D299" s="18" t="str">
        <f ca="1">VLOOKUP(G299, Cards!A:B, 2, FALSE)</f>
        <v>محسن خانگاه</v>
      </c>
      <c r="E299" s="18">
        <v>0</v>
      </c>
      <c r="F299" s="19">
        <v>29270000</v>
      </c>
      <c r="G299" s="21" t="str">
        <f ca="1">IFERROR(__xludf.DUMMYFUNCTION("REGEXEXTRACT(C300, ""ک\s(\d{16})"")"),"6274121208660688")</f>
        <v>6274121208660688</v>
      </c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spans="1:27" ht="25.5" customHeight="1">
      <c r="A300" s="15">
        <v>299</v>
      </c>
      <c r="B300" s="15" t="s">
        <v>1603</v>
      </c>
      <c r="C300" s="16" t="s">
        <v>1612</v>
      </c>
      <c r="D300" s="18" t="str">
        <f ca="1">VLOOKUP(G300, Cards!A:B, 2, FALSE)</f>
        <v>علي ابراهيميان</v>
      </c>
      <c r="E300" s="18">
        <v>0</v>
      </c>
      <c r="F300" s="19">
        <v>7200</v>
      </c>
      <c r="G300" s="21" t="str">
        <f ca="1">IFERROR(__xludf.DUMMYFUNCTION("REGEXEXTRACT(C301, ""ک\s(\d{16})"")"),"6219861085062957")</f>
        <v>6219861085062957</v>
      </c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spans="1:27" ht="25.5" customHeight="1">
      <c r="A301" s="15">
        <v>300</v>
      </c>
      <c r="B301" s="15" t="s">
        <v>1603</v>
      </c>
      <c r="C301" s="16" t="s">
        <v>1613</v>
      </c>
      <c r="D301" s="18" t="e">
        <f ca="1">VLOOKUP(G301, Cards!A:B, 2, FALSE)</f>
        <v>#N/A</v>
      </c>
      <c r="E301" s="18">
        <v>0</v>
      </c>
      <c r="F301" s="19">
        <v>7800000</v>
      </c>
      <c r="G301" s="21" t="str">
        <f ca="1">IFERROR(__xludf.DUMMYFUNCTION("REGEXEXTRACT(C302, ""ک\s(\d{16})"")"),"6037997143884923")</f>
        <v>6037997143884923</v>
      </c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spans="1:27" ht="25.5" customHeight="1">
      <c r="A302" s="15">
        <v>301</v>
      </c>
      <c r="B302" s="15" t="s">
        <v>1603</v>
      </c>
      <c r="C302" s="16" t="s">
        <v>1614</v>
      </c>
      <c r="D302" s="18" t="str">
        <f ca="1">VLOOKUP(G302, Cards!A:B, 2, FALSE)</f>
        <v>علي ابراهيميان</v>
      </c>
      <c r="E302" s="18">
        <v>0</v>
      </c>
      <c r="F302" s="19">
        <v>18400</v>
      </c>
      <c r="G302" s="21" t="str">
        <f ca="1">IFERROR(__xludf.DUMMYFUNCTION("REGEXEXTRACT(C303, ""ک\s(\d{16})"")"),"6219861085062957")</f>
        <v>6219861085062957</v>
      </c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spans="1:27" ht="25.5" customHeight="1">
      <c r="A303" s="15">
        <v>302</v>
      </c>
      <c r="B303" s="15" t="s">
        <v>1603</v>
      </c>
      <c r="C303" s="16" t="s">
        <v>1615</v>
      </c>
      <c r="D303" s="18" t="str">
        <f ca="1">VLOOKUP(G303, Cards!A:B, 2, FALSE)</f>
        <v>سعيد نيرآبادي</v>
      </c>
      <c r="E303" s="18">
        <v>0</v>
      </c>
      <c r="F303" s="19">
        <v>50000000</v>
      </c>
      <c r="G303" s="21" t="str">
        <f ca="1">IFERROR(__xludf.DUMMYFUNCTION("REGEXEXTRACT(C304, ""ک\s(\d{16})"")"),"6037991713397994")</f>
        <v>6037991713397994</v>
      </c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spans="1:27" ht="25.5" customHeight="1">
      <c r="A304" s="15">
        <v>303</v>
      </c>
      <c r="B304" s="15" t="s">
        <v>1603</v>
      </c>
      <c r="C304" s="16" t="s">
        <v>1616</v>
      </c>
      <c r="D304" s="18" t="e">
        <f ca="1">VLOOKUP(G304, Cards!A:B, 2, FALSE)</f>
        <v>#N/A</v>
      </c>
      <c r="E304" s="18">
        <v>104000000</v>
      </c>
      <c r="F304" s="19">
        <v>0</v>
      </c>
      <c r="G304" s="21" t="str">
        <f ca="1">IFERROR(__xludf.DUMMYFUNCTION("REGEXEXTRACT(C305, ""ک\s(\d{16})"")"),"#N/A")</f>
        <v>#N/A</v>
      </c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spans="1:27" ht="25.5" customHeight="1">
      <c r="A305" s="15">
        <v>304</v>
      </c>
      <c r="B305" s="15" t="s">
        <v>1617</v>
      </c>
      <c r="C305" s="16" t="s">
        <v>1618</v>
      </c>
      <c r="D305" s="18" t="str">
        <f ca="1">VLOOKUP(G305, Cards!A:B, 2, FALSE)</f>
        <v>علي ابراهيميان</v>
      </c>
      <c r="E305" s="18">
        <v>0</v>
      </c>
      <c r="F305" s="19">
        <v>1440</v>
      </c>
      <c r="G305" s="21" t="str">
        <f ca="1">IFERROR(__xludf.DUMMYFUNCTION("REGEXEXTRACT(C306, ""ک\s(\d{16})"")"),"6219861085062957")</f>
        <v>6219861085062957</v>
      </c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spans="1:27" ht="25.5" customHeight="1">
      <c r="A306" s="15">
        <v>305</v>
      </c>
      <c r="B306" s="15" t="s">
        <v>1617</v>
      </c>
      <c r="C306" s="16" t="s">
        <v>1619</v>
      </c>
      <c r="D306" s="18" t="str">
        <f ca="1">VLOOKUP(G306, Cards!A:B, 2, FALSE)</f>
        <v>علي ابراهيميان</v>
      </c>
      <c r="E306" s="18">
        <v>0</v>
      </c>
      <c r="F306" s="19">
        <v>10000</v>
      </c>
      <c r="G306" s="21" t="str">
        <f ca="1">IFERROR(__xludf.DUMMYFUNCTION("REGEXEXTRACT(C307, ""ک\s(\d{16})"")"),"6219861085062957")</f>
        <v>6219861085062957</v>
      </c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spans="1:27" ht="25.5" customHeight="1">
      <c r="A307" s="15">
        <v>306</v>
      </c>
      <c r="B307" s="15" t="s">
        <v>1617</v>
      </c>
      <c r="C307" s="16" t="s">
        <v>1620</v>
      </c>
      <c r="D307" s="18" t="str">
        <f ca="1">VLOOKUP(G307, Cards!A:B, 2, FALSE)</f>
        <v>محمد کريمي</v>
      </c>
      <c r="E307" s="18">
        <v>0</v>
      </c>
      <c r="F307" s="19">
        <v>19688400</v>
      </c>
      <c r="G307" s="21" t="str">
        <f ca="1">IFERROR(__xludf.DUMMYFUNCTION("REGEXEXTRACT(C308, ""ک\s(\d{16})"")"),"5892101643117522")</f>
        <v>5892101643117522</v>
      </c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spans="1:27" ht="25.5" customHeight="1">
      <c r="A308" s="15">
        <v>307</v>
      </c>
      <c r="B308" s="15" t="s">
        <v>1617</v>
      </c>
      <c r="C308" s="16" t="s">
        <v>1621</v>
      </c>
      <c r="D308" s="18" t="str">
        <f ca="1">VLOOKUP(G308, Cards!A:B, 2, FALSE)</f>
        <v>علي ابراهيميان</v>
      </c>
      <c r="E308" s="18">
        <v>0</v>
      </c>
      <c r="F308" s="19">
        <v>1440</v>
      </c>
      <c r="G308" s="21" t="str">
        <f ca="1">IFERROR(__xludf.DUMMYFUNCTION("REGEXEXTRACT(C309, ""ک\s(\d{16})"")"),"6219861085062957")</f>
        <v>6219861085062957</v>
      </c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spans="1:27" ht="25.5" customHeight="1">
      <c r="A309" s="15">
        <v>308</v>
      </c>
      <c r="B309" s="15" t="s">
        <v>1617</v>
      </c>
      <c r="C309" s="16" t="s">
        <v>1622</v>
      </c>
      <c r="D309" s="18" t="e">
        <f ca="1">VLOOKUP(G309, Cards!A:B, 2, FALSE)</f>
        <v>#N/A</v>
      </c>
      <c r="E309" s="18">
        <v>700000</v>
      </c>
      <c r="F309" s="19">
        <v>0</v>
      </c>
      <c r="G309" s="21" t="str">
        <f ca="1">IFERROR(__xludf.DUMMYFUNCTION("REGEXEXTRACT(C310, ""ک\s(\d{16})"")"),"6037697671649397")</f>
        <v>6037697671649397</v>
      </c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spans="1:27" ht="25.5" customHeight="1">
      <c r="A310" s="15">
        <v>309</v>
      </c>
      <c r="B310" s="15" t="s">
        <v>1617</v>
      </c>
      <c r="C310" s="16" t="s">
        <v>1623</v>
      </c>
      <c r="D310" s="18" t="str">
        <f ca="1">VLOOKUP(G310, Cards!A:B, 2, FALSE)</f>
        <v>علي ابراهيميان</v>
      </c>
      <c r="E310" s="18">
        <v>0</v>
      </c>
      <c r="F310" s="19">
        <v>7200</v>
      </c>
      <c r="G310" s="21" t="str">
        <f ca="1">IFERROR(__xludf.DUMMYFUNCTION("REGEXEXTRACT(C311, ""ک\s(\d{16})"")"),"6219861085062957")</f>
        <v>6219861085062957</v>
      </c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spans="1:27" ht="25.5" customHeight="1">
      <c r="A311" s="15">
        <v>310</v>
      </c>
      <c r="B311" s="15" t="s">
        <v>1617</v>
      </c>
      <c r="C311" s="16" t="s">
        <v>1624</v>
      </c>
      <c r="D311" s="18" t="e">
        <f ca="1">VLOOKUP(G311, Cards!A:B, 2, FALSE)</f>
        <v>#N/A</v>
      </c>
      <c r="E311" s="18">
        <v>0</v>
      </c>
      <c r="F311" s="19">
        <v>10000000</v>
      </c>
      <c r="G311" s="21" t="str">
        <f ca="1">IFERROR(__xludf.DUMMYFUNCTION("REGEXEXTRACT(C312, ""ک\s(\d{16})"")"),"5859831103338371")</f>
        <v>5859831103338371</v>
      </c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spans="1:27" ht="25.5" customHeight="1">
      <c r="A312" s="15">
        <v>311</v>
      </c>
      <c r="B312" s="15" t="s">
        <v>1617</v>
      </c>
      <c r="C312" s="16" t="s">
        <v>1625</v>
      </c>
      <c r="D312" s="18" t="str">
        <f ca="1">VLOOKUP(G312, Cards!A:B, 2, FALSE)</f>
        <v>علي ابراهيميان</v>
      </c>
      <c r="E312" s="18">
        <v>0</v>
      </c>
      <c r="F312" s="19">
        <v>1440</v>
      </c>
      <c r="G312" s="21" t="str">
        <f ca="1">IFERROR(__xludf.DUMMYFUNCTION("REGEXEXTRACT(C313, ""ک\s(\d{16})"")"),"6219861085062957")</f>
        <v>6219861085062957</v>
      </c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spans="1:27" ht="25.5" customHeight="1">
      <c r="A313" s="15">
        <v>312</v>
      </c>
      <c r="B313" s="15" t="s">
        <v>1617</v>
      </c>
      <c r="C313" s="16" t="s">
        <v>1626</v>
      </c>
      <c r="D313" s="18" t="str">
        <f ca="1">VLOOKUP(G313, Cards!A:B, 2, FALSE)</f>
        <v>علي ابراهيميان</v>
      </c>
      <c r="E313" s="18">
        <v>0</v>
      </c>
      <c r="F313" s="19">
        <v>10000</v>
      </c>
      <c r="G313" s="21" t="str">
        <f ca="1">IFERROR(__xludf.DUMMYFUNCTION("REGEXEXTRACT(C314, ""ک\s(\d{16})"")"),"6219861085062957")</f>
        <v>6219861085062957</v>
      </c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spans="1:27" ht="25.5" customHeight="1">
      <c r="A314" s="15">
        <v>313</v>
      </c>
      <c r="B314" s="15" t="s">
        <v>1617</v>
      </c>
      <c r="C314" s="16" t="s">
        <v>1627</v>
      </c>
      <c r="D314" s="18" t="str">
        <f ca="1">VLOOKUP(G314, Cards!A:B, 2, FALSE)</f>
        <v>مجيد شجاع پور</v>
      </c>
      <c r="E314" s="18">
        <v>0</v>
      </c>
      <c r="F314" s="19">
        <v>13455000</v>
      </c>
      <c r="G314" s="21" t="str">
        <f ca="1">IFERROR(__xludf.DUMMYFUNCTION("REGEXEXTRACT(C315, ""ک\s(\d{16})"")"),"5892101626109181")</f>
        <v>5892101626109181</v>
      </c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spans="1:27" ht="25.5" customHeight="1">
      <c r="A315" s="15">
        <v>314</v>
      </c>
      <c r="B315" s="15" t="s">
        <v>1617</v>
      </c>
      <c r="C315" s="16" t="s">
        <v>1628</v>
      </c>
      <c r="D315" s="18" t="str">
        <f ca="1">VLOOKUP(G315, Cards!A:B, 2, FALSE)</f>
        <v>علي ابراهيميان</v>
      </c>
      <c r="E315" s="18">
        <v>0</v>
      </c>
      <c r="F315" s="19">
        <v>12800</v>
      </c>
      <c r="G315" s="21" t="str">
        <f ca="1">IFERROR(__xludf.DUMMYFUNCTION("REGEXEXTRACT(C316, ""ک\s(\d{16})"")"),"6219861085062957")</f>
        <v>6219861085062957</v>
      </c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spans="1:27" ht="25.5" customHeight="1">
      <c r="A316" s="15">
        <v>315</v>
      </c>
      <c r="B316" s="15" t="s">
        <v>1617</v>
      </c>
      <c r="C316" s="16" t="s">
        <v>1629</v>
      </c>
      <c r="D316" s="18" t="str">
        <f ca="1">VLOOKUP(G316, Cards!A:B, 2, FALSE)</f>
        <v>محسن خانگاه</v>
      </c>
      <c r="E316" s="18">
        <v>0</v>
      </c>
      <c r="F316" s="19">
        <v>21350000</v>
      </c>
      <c r="G316" s="21" t="str">
        <f ca="1">IFERROR(__xludf.DUMMYFUNCTION("REGEXEXTRACT(C317, ""ک\s(\d{16})"")"),"6274121208660688")</f>
        <v>6274121208660688</v>
      </c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spans="1:27" ht="25.5" customHeight="1">
      <c r="A317" s="15">
        <v>316</v>
      </c>
      <c r="B317" s="15" t="s">
        <v>1617</v>
      </c>
      <c r="C317" s="16" t="s">
        <v>1630</v>
      </c>
      <c r="D317" s="18" t="e">
        <f ca="1">VLOOKUP(G317, Cards!A:B, 2, FALSE)</f>
        <v>#N/A</v>
      </c>
      <c r="E317" s="18">
        <v>0</v>
      </c>
      <c r="F317" s="19">
        <v>20000000</v>
      </c>
      <c r="G317" s="21" t="str">
        <f ca="1">IFERROR(__xludf.DUMMYFUNCTION("REGEXEXTRACT(C318, ""ک\s(\d{16})"")"),"#N/A")</f>
        <v>#N/A</v>
      </c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spans="1:27" ht="25.5" customHeight="1">
      <c r="A318" s="15">
        <v>317</v>
      </c>
      <c r="B318" s="15" t="s">
        <v>1617</v>
      </c>
      <c r="C318" s="16" t="s">
        <v>1631</v>
      </c>
      <c r="D318" s="18" t="str">
        <f ca="1">VLOOKUP(G318, Cards!A:B, 2, FALSE)</f>
        <v>علي ابراهيميان</v>
      </c>
      <c r="E318" s="18">
        <v>0</v>
      </c>
      <c r="F318" s="19">
        <v>11600000</v>
      </c>
      <c r="G318" s="21" t="str">
        <f ca="1">IFERROR(__xludf.DUMMYFUNCTION("REGEXEXTRACT(C319, ""ک\s(\d{16})"")"),"6219861085062957")</f>
        <v>6219861085062957</v>
      </c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spans="1:27" ht="25.5" customHeight="1">
      <c r="A319" s="15">
        <v>318</v>
      </c>
      <c r="B319" s="15" t="s">
        <v>1617</v>
      </c>
      <c r="C319" s="16" t="s">
        <v>1632</v>
      </c>
      <c r="D319" s="18" t="str">
        <f ca="1">VLOOKUP(G319, Cards!A:B, 2, FALSE)</f>
        <v>علي ابراهيميان</v>
      </c>
      <c r="E319" s="18">
        <v>0</v>
      </c>
      <c r="F319" s="19">
        <v>13000000</v>
      </c>
      <c r="G319" s="21" t="str">
        <f ca="1">IFERROR(__xludf.DUMMYFUNCTION("REGEXEXTRACT(C320, ""ک\s(\d{16})"")"),"6219861085062957")</f>
        <v>6219861085062957</v>
      </c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spans="1:27" ht="25.5" customHeight="1">
      <c r="A320" s="15">
        <v>319</v>
      </c>
      <c r="B320" s="15" t="s">
        <v>1617</v>
      </c>
      <c r="C320" s="16" t="s">
        <v>1633</v>
      </c>
      <c r="D320" s="18" t="e">
        <f ca="1">VLOOKUP(G320, Cards!A:B, 2, FALSE)</f>
        <v>#N/A</v>
      </c>
      <c r="E320" s="18">
        <v>99000000</v>
      </c>
      <c r="F320" s="19">
        <v>0</v>
      </c>
      <c r="G320" s="21" t="str">
        <f ca="1">IFERROR(__xludf.DUMMYFUNCTION("REGEXEXTRACT(C321, ""ک\s(\d{16})"")"),"#N/A")</f>
        <v>#N/A</v>
      </c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spans="1:27" ht="25.5" customHeight="1">
      <c r="A321" s="15">
        <v>320</v>
      </c>
      <c r="B321" s="15" t="s">
        <v>1634</v>
      </c>
      <c r="C321" s="16" t="s">
        <v>1635</v>
      </c>
      <c r="D321" s="18" t="str">
        <f ca="1">VLOOKUP(G321, Cards!A:B, 2, FALSE)</f>
        <v>علي ابراهيميان</v>
      </c>
      <c r="E321" s="18">
        <v>0</v>
      </c>
      <c r="F321" s="19">
        <v>1440</v>
      </c>
      <c r="G321" s="21" t="str">
        <f ca="1">IFERROR(__xludf.DUMMYFUNCTION("REGEXEXTRACT(C322, ""ک\s(\d{16})"")"),"6219861085062957")</f>
        <v>6219861085062957</v>
      </c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spans="1:27" ht="25.5" customHeight="1">
      <c r="A322" s="15">
        <v>321</v>
      </c>
      <c r="B322" s="15" t="s">
        <v>1634</v>
      </c>
      <c r="C322" s="16" t="s">
        <v>1636</v>
      </c>
      <c r="D322" s="18" t="str">
        <f ca="1">VLOOKUP(G322, Cards!A:B, 2, FALSE)</f>
        <v>علي ابراهيميان</v>
      </c>
      <c r="E322" s="18">
        <v>0</v>
      </c>
      <c r="F322" s="19">
        <v>2800000</v>
      </c>
      <c r="G322" s="21" t="str">
        <f ca="1">IFERROR(__xludf.DUMMYFUNCTION("REGEXEXTRACT(C323, ""ک\s(\d{16})"")"),"6219861085062957")</f>
        <v>6219861085062957</v>
      </c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spans="1:27" ht="25.5" customHeight="1">
      <c r="A323" s="15">
        <v>322</v>
      </c>
      <c r="B323" s="15" t="s">
        <v>1634</v>
      </c>
      <c r="C323" s="16" t="s">
        <v>1637</v>
      </c>
      <c r="D323" s="18" t="str">
        <f ca="1">VLOOKUP(G323, Cards!A:B, 2, FALSE)</f>
        <v>علي ابراهيميان</v>
      </c>
      <c r="E323" s="18">
        <v>0</v>
      </c>
      <c r="F323" s="19">
        <v>50000000</v>
      </c>
      <c r="G323" s="21" t="str">
        <f ca="1">IFERROR(__xludf.DUMMYFUNCTION("REGEXEXTRACT(C324, ""ک\s(\d{16})"")"),"6219861085062957")</f>
        <v>6219861085062957</v>
      </c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spans="1:27" ht="25.5" customHeight="1">
      <c r="A324" s="15">
        <v>323</v>
      </c>
      <c r="B324" s="15" t="s">
        <v>1634</v>
      </c>
      <c r="C324" s="16" t="s">
        <v>1638</v>
      </c>
      <c r="D324" s="18" t="e">
        <f ca="1">VLOOKUP(G324, Cards!A:B, 2, FALSE)</f>
        <v>#N/A</v>
      </c>
      <c r="E324" s="18">
        <v>1400000</v>
      </c>
      <c r="F324" s="19">
        <v>0</v>
      </c>
      <c r="G324" s="21" t="str">
        <f ca="1">IFERROR(__xludf.DUMMYFUNCTION("REGEXEXTRACT(C325, ""ک\s(\d{16})"")"),"6037991790948404")</f>
        <v>6037991790948404</v>
      </c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spans="1:27" ht="25.5" customHeight="1">
      <c r="A325" s="15">
        <v>324</v>
      </c>
      <c r="B325" s="15" t="s">
        <v>1634</v>
      </c>
      <c r="C325" s="16" t="s">
        <v>1639</v>
      </c>
      <c r="D325" s="18" t="str">
        <f ca="1">VLOOKUP(G325, Cards!A:B, 2, FALSE)</f>
        <v>علي ابراهيميان</v>
      </c>
      <c r="E325" s="18">
        <v>0</v>
      </c>
      <c r="F325" s="19">
        <v>1440</v>
      </c>
      <c r="G325" s="21" t="str">
        <f ca="1">IFERROR(__xludf.DUMMYFUNCTION("REGEXEXTRACT(C326, ""ک\s(\d{16})"")"),"6219861085062957")</f>
        <v>6219861085062957</v>
      </c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spans="1:27" ht="25.5" customHeight="1">
      <c r="A326" s="15">
        <v>325</v>
      </c>
      <c r="B326" s="15" t="s">
        <v>1634</v>
      </c>
      <c r="C326" s="16" t="s">
        <v>1640</v>
      </c>
      <c r="D326" s="18" t="e">
        <f ca="1">VLOOKUP(G326, Cards!A:B, 2, FALSE)</f>
        <v>#N/A</v>
      </c>
      <c r="E326" s="18">
        <v>1550000</v>
      </c>
      <c r="F326" s="19">
        <v>0</v>
      </c>
      <c r="G326" s="21" t="str">
        <f ca="1">IFERROR(__xludf.DUMMYFUNCTION("REGEXEXTRACT(C327, ""ک\s(\d{16})"")"),"6037997566477635")</f>
        <v>6037997566477635</v>
      </c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spans="1:27" ht="25.5" customHeight="1">
      <c r="A327" s="15">
        <v>326</v>
      </c>
      <c r="B327" s="15" t="s">
        <v>1634</v>
      </c>
      <c r="C327" s="16" t="s">
        <v>1641</v>
      </c>
      <c r="D327" s="18" t="str">
        <f ca="1">VLOOKUP(G327, Cards!A:B, 2, FALSE)</f>
        <v>علي ابراهيميان</v>
      </c>
      <c r="E327" s="18">
        <v>0</v>
      </c>
      <c r="F327" s="19">
        <v>5200000</v>
      </c>
      <c r="G327" s="21" t="str">
        <f ca="1">IFERROR(__xludf.DUMMYFUNCTION("REGEXEXTRACT(C328, ""ک\s(\d{16})"")"),"6219861085062957")</f>
        <v>6219861085062957</v>
      </c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spans="1:27" ht="25.5" customHeight="1">
      <c r="A328" s="15">
        <v>327</v>
      </c>
      <c r="B328" s="15" t="s">
        <v>1634</v>
      </c>
      <c r="C328" s="16" t="s">
        <v>1642</v>
      </c>
      <c r="D328" s="18" t="str">
        <f ca="1">VLOOKUP(G328, Cards!A:B, 2, FALSE)</f>
        <v>علي ابراهيميان</v>
      </c>
      <c r="E328" s="18">
        <v>0</v>
      </c>
      <c r="F328" s="19">
        <v>1607000</v>
      </c>
      <c r="G328" s="21" t="str">
        <f ca="1">IFERROR(__xludf.DUMMYFUNCTION("REGEXEXTRACT(C329, ""ک\s(\d{16})"")"),"6219861085062957")</f>
        <v>6219861085062957</v>
      </c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spans="1:27" ht="25.5" customHeight="1">
      <c r="A329" s="15">
        <v>328</v>
      </c>
      <c r="B329" s="15" t="s">
        <v>1634</v>
      </c>
      <c r="C329" s="16" t="s">
        <v>1643</v>
      </c>
      <c r="D329" s="18" t="str">
        <f ca="1">VLOOKUP(G329, Cards!A:B, 2, FALSE)</f>
        <v>علي ابراهيميان</v>
      </c>
      <c r="E329" s="18">
        <v>0</v>
      </c>
      <c r="F329" s="19">
        <v>16452000</v>
      </c>
      <c r="G329" s="21" t="str">
        <f ca="1">IFERROR(__xludf.DUMMYFUNCTION("REGEXEXTRACT(C330, ""ک\s(\d{16})"")"),"6219861085062957")</f>
        <v>6219861085062957</v>
      </c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spans="1:27" ht="25.5" customHeight="1">
      <c r="A330" s="15">
        <v>329</v>
      </c>
      <c r="B330" s="15" t="s">
        <v>1634</v>
      </c>
      <c r="C330" s="16" t="s">
        <v>1644</v>
      </c>
      <c r="D330" s="18" t="str">
        <f ca="1">VLOOKUP(G330, Cards!A:B, 2, FALSE)</f>
        <v>علي ابراهيميان</v>
      </c>
      <c r="E330" s="18">
        <v>0</v>
      </c>
      <c r="F330" s="19">
        <v>7200</v>
      </c>
      <c r="G330" s="21" t="str">
        <f ca="1">IFERROR(__xludf.DUMMYFUNCTION("REGEXEXTRACT(C331, ""ک\s(\d{16})"")"),"6219861085062957")</f>
        <v>6219861085062957</v>
      </c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spans="1:27" ht="25.5" customHeight="1">
      <c r="A331" s="15">
        <v>330</v>
      </c>
      <c r="B331" s="15" t="s">
        <v>1634</v>
      </c>
      <c r="C331" s="16" t="s">
        <v>1645</v>
      </c>
      <c r="D331" s="18" t="e">
        <f ca="1">VLOOKUP(G331, Cards!A:B, 2, FALSE)</f>
        <v>#N/A</v>
      </c>
      <c r="E331" s="18">
        <v>0</v>
      </c>
      <c r="F331" s="19">
        <v>1140000</v>
      </c>
      <c r="G331" s="21" t="str">
        <f ca="1">IFERROR(__xludf.DUMMYFUNCTION("REGEXEXTRACT(C332, ""ک\s(\d{16})"")"),"6104338697697478")</f>
        <v>6104338697697478</v>
      </c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spans="1:27" ht="25.5" customHeight="1">
      <c r="A332" s="15">
        <v>331</v>
      </c>
      <c r="B332" s="15" t="s">
        <v>1634</v>
      </c>
      <c r="C332" s="16" t="s">
        <v>1646</v>
      </c>
      <c r="D332" s="18" t="str">
        <f ca="1">VLOOKUP(G332, Cards!A:B, 2, FALSE)</f>
        <v>علي ابراهيميان</v>
      </c>
      <c r="E332" s="18">
        <v>0</v>
      </c>
      <c r="F332" s="19">
        <v>15600</v>
      </c>
      <c r="G332" s="21" t="str">
        <f ca="1">IFERROR(__xludf.DUMMYFUNCTION("REGEXEXTRACT(C333, ""ک\s(\d{16})"")"),"6219861085062957")</f>
        <v>6219861085062957</v>
      </c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spans="1:27" ht="25.5" customHeight="1">
      <c r="A333" s="15">
        <v>332</v>
      </c>
      <c r="B333" s="15" t="s">
        <v>1634</v>
      </c>
      <c r="C333" s="16" t="s">
        <v>1647</v>
      </c>
      <c r="D333" s="18" t="str">
        <f ca="1">VLOOKUP(G333, Cards!A:B, 2, FALSE)</f>
        <v>محسن خانگاه</v>
      </c>
      <c r="E333" s="18">
        <v>0</v>
      </c>
      <c r="F333" s="19">
        <v>30540000</v>
      </c>
      <c r="G333" s="21" t="str">
        <f ca="1">IFERROR(__xludf.DUMMYFUNCTION("REGEXEXTRACT(C334, ""ک\s(\d{16})"")"),"6274121208660688")</f>
        <v>6274121208660688</v>
      </c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spans="1:27" ht="25.5" customHeight="1">
      <c r="A334" s="15">
        <v>333</v>
      </c>
      <c r="B334" s="15" t="s">
        <v>1634</v>
      </c>
      <c r="C334" s="16" t="s">
        <v>1648</v>
      </c>
      <c r="D334" s="18" t="str">
        <f ca="1">VLOOKUP(G334, Cards!A:B, 2, FALSE)</f>
        <v>علي ابراهيميان</v>
      </c>
      <c r="E334" s="18">
        <v>0</v>
      </c>
      <c r="F334" s="19">
        <v>10000</v>
      </c>
      <c r="G334" s="21" t="str">
        <f ca="1">IFERROR(__xludf.DUMMYFUNCTION("REGEXEXTRACT(C335, ""ک\s(\d{16})"")"),"6219861085062957")</f>
        <v>6219861085062957</v>
      </c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spans="1:27" ht="25.5" customHeight="1">
      <c r="A335" s="15">
        <v>334</v>
      </c>
      <c r="B335" s="15" t="s">
        <v>1634</v>
      </c>
      <c r="C335" s="16" t="s">
        <v>1649</v>
      </c>
      <c r="D335" s="18" t="str">
        <f ca="1">VLOOKUP(G335, Cards!A:B, 2, FALSE)</f>
        <v>مجيد شجاع پور</v>
      </c>
      <c r="E335" s="18">
        <v>0</v>
      </c>
      <c r="F335" s="19">
        <v>19230000</v>
      </c>
      <c r="G335" s="21" t="str">
        <f ca="1">IFERROR(__xludf.DUMMYFUNCTION("REGEXEXTRACT(C336, ""ک\s(\d{16})"")"),"5892101626109181")</f>
        <v>5892101626109181</v>
      </c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spans="1:27" ht="25.5" customHeight="1">
      <c r="A336" s="15">
        <v>335</v>
      </c>
      <c r="B336" s="15" t="s">
        <v>1634</v>
      </c>
      <c r="C336" s="16" t="s">
        <v>1650</v>
      </c>
      <c r="D336" s="18" t="e">
        <f ca="1">VLOOKUP(G336, Cards!A:B, 2, FALSE)</f>
        <v>#N/A</v>
      </c>
      <c r="E336" s="18">
        <v>114000000</v>
      </c>
      <c r="F336" s="19">
        <v>0</v>
      </c>
      <c r="G336" s="21" t="str">
        <f ca="1">IFERROR(__xludf.DUMMYFUNCTION("REGEXEXTRACT(C337, ""ک\s(\d{16})"")"),"#N/A")</f>
        <v>#N/A</v>
      </c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spans="1:27" ht="25.5" customHeight="1">
      <c r="A337" s="15">
        <v>336</v>
      </c>
      <c r="B337" s="15" t="s">
        <v>1634</v>
      </c>
      <c r="C337" s="16" t="s">
        <v>1651</v>
      </c>
      <c r="D337" s="18" t="e">
        <f ca="1">VLOOKUP(G337, Cards!A:B, 2, FALSE)</f>
        <v>#N/A</v>
      </c>
      <c r="E337" s="18">
        <v>17000000</v>
      </c>
      <c r="F337" s="19">
        <v>0</v>
      </c>
      <c r="G337" s="21" t="str">
        <f ca="1">IFERROR(__xludf.DUMMYFUNCTION("REGEXEXTRACT(C338, ""ک\s(\d{16})"")"),"#N/A")</f>
        <v>#N/A</v>
      </c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spans="1:27" ht="25.5" customHeight="1">
      <c r="A338" s="15">
        <v>337</v>
      </c>
      <c r="B338" s="15" t="s">
        <v>1652</v>
      </c>
      <c r="C338" s="16" t="s">
        <v>1653</v>
      </c>
      <c r="D338" s="18" t="e">
        <f ca="1">VLOOKUP(G338, Cards!A:B, 2, FALSE)</f>
        <v>#N/A</v>
      </c>
      <c r="E338" s="18">
        <v>1100000</v>
      </c>
      <c r="F338" s="19">
        <v>0</v>
      </c>
      <c r="G338" s="21" t="str">
        <f ca="1">IFERROR(__xludf.DUMMYFUNCTION("REGEXEXTRACT(C339, ""ک\s(\d{16})"")"),"#N/A")</f>
        <v>#N/A</v>
      </c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spans="1:27" ht="25.5" customHeight="1">
      <c r="A339" s="15">
        <v>338</v>
      </c>
      <c r="B339" s="15" t="s">
        <v>1652</v>
      </c>
      <c r="C339" s="16" t="s">
        <v>1654</v>
      </c>
      <c r="D339" s="18" t="e">
        <f ca="1">VLOOKUP(G339, Cards!A:B, 2, FALSE)</f>
        <v>#N/A</v>
      </c>
      <c r="E339" s="18">
        <v>1100000</v>
      </c>
      <c r="F339" s="19">
        <v>0</v>
      </c>
      <c r="G339" s="21" t="str">
        <f ca="1">IFERROR(__xludf.DUMMYFUNCTION("REGEXEXTRACT(C340, ""ک\s(\d{16})"")"),"#N/A")</f>
        <v>#N/A</v>
      </c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spans="1:27" ht="25.5" customHeight="1">
      <c r="A340" s="15">
        <v>339</v>
      </c>
      <c r="B340" s="15" t="s">
        <v>1652</v>
      </c>
      <c r="C340" s="16" t="s">
        <v>1655</v>
      </c>
      <c r="D340" s="18" t="str">
        <f ca="1">VLOOKUP(G340, Cards!A:B, 2, FALSE)</f>
        <v>علي ابراهيميان</v>
      </c>
      <c r="E340" s="18">
        <v>0</v>
      </c>
      <c r="F340" s="19">
        <v>1440</v>
      </c>
      <c r="G340" s="21" t="str">
        <f ca="1">IFERROR(__xludf.DUMMYFUNCTION("REGEXEXTRACT(C341, ""ک\s(\d{16})"")"),"6219861085062957")</f>
        <v>6219861085062957</v>
      </c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spans="1:27" ht="25.5" customHeight="1">
      <c r="A341" s="15">
        <v>340</v>
      </c>
      <c r="B341" s="15" t="s">
        <v>1652</v>
      </c>
      <c r="C341" s="16" t="s">
        <v>1656</v>
      </c>
      <c r="D341" s="18" t="str">
        <f ca="1">VLOOKUP(G341, Cards!A:B, 2, FALSE)</f>
        <v>علي ابراهيميان</v>
      </c>
      <c r="E341" s="18">
        <v>0</v>
      </c>
      <c r="F341" s="19">
        <v>18400</v>
      </c>
      <c r="G341" s="21" t="str">
        <f ca="1">IFERROR(__xludf.DUMMYFUNCTION("REGEXEXTRACT(C342, ""ک\s(\d{16})"")"),"6219861085062957")</f>
        <v>6219861085062957</v>
      </c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spans="1:27" ht="25.5" customHeight="1">
      <c r="A342" s="15">
        <v>341</v>
      </c>
      <c r="B342" s="15" t="s">
        <v>1652</v>
      </c>
      <c r="C342" s="16" t="s">
        <v>1657</v>
      </c>
      <c r="D342" s="18" t="str">
        <f ca="1">VLOOKUP(G342, Cards!A:B, 2, FALSE)</f>
        <v>محمد کريمي</v>
      </c>
      <c r="E342" s="18">
        <v>0</v>
      </c>
      <c r="F342" s="19">
        <v>44712000</v>
      </c>
      <c r="G342" s="21" t="str">
        <f ca="1">IFERROR(__xludf.DUMMYFUNCTION("REGEXEXTRACT(C343, ""ک\s(\d{16})"")"),"5892101643117522")</f>
        <v>5892101643117522</v>
      </c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spans="1:27" ht="25.5" customHeight="1">
      <c r="A343" s="15">
        <v>342</v>
      </c>
      <c r="B343" s="15" t="s">
        <v>1652</v>
      </c>
      <c r="C343" s="16" t="s">
        <v>1658</v>
      </c>
      <c r="D343" s="18" t="e">
        <f ca="1">VLOOKUP(G343, Cards!A:B, 2, FALSE)</f>
        <v>#N/A</v>
      </c>
      <c r="E343" s="18">
        <v>500000</v>
      </c>
      <c r="F343" s="19">
        <v>0</v>
      </c>
      <c r="G343" s="21" t="str">
        <f ca="1">IFERROR(__xludf.DUMMYFUNCTION("REGEXEXTRACT(C344, ""ک\s(\d{16})"")"),"5859831226020211")</f>
        <v>5859831226020211</v>
      </c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spans="1:27" ht="25.5" customHeight="1">
      <c r="A344" s="15">
        <v>343</v>
      </c>
      <c r="B344" s="15" t="s">
        <v>1652</v>
      </c>
      <c r="C344" s="16" t="s">
        <v>1659</v>
      </c>
      <c r="D344" s="18" t="str">
        <f ca="1">VLOOKUP(G344, Cards!A:B, 2, FALSE)</f>
        <v>علي ابراهيميان</v>
      </c>
      <c r="E344" s="18">
        <v>0</v>
      </c>
      <c r="F344" s="19">
        <v>1440</v>
      </c>
      <c r="G344" s="21" t="str">
        <f ca="1">IFERROR(__xludf.DUMMYFUNCTION("REGEXEXTRACT(C345, ""ک\s(\d{16})"")"),"6219861085062957")</f>
        <v>6219861085062957</v>
      </c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spans="1:27" ht="25.5" customHeight="1">
      <c r="A345" s="15">
        <v>344</v>
      </c>
      <c r="B345" s="15" t="s">
        <v>1652</v>
      </c>
      <c r="C345" s="16" t="s">
        <v>1660</v>
      </c>
      <c r="D345" s="18" t="e">
        <f ca="1">VLOOKUP(G345, Cards!A:B, 2, FALSE)</f>
        <v>#N/A</v>
      </c>
      <c r="E345" s="18">
        <v>150000</v>
      </c>
      <c r="F345" s="19">
        <v>0</v>
      </c>
      <c r="G345" s="21" t="str">
        <f ca="1">IFERROR(__xludf.DUMMYFUNCTION("REGEXEXTRACT(C346, ""ک\s(\d{16})"")"),"6037998235555074")</f>
        <v>6037998235555074</v>
      </c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spans="1:27" ht="25.5" customHeight="1">
      <c r="A346" s="15">
        <v>345</v>
      </c>
      <c r="B346" s="15" t="s">
        <v>1652</v>
      </c>
      <c r="C346" s="16" t="s">
        <v>1661</v>
      </c>
      <c r="D346" s="18" t="str">
        <f ca="1">VLOOKUP(G346, Cards!A:B, 2, FALSE)</f>
        <v>علي ابراهيميان</v>
      </c>
      <c r="E346" s="18">
        <v>0</v>
      </c>
      <c r="F346" s="19">
        <v>10000</v>
      </c>
      <c r="G346" s="21" t="str">
        <f ca="1">IFERROR(__xludf.DUMMYFUNCTION("REGEXEXTRACT(C347, ""ک\s(\d{16})"")"),"6219861085062957")</f>
        <v>6219861085062957</v>
      </c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spans="1:27" ht="25.5" customHeight="1">
      <c r="A347" s="15">
        <v>346</v>
      </c>
      <c r="B347" s="15" t="s">
        <v>1652</v>
      </c>
      <c r="C347" s="16" t="s">
        <v>1662</v>
      </c>
      <c r="D347" s="18" t="str">
        <f ca="1">VLOOKUP(G347, Cards!A:B, 2, FALSE)</f>
        <v>سيدمحمدعلي حامدحيدري</v>
      </c>
      <c r="E347" s="18">
        <v>0</v>
      </c>
      <c r="F347" s="19">
        <v>12000000</v>
      </c>
      <c r="G347" s="21" t="str">
        <f ca="1">IFERROR(__xludf.DUMMYFUNCTION("REGEXEXTRACT(C348, ""ک\s(\d{16})"")"),"6219861076095867")</f>
        <v>6219861076095867</v>
      </c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spans="1:27" ht="25.5" customHeight="1">
      <c r="A348" s="15">
        <v>347</v>
      </c>
      <c r="B348" s="15" t="s">
        <v>1652</v>
      </c>
      <c r="C348" s="16" t="s">
        <v>1663</v>
      </c>
      <c r="D348" s="18" t="str">
        <f ca="1">VLOOKUP(G348, Cards!A:B, 2, FALSE)</f>
        <v>علي ابراهيميان</v>
      </c>
      <c r="E348" s="18">
        <v>0</v>
      </c>
      <c r="F348" s="19">
        <v>10000</v>
      </c>
      <c r="G348" s="21" t="str">
        <f ca="1">IFERROR(__xludf.DUMMYFUNCTION("REGEXEXTRACT(C349, ""ک\s(\d{16})"")"),"6219861085062957")</f>
        <v>6219861085062957</v>
      </c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spans="1:27" ht="25.5" customHeight="1">
      <c r="A349" s="15">
        <v>348</v>
      </c>
      <c r="B349" s="15" t="s">
        <v>1652</v>
      </c>
      <c r="C349" s="16" t="s">
        <v>1664</v>
      </c>
      <c r="D349" s="18" t="e">
        <f ca="1">VLOOKUP(G349, Cards!A:B, 2, FALSE)</f>
        <v>#N/A</v>
      </c>
      <c r="E349" s="18">
        <v>0</v>
      </c>
      <c r="F349" s="19">
        <v>15000000</v>
      </c>
      <c r="G349" s="21" t="str">
        <f ca="1">IFERROR(__xludf.DUMMYFUNCTION("REGEXEXTRACT(C350, ""ک\s(\d{16})"")"),"6104338697697478")</f>
        <v>6104338697697478</v>
      </c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spans="1:27" ht="25.5" customHeight="1">
      <c r="A350" s="15">
        <v>349</v>
      </c>
      <c r="B350" s="15" t="s">
        <v>1652</v>
      </c>
      <c r="C350" s="16" t="s">
        <v>1665</v>
      </c>
      <c r="D350" s="18" t="str">
        <f ca="1">VLOOKUP(G350, Cards!A:B, 2, FALSE)</f>
        <v>سيدمحمدعلي حامدحيدري</v>
      </c>
      <c r="E350" s="18">
        <v>0</v>
      </c>
      <c r="F350" s="19">
        <v>100000000</v>
      </c>
      <c r="G350" s="21" t="str">
        <f ca="1">IFERROR(__xludf.DUMMYFUNCTION("REGEXEXTRACT(C351, ""ک\s(\d{16})"")"),"6219861076095867")</f>
        <v>6219861076095867</v>
      </c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spans="1:27" ht="25.5" customHeight="1">
      <c r="A351" s="15">
        <v>350</v>
      </c>
      <c r="B351" s="15" t="s">
        <v>1652</v>
      </c>
      <c r="C351" s="16" t="s">
        <v>1666</v>
      </c>
      <c r="D351" s="18" t="e">
        <f ca="1">VLOOKUP(G351, Cards!A:B, 2, FALSE)</f>
        <v>#N/A</v>
      </c>
      <c r="E351" s="18">
        <v>94000000</v>
      </c>
      <c r="F351" s="19">
        <v>0</v>
      </c>
      <c r="G351" s="21" t="str">
        <f ca="1">IFERROR(__xludf.DUMMYFUNCTION("REGEXEXTRACT(C352, ""ک\s(\d{16})"")"),"#N/A")</f>
        <v>#N/A</v>
      </c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spans="1:27" ht="25.5" customHeight="1">
      <c r="A352" s="15">
        <v>351</v>
      </c>
      <c r="B352" s="15" t="s">
        <v>1652</v>
      </c>
      <c r="C352" s="16" t="s">
        <v>1667</v>
      </c>
      <c r="D352" s="18" t="e">
        <f ca="1">VLOOKUP(G352, Cards!A:B, 2, FALSE)</f>
        <v>#N/A</v>
      </c>
      <c r="E352" s="18">
        <v>48000000</v>
      </c>
      <c r="F352" s="19">
        <v>0</v>
      </c>
      <c r="G352" s="21" t="str">
        <f ca="1">IFERROR(__xludf.DUMMYFUNCTION("REGEXEXTRACT(C353, ""ک\s(\d{16})"")"),"#N/A")</f>
        <v>#N/A</v>
      </c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spans="1:27" ht="25.5" customHeight="1">
      <c r="A353" s="15">
        <v>352</v>
      </c>
      <c r="B353" s="15" t="s">
        <v>1668</v>
      </c>
      <c r="C353" s="16" t="s">
        <v>1669</v>
      </c>
      <c r="D353" s="18" t="str">
        <f ca="1">VLOOKUP(G353, Cards!A:B, 2, FALSE)</f>
        <v>علي ابراهيميان</v>
      </c>
      <c r="E353" s="18">
        <v>0</v>
      </c>
      <c r="F353" s="19">
        <v>7200</v>
      </c>
      <c r="G353" s="21" t="str">
        <f ca="1">IFERROR(__xludf.DUMMYFUNCTION("REGEXEXTRACT(C354, ""ک\s(\d{16})"")"),"6219861085062957")</f>
        <v>6219861085062957</v>
      </c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spans="1:27" ht="25.5" customHeight="1">
      <c r="A354" s="15">
        <v>353</v>
      </c>
      <c r="B354" s="15" t="s">
        <v>1668</v>
      </c>
      <c r="C354" s="16" t="s">
        <v>1670</v>
      </c>
      <c r="D354" s="18" t="str">
        <f ca="1">VLOOKUP(G354, Cards!A:B, 2, FALSE)</f>
        <v>محمد مومني</v>
      </c>
      <c r="E354" s="18">
        <v>0</v>
      </c>
      <c r="F354" s="19">
        <v>3500000</v>
      </c>
      <c r="G354" s="21" t="str">
        <f ca="1">IFERROR(__xludf.DUMMYFUNCTION("REGEXEXTRACT(C355, ""ک\s(\d{16})"")"),"6362141055049986")</f>
        <v>6362141055049986</v>
      </c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spans="1:27" ht="25.5" customHeight="1">
      <c r="A355" s="15">
        <v>354</v>
      </c>
      <c r="B355" s="15" t="s">
        <v>1668</v>
      </c>
      <c r="C355" s="16" t="s">
        <v>1671</v>
      </c>
      <c r="D355" s="18" t="str">
        <f ca="1">VLOOKUP(G355, Cards!A:B, 2, FALSE)</f>
        <v>علي ابراهيميان</v>
      </c>
      <c r="E355" s="18">
        <v>0</v>
      </c>
      <c r="F355" s="19">
        <v>15600</v>
      </c>
      <c r="G355" s="21" t="str">
        <f ca="1">IFERROR(__xludf.DUMMYFUNCTION("REGEXEXTRACT(C356, ""ک\s(\d{16})"")"),"6219861085062957")</f>
        <v>6219861085062957</v>
      </c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spans="1:27" ht="25.5" customHeight="1">
      <c r="A356" s="15">
        <v>355</v>
      </c>
      <c r="B356" s="15" t="s">
        <v>1668</v>
      </c>
      <c r="C356" s="16" t="s">
        <v>1672</v>
      </c>
      <c r="D356" s="18" t="str">
        <f ca="1">VLOOKUP(G356, Cards!A:B, 2, FALSE)</f>
        <v>محسن خانگاه</v>
      </c>
      <c r="E356" s="18">
        <v>0</v>
      </c>
      <c r="F356" s="19">
        <v>37360000</v>
      </c>
      <c r="G356" s="21" t="str">
        <f ca="1">IFERROR(__xludf.DUMMYFUNCTION("REGEXEXTRACT(C357, ""ک\s(\d{16})"")"),"6274121208660688")</f>
        <v>6274121208660688</v>
      </c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spans="1:27" ht="25.5" customHeight="1">
      <c r="A357" s="15">
        <v>356</v>
      </c>
      <c r="B357" s="15" t="s">
        <v>1668</v>
      </c>
      <c r="C357" s="16" t="s">
        <v>1673</v>
      </c>
      <c r="D357" s="18" t="e">
        <f ca="1">VLOOKUP(G357, Cards!A:B, 2, FALSE)</f>
        <v>#N/A</v>
      </c>
      <c r="E357" s="18">
        <v>1700000</v>
      </c>
      <c r="F357" s="19">
        <v>0</v>
      </c>
      <c r="G357" s="21" t="str">
        <f ca="1">IFERROR(__xludf.DUMMYFUNCTION("REGEXEXTRACT(C358, ""ک\s(\d{16})"")"),"5892101574644916")</f>
        <v>5892101574644916</v>
      </c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spans="1:27" ht="25.5" customHeight="1">
      <c r="A358" s="15">
        <v>357</v>
      </c>
      <c r="B358" s="15" t="s">
        <v>1668</v>
      </c>
      <c r="C358" s="16" t="s">
        <v>1674</v>
      </c>
      <c r="D358" s="18" t="str">
        <f ca="1">VLOOKUP(G358, Cards!A:B, 2, FALSE)</f>
        <v>علي ابراهيميان</v>
      </c>
      <c r="E358" s="18">
        <v>0</v>
      </c>
      <c r="F358" s="19">
        <v>1440</v>
      </c>
      <c r="G358" s="21" t="str">
        <f ca="1">IFERROR(__xludf.DUMMYFUNCTION("REGEXEXTRACT(C359, ""ک\s(\d{16})"")"),"6219861085062957")</f>
        <v>6219861085062957</v>
      </c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spans="1:27" ht="25.5" customHeight="1">
      <c r="A359" s="15">
        <v>358</v>
      </c>
      <c r="B359" s="15" t="s">
        <v>1668</v>
      </c>
      <c r="C359" s="16" t="s">
        <v>1675</v>
      </c>
      <c r="D359" s="18" t="str">
        <f ca="1">VLOOKUP(G359, Cards!A:B, 2, FALSE)</f>
        <v>علي ابراهيميان</v>
      </c>
      <c r="E359" s="18">
        <v>0</v>
      </c>
      <c r="F359" s="19">
        <v>7200</v>
      </c>
      <c r="G359" s="21" t="str">
        <f ca="1">IFERROR(__xludf.DUMMYFUNCTION("REGEXEXTRACT(C360, ""ک\s(\d{16})"")"),"6219861085062957")</f>
        <v>6219861085062957</v>
      </c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spans="1:27" ht="25.5" customHeight="1">
      <c r="A360" s="15">
        <v>359</v>
      </c>
      <c r="B360" s="15" t="s">
        <v>1668</v>
      </c>
      <c r="C360" s="16" t="s">
        <v>1676</v>
      </c>
      <c r="D360" s="18" t="str">
        <f ca="1">VLOOKUP(G360, Cards!A:B, 2, FALSE)</f>
        <v>محمد کوچکي</v>
      </c>
      <c r="E360" s="18">
        <v>0</v>
      </c>
      <c r="F360" s="19">
        <v>9700000</v>
      </c>
      <c r="G360" s="21" t="str">
        <f ca="1">IFERROR(__xludf.DUMMYFUNCTION("REGEXEXTRACT(C361, ""ک\s(\d{16})"")"),"6037697600840968")</f>
        <v>6037697600840968</v>
      </c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spans="1:27" ht="25.5" customHeight="1">
      <c r="A361" s="15">
        <v>360</v>
      </c>
      <c r="B361" s="15" t="s">
        <v>1668</v>
      </c>
      <c r="C361" s="16" t="s">
        <v>1677</v>
      </c>
      <c r="D361" s="18" t="e">
        <f ca="1">VLOOKUP(G361, Cards!A:B, 2, FALSE)</f>
        <v>#N/A</v>
      </c>
      <c r="E361" s="18">
        <v>1800000</v>
      </c>
      <c r="F361" s="19">
        <v>0</v>
      </c>
      <c r="G361" s="21" t="str">
        <f ca="1">IFERROR(__xludf.DUMMYFUNCTION("REGEXEXTRACT(C362, ""ک\s(\d{16})"")"),"6037701562453529")</f>
        <v>6037701562453529</v>
      </c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spans="1:27" ht="25.5" customHeight="1">
      <c r="A362" s="15">
        <v>361</v>
      </c>
      <c r="B362" s="15" t="s">
        <v>1668</v>
      </c>
      <c r="C362" s="16" t="s">
        <v>1678</v>
      </c>
      <c r="D362" s="18" t="str">
        <f ca="1">VLOOKUP(G362, Cards!A:B, 2, FALSE)</f>
        <v>علي ابراهيميان</v>
      </c>
      <c r="E362" s="18">
        <v>0</v>
      </c>
      <c r="F362" s="19">
        <v>1440</v>
      </c>
      <c r="G362" s="21" t="str">
        <f ca="1">IFERROR(__xludf.DUMMYFUNCTION("REGEXEXTRACT(C363, ""ک\s(\d{16})"")"),"6219861085062957")</f>
        <v>6219861085062957</v>
      </c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spans="1:27" ht="25.5" customHeight="1">
      <c r="A363" s="15">
        <v>362</v>
      </c>
      <c r="B363" s="15" t="s">
        <v>1668</v>
      </c>
      <c r="C363" s="16" t="s">
        <v>1679</v>
      </c>
      <c r="D363" s="18" t="e">
        <f ca="1">VLOOKUP(G363, Cards!A:B, 2, FALSE)</f>
        <v>#N/A</v>
      </c>
      <c r="E363" s="18">
        <v>900000</v>
      </c>
      <c r="F363" s="19">
        <v>0</v>
      </c>
      <c r="G363" s="21" t="str">
        <f ca="1">IFERROR(__xludf.DUMMYFUNCTION("REGEXEXTRACT(C364, ""ک\s(\d{16})"")"),"6104338631794324")</f>
        <v>6104338631794324</v>
      </c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spans="1:27" ht="25.5" customHeight="1">
      <c r="A364" s="15">
        <v>363</v>
      </c>
      <c r="B364" s="15" t="s">
        <v>1668</v>
      </c>
      <c r="C364" s="16" t="s">
        <v>1680</v>
      </c>
      <c r="D364" s="18" t="str">
        <f ca="1">VLOOKUP(G364, Cards!A:B, 2, FALSE)</f>
        <v>علي ابراهيميان</v>
      </c>
      <c r="E364" s="18">
        <v>0</v>
      </c>
      <c r="F364" s="19">
        <v>23500000</v>
      </c>
      <c r="G364" s="21" t="str">
        <f ca="1">IFERROR(__xludf.DUMMYFUNCTION("REGEXEXTRACT(C365, ""ک\s(\d{16})"")"),"6219861085062957")</f>
        <v>6219861085062957</v>
      </c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spans="1:27" ht="25.5" customHeight="1">
      <c r="A365" s="15">
        <v>364</v>
      </c>
      <c r="B365" s="15" t="s">
        <v>1668</v>
      </c>
      <c r="C365" s="16" t="s">
        <v>1681</v>
      </c>
      <c r="D365" s="18" t="str">
        <f ca="1">VLOOKUP(G365, Cards!A:B, 2, FALSE)</f>
        <v>علي ابراهيميان</v>
      </c>
      <c r="E365" s="18">
        <v>0</v>
      </c>
      <c r="F365" s="19">
        <v>23000000</v>
      </c>
      <c r="G365" s="21" t="str">
        <f ca="1">IFERROR(__xludf.DUMMYFUNCTION("REGEXEXTRACT(C366, ""ک\s(\d{16})"")"),"6219861085062957")</f>
        <v>6219861085062957</v>
      </c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spans="1:27" ht="25.5" customHeight="1">
      <c r="A366" s="15">
        <v>365</v>
      </c>
      <c r="B366" s="15" t="s">
        <v>1682</v>
      </c>
      <c r="C366" s="16" t="s">
        <v>1683</v>
      </c>
      <c r="D366" s="18" t="str">
        <f ca="1">VLOOKUP(G366, Cards!A:B, 2, FALSE)</f>
        <v>علي ابراهيميان</v>
      </c>
      <c r="E366" s="18">
        <v>0</v>
      </c>
      <c r="F366" s="19">
        <v>7200</v>
      </c>
      <c r="G366" s="21" t="str">
        <f ca="1">IFERROR(__xludf.DUMMYFUNCTION("REGEXEXTRACT(C367, ""ک\s(\d{16})"")"),"6219861085062957")</f>
        <v>6219861085062957</v>
      </c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spans="1:27" ht="25.5" customHeight="1">
      <c r="A367" s="15">
        <v>366</v>
      </c>
      <c r="B367" s="15" t="s">
        <v>1682</v>
      </c>
      <c r="C367" s="16" t="s">
        <v>1684</v>
      </c>
      <c r="D367" s="18" t="str">
        <f ca="1">VLOOKUP(G367, Cards!A:B, 2, FALSE)</f>
        <v>مهدي ابراهيميان</v>
      </c>
      <c r="E367" s="18">
        <v>0</v>
      </c>
      <c r="F367" s="19">
        <v>5000000</v>
      </c>
      <c r="G367" s="21" t="str">
        <f ca="1">IFERROR(__xludf.DUMMYFUNCTION("REGEXEXTRACT(C368, ""ک\s(\d{16})"")"),"6219861050987337")</f>
        <v>6219861050987337</v>
      </c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spans="1:27" ht="25.5" customHeight="1">
      <c r="A368" s="15">
        <v>367</v>
      </c>
      <c r="B368" s="15" t="s">
        <v>1682</v>
      </c>
      <c r="C368" s="16" t="s">
        <v>1685</v>
      </c>
      <c r="D368" s="18" t="str">
        <f ca="1">VLOOKUP(G368, Cards!A:B, 2, FALSE)</f>
        <v>علي ابراهيميان</v>
      </c>
      <c r="E368" s="18">
        <v>0</v>
      </c>
      <c r="F368" s="19">
        <v>7200</v>
      </c>
      <c r="G368" s="21" t="str">
        <f ca="1">IFERROR(__xludf.DUMMYFUNCTION("REGEXEXTRACT(C369, ""ک\s(\d{16})"")"),"6219861085062957")</f>
        <v>6219861085062957</v>
      </c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spans="1:27" ht="25.5" customHeight="1">
      <c r="A369" s="15">
        <v>368</v>
      </c>
      <c r="B369" s="15" t="s">
        <v>1682</v>
      </c>
      <c r="C369" s="16" t="s">
        <v>1686</v>
      </c>
      <c r="D369" s="18" t="e">
        <f ca="1">VLOOKUP(G369, Cards!A:B, 2, FALSE)</f>
        <v>#N/A</v>
      </c>
      <c r="E369" s="18">
        <v>0</v>
      </c>
      <c r="F369" s="19">
        <v>9600000</v>
      </c>
      <c r="G369" s="21" t="str">
        <f ca="1">IFERROR(__xludf.DUMMYFUNCTION("REGEXEXTRACT(C370, ""ک\s(\d{16})"")"),"6037997381658112")</f>
        <v>6037997381658112</v>
      </c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spans="1:27" ht="25.5" customHeight="1">
      <c r="A370" s="15">
        <v>369</v>
      </c>
      <c r="B370" s="15" t="s">
        <v>1682</v>
      </c>
      <c r="C370" s="16" t="s">
        <v>1687</v>
      </c>
      <c r="D370" s="18" t="str">
        <f ca="1">VLOOKUP(G370, Cards!A:B, 2, FALSE)</f>
        <v>علي ابراهيميان</v>
      </c>
      <c r="E370" s="18">
        <v>0</v>
      </c>
      <c r="F370" s="19">
        <v>12800</v>
      </c>
      <c r="G370" s="21" t="str">
        <f ca="1">IFERROR(__xludf.DUMMYFUNCTION("REGEXEXTRACT(C371, ""ک\s(\d{16})"")"),"6219861085062957")</f>
        <v>6219861085062957</v>
      </c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spans="1:27" ht="25.5" customHeight="1">
      <c r="A371" s="15">
        <v>370</v>
      </c>
      <c r="B371" s="15" t="s">
        <v>1682</v>
      </c>
      <c r="C371" s="16" t="s">
        <v>1688</v>
      </c>
      <c r="D371" s="18" t="str">
        <f ca="1">VLOOKUP(G371, Cards!A:B, 2, FALSE)</f>
        <v>محسن خانگاه</v>
      </c>
      <c r="E371" s="18">
        <v>0</v>
      </c>
      <c r="F371" s="19">
        <v>28510000</v>
      </c>
      <c r="G371" s="21" t="str">
        <f ca="1">IFERROR(__xludf.DUMMYFUNCTION("REGEXEXTRACT(C372, ""ک\s(\d{16})"")"),"6274121208660688")</f>
        <v>6274121208660688</v>
      </c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spans="1:27" ht="25.5" customHeight="1">
      <c r="A372" s="15">
        <v>371</v>
      </c>
      <c r="B372" s="15" t="s">
        <v>1682</v>
      </c>
      <c r="C372" s="16" t="s">
        <v>1689</v>
      </c>
      <c r="D372" s="18" t="str">
        <f ca="1">VLOOKUP(G372, Cards!A:B, 2, FALSE)</f>
        <v>علي ابراهيميان</v>
      </c>
      <c r="E372" s="18">
        <v>0</v>
      </c>
      <c r="F372" s="19">
        <v>10000</v>
      </c>
      <c r="G372" s="21" t="str">
        <f ca="1">IFERROR(__xludf.DUMMYFUNCTION("REGEXEXTRACT(C373, ""ک\s(\d{16})"")"),"6219861085062957")</f>
        <v>6219861085062957</v>
      </c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spans="1:27" ht="25.5" customHeight="1">
      <c r="A373" s="15">
        <v>372</v>
      </c>
      <c r="B373" s="15" t="s">
        <v>1682</v>
      </c>
      <c r="C373" s="16" t="s">
        <v>1690</v>
      </c>
      <c r="D373" s="18" t="e">
        <f ca="1">VLOOKUP(G373, Cards!A:B, 2, FALSE)</f>
        <v>#N/A</v>
      </c>
      <c r="E373" s="18">
        <v>0</v>
      </c>
      <c r="F373" s="19">
        <v>20000000</v>
      </c>
      <c r="G373" s="21" t="str">
        <f ca="1">IFERROR(__xludf.DUMMYFUNCTION("REGEXEXTRACT(C374, ""ک\s(\d{16})"")"),"6037697454531903")</f>
        <v>6037697454531903</v>
      </c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spans="1:27" ht="25.5" customHeight="1">
      <c r="A374" s="15">
        <v>373</v>
      </c>
      <c r="B374" s="15" t="s">
        <v>1682</v>
      </c>
      <c r="C374" s="16" t="s">
        <v>1691</v>
      </c>
      <c r="D374" s="18" t="e">
        <f ca="1">VLOOKUP(G374, Cards!A:B, 2, FALSE)</f>
        <v>#N/A</v>
      </c>
      <c r="E374" s="18">
        <v>137000000</v>
      </c>
      <c r="F374" s="19">
        <v>0</v>
      </c>
      <c r="G374" s="21" t="str">
        <f ca="1">IFERROR(__xludf.DUMMYFUNCTION("REGEXEXTRACT(C375, ""ک\s(\d{16})"")"),"#N/A")</f>
        <v>#N/A</v>
      </c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spans="1:27" ht="25.5" customHeight="1">
      <c r="A375" s="15">
        <v>374</v>
      </c>
      <c r="B375" s="15" t="s">
        <v>1682</v>
      </c>
      <c r="C375" s="16" t="s">
        <v>1692</v>
      </c>
      <c r="D375" s="18" t="e">
        <f ca="1">VLOOKUP(G375, Cards!A:B, 2, FALSE)</f>
        <v>#N/A</v>
      </c>
      <c r="E375" s="18">
        <v>9000000</v>
      </c>
      <c r="F375" s="19">
        <v>0</v>
      </c>
      <c r="G375" s="21" t="str">
        <f ca="1">IFERROR(__xludf.DUMMYFUNCTION("REGEXEXTRACT(C376, ""ک\s(\d{16})"")"),"#N/A")</f>
        <v>#N/A</v>
      </c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spans="1:27" ht="25.5" customHeight="1">
      <c r="A376" s="15">
        <v>375</v>
      </c>
      <c r="B376" s="15" t="s">
        <v>1693</v>
      </c>
      <c r="C376" s="16" t="s">
        <v>1694</v>
      </c>
      <c r="D376" s="18" t="str">
        <f ca="1">VLOOKUP(G376, Cards!A:B, 2, FALSE)</f>
        <v>علي ابراهيميان</v>
      </c>
      <c r="E376" s="18">
        <v>0</v>
      </c>
      <c r="F376" s="19">
        <v>1440</v>
      </c>
      <c r="G376" s="21" t="str">
        <f ca="1">IFERROR(__xludf.DUMMYFUNCTION("REGEXEXTRACT(C377, ""ک\s(\d{16})"")"),"6219861085062957")</f>
        <v>6219861085062957</v>
      </c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spans="1:27" ht="25.5" customHeight="1">
      <c r="A377" s="15">
        <v>376</v>
      </c>
      <c r="B377" s="15" t="s">
        <v>1693</v>
      </c>
      <c r="C377" s="16" t="s">
        <v>1695</v>
      </c>
      <c r="D377" s="18" t="str">
        <f ca="1">VLOOKUP(G377, Cards!A:B, 2, FALSE)</f>
        <v>علي ابراهيميان</v>
      </c>
      <c r="E377" s="18">
        <v>0</v>
      </c>
      <c r="F377" s="19">
        <v>1850000</v>
      </c>
      <c r="G377" s="21" t="str">
        <f ca="1">IFERROR(__xludf.DUMMYFUNCTION("REGEXEXTRACT(C378, ""ک\s(\d{16})"")"),"6219861085062957")</f>
        <v>6219861085062957</v>
      </c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spans="1:27" ht="25.5" customHeight="1">
      <c r="A378" s="15">
        <v>377</v>
      </c>
      <c r="B378" s="15" t="s">
        <v>1693</v>
      </c>
      <c r="C378" s="16" t="s">
        <v>1696</v>
      </c>
      <c r="D378" s="18" t="str">
        <f ca="1">VLOOKUP(G378, Cards!A:B, 2, FALSE)</f>
        <v>علي ابراهيميان</v>
      </c>
      <c r="E378" s="18">
        <v>0</v>
      </c>
      <c r="F378" s="19">
        <v>700000</v>
      </c>
      <c r="G378" s="21" t="str">
        <f ca="1">IFERROR(__xludf.DUMMYFUNCTION("REGEXEXTRACT(C379, ""ک\s(\d{16})"")"),"6219861085062957")</f>
        <v>6219861085062957</v>
      </c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spans="1:27" ht="25.5" customHeight="1">
      <c r="A379" s="15">
        <v>378</v>
      </c>
      <c r="B379" s="15" t="s">
        <v>1693</v>
      </c>
      <c r="C379" s="16" t="s">
        <v>1697</v>
      </c>
      <c r="D379" s="18" t="str">
        <f ca="1">VLOOKUP(G379, Cards!A:B, 2, FALSE)</f>
        <v>علي ابراهيميان</v>
      </c>
      <c r="E379" s="18">
        <v>0</v>
      </c>
      <c r="F379" s="19">
        <v>1440</v>
      </c>
      <c r="G379" s="21" t="str">
        <f ca="1">IFERROR(__xludf.DUMMYFUNCTION("REGEXEXTRACT(C380, ""ک\s(\d{16})"")"),"6219861085062957")</f>
        <v>6219861085062957</v>
      </c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spans="1:27" ht="25.5" customHeight="1">
      <c r="A380" s="15">
        <v>379</v>
      </c>
      <c r="B380" s="15" t="s">
        <v>1693</v>
      </c>
      <c r="C380" s="16" t="s">
        <v>1698</v>
      </c>
      <c r="D380" s="18" t="e">
        <f ca="1">VLOOKUP(G380, Cards!A:B, 2, FALSE)</f>
        <v>#N/A</v>
      </c>
      <c r="E380" s="18">
        <v>350000</v>
      </c>
      <c r="F380" s="19">
        <v>0</v>
      </c>
      <c r="G380" s="21" t="str">
        <f ca="1">IFERROR(__xludf.DUMMYFUNCTION("REGEXEXTRACT(C381, ""ک\s(\d{16})"")"),"5892101206409191")</f>
        <v>5892101206409191</v>
      </c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spans="1:27" ht="25.5" customHeight="1">
      <c r="A381" s="15">
        <v>380</v>
      </c>
      <c r="B381" s="15" t="s">
        <v>1693</v>
      </c>
      <c r="C381" s="16" t="s">
        <v>1699</v>
      </c>
      <c r="D381" s="18" t="str">
        <f ca="1">VLOOKUP(G381, Cards!A:B, 2, FALSE)</f>
        <v>علي ابراهيميان</v>
      </c>
      <c r="E381" s="18">
        <v>0</v>
      </c>
      <c r="F381" s="19">
        <v>7760000</v>
      </c>
      <c r="G381" s="21" t="str">
        <f ca="1">IFERROR(__xludf.DUMMYFUNCTION("REGEXEXTRACT(C382, ""ک\s(\d{16})"")"),"6219861085062957")</f>
        <v>6219861085062957</v>
      </c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spans="1:27" ht="25.5" customHeight="1">
      <c r="A382" s="15">
        <v>381</v>
      </c>
      <c r="B382" s="15" t="s">
        <v>1693</v>
      </c>
      <c r="C382" s="16" t="s">
        <v>1700</v>
      </c>
      <c r="D382" s="18" t="str">
        <f ca="1">VLOOKUP(G382, Cards!A:B, 2, FALSE)</f>
        <v>علي ابراهيميان</v>
      </c>
      <c r="E382" s="18">
        <v>0</v>
      </c>
      <c r="F382" s="19">
        <v>15600</v>
      </c>
      <c r="G382" s="21" t="str">
        <f ca="1">IFERROR(__xludf.DUMMYFUNCTION("REGEXEXTRACT(C383, ""ک\s(\d{16})"")"),"6219861085062957")</f>
        <v>6219861085062957</v>
      </c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spans="1:27" ht="25.5" customHeight="1">
      <c r="A383" s="15">
        <v>382</v>
      </c>
      <c r="B383" s="15" t="s">
        <v>1693</v>
      </c>
      <c r="C383" s="16" t="s">
        <v>1701</v>
      </c>
      <c r="D383" s="18" t="str">
        <f ca="1">VLOOKUP(G383, Cards!A:B, 2, FALSE)</f>
        <v>محمد کريمي</v>
      </c>
      <c r="E383" s="18">
        <v>0</v>
      </c>
      <c r="F383" s="19">
        <v>33494600</v>
      </c>
      <c r="G383" s="21" t="str">
        <f ca="1">IFERROR(__xludf.DUMMYFUNCTION("REGEXEXTRACT(C384, ""ک\s(\d{16})"")"),"5892101643117522")</f>
        <v>5892101643117522</v>
      </c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spans="1:27" ht="25.5" customHeight="1">
      <c r="A384" s="15">
        <v>383</v>
      </c>
      <c r="B384" s="15" t="s">
        <v>1693</v>
      </c>
      <c r="C384" s="16" t="s">
        <v>1702</v>
      </c>
      <c r="D384" s="18" t="str">
        <f ca="1">VLOOKUP(G384, Cards!A:B, 2, FALSE)</f>
        <v>علي ابراهيميان</v>
      </c>
      <c r="E384" s="18">
        <v>0</v>
      </c>
      <c r="F384" s="19">
        <v>18400</v>
      </c>
      <c r="G384" s="21" t="str">
        <f ca="1">IFERROR(__xludf.DUMMYFUNCTION("REGEXEXTRACT(C385, ""ک\s(\d{16})"")"),"6219861085062957")</f>
        <v>6219861085062957</v>
      </c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spans="1:27" ht="25.5" customHeight="1">
      <c r="A385" s="15">
        <v>384</v>
      </c>
      <c r="B385" s="15" t="s">
        <v>1693</v>
      </c>
      <c r="C385" s="16" t="s">
        <v>1703</v>
      </c>
      <c r="D385" s="18" t="str">
        <f ca="1">VLOOKUP(G385, Cards!A:B, 2, FALSE)</f>
        <v>محسن واسعي</v>
      </c>
      <c r="E385" s="18">
        <v>0</v>
      </c>
      <c r="F385" s="19">
        <v>50000000</v>
      </c>
      <c r="G385" s="21" t="str">
        <f ca="1">IFERROR(__xludf.DUMMYFUNCTION("REGEXEXTRACT(C386, ""ک\s(\d{16})"")"),"5892101413472149")</f>
        <v>5892101413472149</v>
      </c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spans="1:27" ht="25.5" customHeight="1">
      <c r="A386" s="15">
        <v>385</v>
      </c>
      <c r="B386" s="15" t="s">
        <v>1693</v>
      </c>
      <c r="C386" s="16" t="s">
        <v>1704</v>
      </c>
      <c r="D386" s="18" t="e">
        <f ca="1">VLOOKUP(G386, Cards!A:B, 2, FALSE)</f>
        <v>#N/A</v>
      </c>
      <c r="E386" s="18">
        <v>600000</v>
      </c>
      <c r="F386" s="19">
        <v>0</v>
      </c>
      <c r="G386" s="21" t="str">
        <f ca="1">IFERROR(__xludf.DUMMYFUNCTION("REGEXEXTRACT(C387, ""ک\s(\d{16})"")"),"5859831825969560")</f>
        <v>5859831825969560</v>
      </c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spans="1:27" ht="25.5" customHeight="1">
      <c r="A387" s="15">
        <v>386</v>
      </c>
      <c r="B387" s="15" t="s">
        <v>1693</v>
      </c>
      <c r="C387" s="16" t="s">
        <v>1705</v>
      </c>
      <c r="D387" s="18" t="e">
        <f ca="1">VLOOKUP(G387, Cards!A:B, 2, FALSE)</f>
        <v>#N/A</v>
      </c>
      <c r="E387" s="18">
        <v>600000</v>
      </c>
      <c r="F387" s="19">
        <v>0</v>
      </c>
      <c r="G387" s="21" t="str">
        <f ca="1">IFERROR(__xludf.DUMMYFUNCTION("REGEXEXTRACT(C388, ""ک\s(\d{16})"")"),"6221061250693399")</f>
        <v>6221061250693399</v>
      </c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spans="1:27" ht="25.5" customHeight="1">
      <c r="A388" s="15">
        <v>387</v>
      </c>
      <c r="B388" s="15" t="s">
        <v>1693</v>
      </c>
      <c r="C388" s="16" t="s">
        <v>1706</v>
      </c>
      <c r="D388" s="18" t="e">
        <f ca="1">VLOOKUP(G388, Cards!A:B, 2, FALSE)</f>
        <v>#N/A</v>
      </c>
      <c r="E388" s="18">
        <v>42000000</v>
      </c>
      <c r="F388" s="19">
        <v>0</v>
      </c>
      <c r="G388" s="21" t="str">
        <f ca="1">IFERROR(__xludf.DUMMYFUNCTION("REGEXEXTRACT(C389, ""ک\s(\d{16})"")"),"#N/A")</f>
        <v>#N/A</v>
      </c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spans="1:27" ht="33.75" customHeight="1">
      <c r="A389" s="15">
        <v>388</v>
      </c>
      <c r="B389" s="15" t="s">
        <v>1693</v>
      </c>
      <c r="C389" s="16" t="s">
        <v>1707</v>
      </c>
      <c r="D389" s="18" t="e">
        <f ca="1">VLOOKUP(G389, Cards!A:B, 2, FALSE)</f>
        <v>#N/A</v>
      </c>
      <c r="E389" s="18">
        <v>94000000</v>
      </c>
      <c r="F389" s="19">
        <v>0</v>
      </c>
      <c r="G389" s="21" t="str">
        <f ca="1">IFERROR(__xludf.DUMMYFUNCTION("REGEXEXTRACT(C390, ""ک\s(\d{16})"")"),"#N/A")</f>
        <v>#N/A</v>
      </c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spans="1:27" ht="11.2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spans="1:27" ht="11.2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spans="1:27" ht="11.2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spans="1:27" ht="11.2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spans="1:27" ht="11.2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spans="1:27" ht="11.2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spans="1:27" ht="11.2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spans="1:27" ht="11.2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spans="1:27" ht="11.2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spans="1:27" ht="11.2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spans="1:27" ht="11.2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spans="1:27" ht="11.2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spans="1:27" ht="11.2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spans="1:27" ht="11.2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spans="1:27" ht="11.2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spans="1:27" ht="11.2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spans="1:27" ht="11.2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spans="1:27" ht="11.2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spans="1:27" ht="11.2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spans="1:27" ht="11.2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spans="1:27" ht="11.2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spans="1:27" ht="11.2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spans="1:27" ht="11.2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spans="1:27" ht="11.2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spans="1:27" ht="11.2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spans="1:27" ht="11.2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spans="1:27" ht="11.2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spans="1:27" ht="11.2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spans="1:27" ht="11.2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spans="1:27" ht="11.2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spans="1:27" ht="11.2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spans="1:27" ht="11.2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spans="1:27" ht="11.2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spans="1:27" ht="11.2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spans="1:27" ht="11.2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spans="1:27" ht="11.2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spans="1:27" ht="11.2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spans="1:27" ht="11.2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spans="1:27" ht="11.2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spans="1:27" ht="11.2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spans="1:27" ht="11.2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spans="1:27" ht="11.2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spans="1:27" ht="11.2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spans="1:27" ht="11.2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spans="1:27" ht="11.2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spans="1:27" ht="11.2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spans="1:27" ht="11.2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spans="1:27" ht="11.2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spans="1:27" ht="11.2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spans="1:27" ht="11.2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spans="1:27" ht="11.2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spans="1:27" ht="11.2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spans="1:27" ht="11.2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spans="1:27" ht="11.2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spans="1:27" ht="11.2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spans="1:27" ht="11.2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spans="1:27" ht="11.2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spans="1:27" ht="11.2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spans="1:27" ht="11.2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spans="1:27" ht="11.2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spans="1:27" ht="11.2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spans="1:27" ht="11.2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spans="1:27" ht="11.2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spans="1:27" ht="11.2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spans="1:27" ht="11.2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spans="1:27" ht="11.2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spans="1:27" ht="11.2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spans="1:27" ht="11.2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spans="1:27" ht="11.2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spans="1:27" ht="11.2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spans="1:27" ht="11.2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spans="1:27" ht="11.2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spans="1:27" ht="11.2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spans="1:27" ht="11.2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spans="1:27" ht="11.2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spans="1:27" ht="11.2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spans="1:27" ht="11.2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spans="1:27" ht="11.2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spans="1:27" ht="11.2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spans="1:27" ht="11.2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spans="1:27" ht="11.2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spans="1:27" ht="11.2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spans="1:27" ht="11.2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spans="1:27" ht="11.2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spans="1:27" ht="11.2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spans="1:27" ht="11.2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spans="1:27" ht="11.2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spans="1:27" ht="11.2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spans="1:27" ht="11.2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spans="1:27" ht="11.2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spans="1:27" ht="11.2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spans="1:27" ht="11.2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spans="1:27" ht="11.2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spans="1:27" ht="11.2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spans="1:27" ht="11.2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spans="1:27" ht="11.2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spans="1:27" ht="11.2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spans="1:27" ht="11.2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spans="1:27" ht="11.2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spans="1:27" ht="11.2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spans="1:27" ht="11.2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spans="1:27" ht="11.2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spans="1:27" ht="11.2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spans="1:27" ht="11.2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spans="1:27" ht="11.2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spans="1:27" ht="11.2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spans="1:27" ht="11.2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spans="1:27" ht="11.2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spans="1:27" ht="11.2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spans="1:27" ht="11.2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spans="1:27" ht="11.2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spans="1:27" ht="11.2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spans="1:27" ht="11.2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spans="1:27" ht="11.2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spans="1:27" ht="11.2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spans="1:27" ht="11.2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spans="1:27" ht="11.2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spans="1:27" ht="11.2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spans="1:27" ht="11.2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spans="1:27" ht="11.2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spans="1:27" ht="11.2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spans="1:27" ht="11.2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spans="1:27" ht="11.2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spans="1:27" ht="11.2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spans="1:27" ht="11.2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spans="1:27" ht="11.2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spans="1:27" ht="11.2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spans="1:27" ht="11.2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spans="1:27" ht="11.2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spans="1:27" ht="11.2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spans="1:27" ht="11.2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spans="1:27" ht="11.2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spans="1:27" ht="11.2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spans="1:27" ht="11.2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spans="1:27" ht="11.2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spans="1:27" ht="11.2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spans="1:27" ht="11.2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spans="1:27" ht="11.2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spans="1:27" ht="11.2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spans="1:27" ht="11.2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spans="1:27" ht="11.2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spans="1:27" ht="11.2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spans="1:27" ht="11.2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spans="1:27" ht="11.2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spans="1:27" ht="11.2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spans="1:27" ht="11.2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spans="1:27" ht="11.2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spans="1:27" ht="11.2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spans="1:27" ht="11.2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spans="1:27" ht="11.2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spans="1:27" ht="11.2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spans="1:27" ht="11.2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spans="1:27" ht="11.2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spans="1:27" ht="11.2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spans="1:27" ht="11.2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spans="1:27" ht="11.2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spans="1:27" ht="11.2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spans="1:27" ht="11.2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spans="1:27" ht="11.2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spans="1:27" ht="11.2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spans="1:27" ht="11.2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spans="1:27" ht="11.2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spans="1:27" ht="11.2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spans="1:27" ht="11.2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spans="1:27" ht="11.2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spans="1:27" ht="11.2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spans="1:27" ht="11.2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spans="1:27" ht="11.2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spans="1:27" ht="11.2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spans="1:27" ht="11.2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spans="1:27" ht="11.2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spans="1:27" ht="11.2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spans="1:27" ht="11.2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spans="1:27" ht="11.2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spans="1:27" ht="11.2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spans="1:27" ht="11.2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spans="1:27" ht="11.2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spans="1:27" ht="11.2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spans="1:27" ht="11.2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spans="1:27" ht="11.2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spans="1:27" ht="11.2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spans="1:27" ht="11.2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spans="1:27" ht="11.2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spans="1:27" ht="11.2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spans="1:27" ht="11.2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spans="1:27" ht="11.2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spans="1:27" ht="11.2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spans="1:27" ht="11.2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spans="1:27" ht="11.2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spans="1:27" ht="11.2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spans="1:27" ht="11.2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spans="1:27" ht="11.2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spans="1:27" ht="11.2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spans="1:27" ht="11.2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spans="1:27" ht="11.2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spans="1:27" ht="11.2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spans="1:27" ht="11.2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spans="1:27" ht="11.2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spans="1:27" ht="11.2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spans="1:27" ht="11.2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spans="1:27" ht="11.2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spans="1:27" ht="11.2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spans="1:27" ht="11.2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spans="1:27" ht="11.2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spans="1:27" ht="11.2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spans="1:27" ht="11.2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spans="1:27" ht="11.2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spans="1:27" ht="11.2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spans="1:27" ht="11.2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spans="1:27" ht="11.2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spans="1:27" ht="11.2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spans="1:27" ht="11.2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spans="1:27" ht="11.2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spans="1:27" ht="11.2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spans="1:27" ht="11.2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spans="1:27" ht="11.2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spans="1:27" ht="11.2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spans="1:27" ht="11.2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spans="1:27" ht="11.2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spans="1:27" ht="11.2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spans="1:27" ht="11.2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spans="1:27" ht="11.2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spans="1:27" ht="11.2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spans="1:27" ht="11.2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spans="1:27" ht="11.2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spans="1:27" ht="11.2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spans="1:27" ht="11.2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spans="1:27" ht="11.2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spans="1:27" ht="11.2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spans="1:27" ht="11.2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spans="1:27" ht="11.2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spans="1:27" ht="11.2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spans="1:27" ht="11.2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spans="1:27" ht="11.2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spans="1:27" ht="11.2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spans="1:27" ht="11.2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spans="1:27" ht="11.2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spans="1:27" ht="11.2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spans="1:27" ht="11.2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spans="1:27" ht="11.2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spans="1:27" ht="11.2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spans="1:27" ht="11.2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spans="1:27" ht="11.2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spans="1:27" ht="11.2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spans="1:27" ht="11.2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spans="1:27" ht="11.2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spans="1:27" ht="11.2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spans="1:27" ht="11.2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spans="1:27" ht="11.2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spans="1:27" ht="11.2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spans="1:27" ht="11.2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spans="1:27" ht="11.2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spans="1:27" ht="11.2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spans="1:27" ht="11.2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spans="1:27" ht="11.2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spans="1:27" ht="11.2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spans="1:27" ht="11.2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spans="1:27" ht="11.2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spans="1:27" ht="11.2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spans="1:27" ht="11.2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spans="1:27" ht="11.2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spans="1:27" ht="11.2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spans="1:27" ht="11.2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spans="1:27" ht="11.2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spans="1:27" ht="11.2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spans="1:27" ht="11.2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spans="1:27" ht="11.2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spans="1:27" ht="11.2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spans="1:27" ht="11.2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spans="1:27" ht="11.2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spans="1:27" ht="11.2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spans="1:27" ht="11.2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spans="1:27" ht="11.2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spans="1:27" ht="11.2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spans="1:27" ht="11.2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spans="1:27" ht="11.2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spans="1:27" ht="11.2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spans="1:27" ht="11.2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spans="1:27" ht="11.2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spans="1:27" ht="11.2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spans="1:27" ht="11.2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spans="1:27" ht="11.2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spans="1:27" ht="11.2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spans="1:27" ht="11.2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spans="1:27" ht="11.2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spans="1:27" ht="11.2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spans="1:27" ht="11.2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spans="1:27" ht="11.2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spans="1:27" ht="11.2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spans="1:27" ht="11.2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spans="1:27" ht="11.2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spans="1:27" ht="11.2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spans="1:27" ht="11.2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spans="1:27" ht="11.2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spans="1:27" ht="11.2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spans="1:27" ht="11.2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spans="1:27" ht="11.2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spans="1:27" ht="11.2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spans="1:27" ht="11.2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spans="1:27" ht="11.2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spans="1:27" ht="11.2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spans="1:27" ht="11.2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spans="1:27" ht="11.2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spans="1:27" ht="11.2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spans="1:27" ht="11.2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spans="1:27" ht="11.2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spans="1:27" ht="11.2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spans="1:27" ht="11.2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spans="1:27" ht="11.2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spans="1:27" ht="11.2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spans="1:27" ht="11.2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spans="1:27" ht="11.2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spans="1:27" ht="11.2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spans="1:27" ht="11.2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spans="1:27" ht="11.2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spans="1:27" ht="11.2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spans="1:27" ht="11.2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spans="1:27" ht="11.2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spans="1:27" ht="11.2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spans="1:27" ht="11.2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spans="1:27" ht="11.2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spans="1:27" ht="11.2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spans="1:27" ht="11.2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1:27" ht="11.2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1:27" ht="11.2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1:27" ht="11.2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1:27" ht="11.2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1:27" ht="11.2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1:27" ht="11.2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1:27" ht="11.2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1:27" ht="11.2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1:27" ht="11.2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1:27" ht="11.2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1:27" ht="11.2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1:27" ht="11.2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1:27" ht="11.2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1:27" ht="11.2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1:27" ht="11.2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1:27" ht="11.2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1:27" ht="11.2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1:27" ht="11.2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1:27" ht="11.2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1:27" ht="11.2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1:27" ht="11.2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1:27" ht="11.2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1:27" ht="11.2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1:27" ht="11.2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1:27" ht="11.2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1:27" ht="11.2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1:27" ht="11.2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1:27" ht="11.2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1:27" ht="11.2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1:27" ht="11.2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1:27" ht="11.2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1:27" ht="11.2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1:27" ht="11.2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1:27" ht="11.2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1:27" ht="11.2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1:27" ht="11.2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1:27" ht="11.2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1:27" ht="11.2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1:27" ht="11.2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1:27" ht="11.2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1:27" ht="11.2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1:27" ht="11.2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1:27" ht="11.2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1:27" ht="11.2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1:27" ht="11.2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1:27" ht="11.2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1:27" ht="11.2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1:27" ht="11.2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1:27" ht="11.2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1:27" ht="11.2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1:27" ht="11.2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1:27" ht="11.2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1:27" ht="11.2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1:27" ht="11.2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1:27" ht="11.2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1:27" ht="11.2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1:27" ht="11.2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1:27" ht="11.2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1:27" ht="11.2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1:27" ht="11.2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1:27" ht="11.2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1:27" ht="11.2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1:27" ht="11.2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1:27" ht="11.2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1:27" ht="11.2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1:27" ht="11.2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1:27" ht="11.2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1:27" ht="11.2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1:27" ht="11.2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1:27" ht="11.2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1:27" ht="11.2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1:27" ht="11.2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1:27" ht="11.2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1:27" ht="11.2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1:27" ht="11.2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1:27" ht="11.2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1:27" ht="11.2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1:27" ht="11.2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1:27" ht="11.2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1:27" ht="11.2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1:27" ht="11.2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1:27" ht="11.2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1:27" ht="11.2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1:27" ht="11.2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1:27" ht="11.2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1:27" ht="11.2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1:27" ht="11.2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1:27" ht="11.2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1:27" ht="11.2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1:27" ht="11.2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1:27" ht="11.2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1:27" ht="11.2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1:27" ht="11.2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1:27" ht="11.2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1:27" ht="11.2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1:27" ht="11.2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1:27" ht="11.2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1:27" ht="11.2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1:27" ht="11.2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1:27" ht="11.2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1:27" ht="11.2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1:27" ht="11.2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1:27" ht="11.2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1:27" ht="11.2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1:27" ht="11.2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1:27" ht="11.2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1:27" ht="11.2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1:27" ht="11.2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1:27" ht="11.2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1:27" ht="11.2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1:27" ht="11.2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1:27" ht="11.2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1:27" ht="11.2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1:27" ht="11.2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1:27" ht="11.2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1:27" ht="11.2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1:27" ht="11.2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1:27" ht="11.2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1:27" ht="11.2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1:27" ht="11.2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1:27" ht="11.2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1:27" ht="11.2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1:27" ht="11.2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1:27" ht="11.2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1:27" ht="11.2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1:27" ht="11.2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1:27" ht="11.2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1:27" ht="11.2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1:27" ht="11.2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1:27" ht="11.2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1:27" ht="11.2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1:27" ht="11.2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1:27" ht="11.2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1:27" ht="11.2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1:27" ht="11.2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1:27" ht="11.2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1:27" ht="11.2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1:27" ht="11.2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1:27" ht="11.2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1:27" ht="11.2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1:27" ht="11.2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1:27" ht="11.2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1:27" ht="11.2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1:27" ht="11.2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1:27" ht="11.2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1:27" ht="11.2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1:27" ht="11.2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1:27" ht="11.2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1:27" ht="11.2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1:27" ht="11.2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1:27" ht="11.2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1:27" ht="11.2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1:27" ht="11.2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1:27" ht="11.2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1:27" ht="11.2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1:27" ht="11.2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1:27" ht="11.2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1:27" ht="11.2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1:27" ht="11.2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1:27" ht="11.2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1:27" ht="11.2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1:27" ht="11.2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1:27" ht="11.2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1:27" ht="11.2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1:27" ht="11.2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1:27" ht="11.2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1:27" ht="11.2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1:27" ht="11.2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1:27" ht="11.2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1:27" ht="11.2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1:27" ht="11.2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1:27" ht="11.2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1:27" ht="11.2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1:27" ht="11.2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1:27" ht="11.2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1:27" ht="11.2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1:27" ht="11.2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1:27" ht="11.2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1:27" ht="11.2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1:27" ht="11.2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1:27" ht="11.2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1:27" ht="11.2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1:27" ht="11.2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1:27" ht="11.2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1:27" ht="11.2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1:27" ht="11.2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1:27" ht="11.2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1:27" ht="11.2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1:27" ht="11.2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1:27" ht="11.2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1:27" ht="11.2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1:27" ht="11.2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1:27" ht="11.2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1:27" ht="11.2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1:27" ht="11.2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1:27" ht="11.2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1:27" ht="11.2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1:27" ht="11.2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1:27" ht="11.2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1:27" ht="11.2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1:27" ht="11.2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1:27" ht="11.2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1:27" ht="11.2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1:27" ht="11.2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1:27" ht="11.2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1:27" ht="11.2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1:27" ht="11.2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1:27" ht="11.2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1:27" ht="11.2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1:27" ht="11.2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1:27" ht="11.2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1:27" ht="11.2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1:27" ht="11.2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1:27" ht="11.2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1:27" ht="11.2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1:27" ht="11.2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1:27" ht="11.2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1:27" ht="11.2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1:27" ht="11.2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1:27" ht="11.2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1:27" ht="11.2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1:27" ht="11.2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1:27" ht="11.2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1:27" ht="11.2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1:27" ht="11.2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1:27" ht="11.2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1:27" ht="11.2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1:27" ht="11.2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1:27" ht="11.2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1:27" ht="11.2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1:27" ht="11.2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1:27" ht="11.2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1:27" ht="11.2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1:27" ht="11.2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1:27" ht="11.2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1:27" ht="11.2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1:27" ht="11.2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1:27" ht="11.2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1:27" ht="11.2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1:27" ht="11.2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1:27" ht="11.2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1:27" ht="11.2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1:27" ht="11.2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1:27" ht="11.2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1:27" ht="11.2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1:27" ht="11.2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1:27" ht="11.2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1:27" ht="11.2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1:27" ht="11.2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1:27" ht="11.2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1:27" ht="11.2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1:27" ht="11.2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1:27" ht="11.2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1:27" ht="11.2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1:27" ht="11.2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1:27" ht="11.2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1:27" ht="11.2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1:27" ht="11.2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1:27" ht="11.2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1:27" ht="11.2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1:27" ht="11.2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1:27" ht="11.2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1:27" ht="11.2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1:27" ht="11.2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1:27" ht="11.2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1:27" ht="11.2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1:27" ht="11.2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1:27" ht="11.2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1:27" ht="11.2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1:27" ht="11.2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1:27" ht="11.2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1:27" ht="11.2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1:27" ht="11.2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1:27" ht="11.2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1:27" ht="11.2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1:27" ht="11.2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Cards</vt:lpstr>
      <vt:lpstr>Final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Saleh Ebrahimian</cp:lastModifiedBy>
  <dcterms:modified xsi:type="dcterms:W3CDTF">2025-06-26T09:20:43Z</dcterms:modified>
</cp:coreProperties>
</file>