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صورت‌حساب" sheetId="1" r:id="rId4"/>
    <sheet state="visible" name="Cards" sheetId="2" r:id="rId5"/>
    <sheet state="visible" name="Final_Data" sheetId="3" r:id="rId6"/>
  </sheets>
  <definedNames/>
  <calcPr/>
</workbook>
</file>

<file path=xl/sharedStrings.xml><?xml version="1.0" encoding="utf-8"?>
<sst xmlns="http://schemas.openxmlformats.org/spreadsheetml/2006/main" count="3182" uniqueCount="856">
  <si>
    <t>صورت‌حساب سپرده</t>
  </si>
  <si>
    <t>9316-888-1512735-1</t>
  </si>
  <si>
    <t xml:space="preserve">از 1404/07/01  -  00:00 تا 1404/07/30  -  23:59 </t>
  </si>
  <si>
    <t xml:space="preserve"> IR330560931688801512735001</t>
  </si>
  <si>
    <t>تاریخ ایجاد گزارش: 1404/08/16  -  22:30</t>
  </si>
  <si>
    <t>شعبه تهیه گزارش: اینترنت بانک</t>
  </si>
  <si>
    <t>ارز سپرده:</t>
  </si>
  <si>
    <t>ریال</t>
  </si>
  <si>
    <t>موجودی:</t>
  </si>
  <si>
    <t>موجودی قابل برداشت:</t>
  </si>
  <si>
    <t>مبلغ مسدودی:</t>
  </si>
  <si>
    <t>شناسه واریز:</t>
  </si>
  <si>
    <t>ترتیب تاریخ:</t>
  </si>
  <si>
    <t>صعودی</t>
  </si>
  <si>
    <t xml:space="preserve">نوع تراکنش: </t>
  </si>
  <si>
    <t>از  مبلغ:</t>
  </si>
  <si>
    <t>تا  مبلغ:</t>
  </si>
  <si>
    <t xml:space="preserve">یادداشت: </t>
  </si>
  <si>
    <t>ردیف</t>
  </si>
  <si>
    <t>تاریخ</t>
  </si>
  <si>
    <t>زمان</t>
  </si>
  <si>
    <t>عملیات</t>
  </si>
  <si>
    <t>شرح</t>
  </si>
  <si>
    <t>واریز (ریال)</t>
  </si>
  <si>
    <t>برداشت (ریال)</t>
  </si>
  <si>
    <t xml:space="preserve">مانده (ریال) </t>
  </si>
  <si>
    <t>شماره کارت</t>
  </si>
  <si>
    <t>شعبه</t>
  </si>
  <si>
    <t>شماره سند</t>
  </si>
  <si>
    <t>شماره برگه/شماره چک</t>
  </si>
  <si>
    <t>شناسه واریز</t>
  </si>
  <si>
    <t>یادداشت</t>
  </si>
  <si>
    <t>شماره پیگیری</t>
  </si>
  <si>
    <t>1404/07/01</t>
  </si>
  <si>
    <t>07:02:36</t>
  </si>
  <si>
    <t>انتقال وجه از طريق مدرن</t>
  </si>
  <si>
    <t>انتقال وجه موبايلت از سپرده 9316.888.1579090.1 ش.پ 00001758598356202052 - محمود ابراهيميان</t>
  </si>
  <si>
    <t>نيشابور(9316)</t>
  </si>
  <si>
    <t>50864603</t>
  </si>
  <si>
    <t>-</t>
  </si>
  <si>
    <t/>
  </si>
  <si>
    <t>00001758598356202052</t>
  </si>
  <si>
    <t>07:12:43</t>
  </si>
  <si>
    <t>انتقال وجه موبايلت از سپرده 9316.888.1579090.1 ش.پ 00001758598963401925 - محمود ابراهيميان</t>
  </si>
  <si>
    <t>10864048</t>
  </si>
  <si>
    <t>00001758598963401925</t>
  </si>
  <si>
    <t>11:17:48</t>
  </si>
  <si>
    <t>خريد کالا</t>
  </si>
  <si>
    <t>خريد کالا و خدمات از پايانه فروش 14973164 پرداخت الکترونيک سامان1 از ک 6219861085979838 ش م 85472825</t>
  </si>
  <si>
    <t>مرکز عمليات کارت(880)</t>
  </si>
  <si>
    <t>30870342</t>
  </si>
  <si>
    <t>11:57:56</t>
  </si>
  <si>
    <t>انتقال وجه داخلي</t>
  </si>
  <si>
    <t>انتقال از خودپرداز 45101693 تجارت - بين 2 به ک 6037701575716284 ش م 169326543071 ش پ 169373</t>
  </si>
  <si>
    <t>40871671</t>
  </si>
  <si>
    <t>کارمزد انتقال از خودپرداز 45101693 تجارت - بين 2 از ک 6219861085979838 ش م 169326543071 ش پ 169373</t>
  </si>
  <si>
    <t>11:58:27</t>
  </si>
  <si>
    <t>انتقال از خودپرداز 45101693 تجارت - بين 2 به ک 6104338738476148 ش م 169326543105 ش پ 169374</t>
  </si>
  <si>
    <t>30871525</t>
  </si>
  <si>
    <t>کارمزد انتقال از خودپرداز 45101693 تجارت - بين 2 از ک 6219861085979838 ش م 169326543105 ش پ 169374</t>
  </si>
  <si>
    <t>11:58:53</t>
  </si>
  <si>
    <t>انتقال از خودپرداز 45101693 تجارت - بين 2 به ک 6274121208660688 ش م 169326543131 ش پ 169375</t>
  </si>
  <si>
    <t>40871680</t>
  </si>
  <si>
    <t>کارمزد انتقال از خودپرداز 45101693 تجارت - بين 2 از ک 6219861085979838 ش م 169326543131 ش پ 169375</t>
  </si>
  <si>
    <t>12:02:56</t>
  </si>
  <si>
    <t>اعلام موجودي</t>
  </si>
  <si>
    <t>کارمزد مانده حساب از پايانه فروش 13444162 پرداخت الکترونيک سامان1 از ک 6219861085979838 ش م 85473011</t>
  </si>
  <si>
    <t>30871583</t>
  </si>
  <si>
    <t>13:33:33</t>
  </si>
  <si>
    <t>خريد کالا و خدمات از پايانه فروش 05465898 کارت اعتباري ايران کيش از ک 6219861085979838 ش م 658982650</t>
  </si>
  <si>
    <t>40875262</t>
  </si>
  <si>
    <t>20:00:53</t>
  </si>
  <si>
    <t>انتقال از اينترنت I000MP01 تجارت - بين 2 از ک 5859831105862774 ش م 136232302991 ش پ 187674</t>
  </si>
  <si>
    <t>30885576</t>
  </si>
  <si>
    <t>1404/07/02</t>
  </si>
  <si>
    <t>04:47:21</t>
  </si>
  <si>
    <t>انتقال وجه موبايلت از سپرده 9316.888.1579090.1 ش.پ 00001758676641322350 - محمود ابراهيميان</t>
  </si>
  <si>
    <t>20886873</t>
  </si>
  <si>
    <t>00001758676641322350</t>
  </si>
  <si>
    <t>04:48:14</t>
  </si>
  <si>
    <t>انتقال وجه موبايلت از سپرده 9316.888.1579090.1 ش.پ 00001758676694053361 - محمود ابراهيميان</t>
  </si>
  <si>
    <t>10891266</t>
  </si>
  <si>
    <t>00001758676694053361</t>
  </si>
  <si>
    <t>09:27:50</t>
  </si>
  <si>
    <t>خريد کالا و خدمات از پايانه فروش 33562616 پرداخت الکترونيک سداد 2 از ک 6219861085979838 ش م 32885947</t>
  </si>
  <si>
    <t>30895836</t>
  </si>
  <si>
    <t>09:45:12</t>
  </si>
  <si>
    <t>خريد کالا و خدمات از پايانه فروش 33795243 پرداخت الکترونيک سداد 2 از ک 6219861085979838 ش م 32885969</t>
  </si>
  <si>
    <t>30895981</t>
  </si>
  <si>
    <t>09:50:22</t>
  </si>
  <si>
    <t>خريد کالا و خدمات از پايانه فروش 07027865 کارت اعتباري ايران کيش از ک 6219861085979838 ش م 278652666</t>
  </si>
  <si>
    <t>40896464</t>
  </si>
  <si>
    <t>10:50:22</t>
  </si>
  <si>
    <t>خريد کالا و خدمات از پايانه فروش 99085527 مبنا کارت آريا (اينفوتک) از ک 6219861085979838 ش م 1290901</t>
  </si>
  <si>
    <t>40898473</t>
  </si>
  <si>
    <t>11:56:33</t>
  </si>
  <si>
    <t>صدور سند انتقال</t>
  </si>
  <si>
    <t>انتقال وجه بلو بانک از شبا IR810560611828005612979301 ش.پ 14042912609274 - مبينا دادگري</t>
  </si>
  <si>
    <t>مرکزي(802)</t>
  </si>
  <si>
    <t>10899152</t>
  </si>
  <si>
    <t>12:12:34</t>
  </si>
  <si>
    <t>خريد کالا و خدمات از پايانه فروش 10073665 پرداخت الکترونيک سامان1 از ک 6219861085979838 ش م 85476458</t>
  </si>
  <si>
    <t>40901487</t>
  </si>
  <si>
    <t>12:55:19</t>
  </si>
  <si>
    <t>کارمزد مانده حساب از پايانه فروش 13444162 پرداخت الکترونيک سامان1 از ک 6219861085979838 ش م 85476631</t>
  </si>
  <si>
    <t>30903437</t>
  </si>
  <si>
    <t>13:24:22</t>
  </si>
  <si>
    <t>انتقال از اينترنت I000MP01 تجارت - بين 2 از ک 5859831227346631 ش م 984881868405 ش پ 183289</t>
  </si>
  <si>
    <t>30904353</t>
  </si>
  <si>
    <t>19:00:11</t>
  </si>
  <si>
    <t>انتقال از اينترنت 00019041 سامان به ک 6037701642636788 ش م 526719070517 ش پ 070517</t>
  </si>
  <si>
    <t>40912244</t>
  </si>
  <si>
    <t>کارمزد انتقال از اينترنت 00019041 سامان از ک 6219861085979838 ش م 526719070517 ش پ 070517</t>
  </si>
  <si>
    <t>1404/07/03</t>
  </si>
  <si>
    <t>06:01:8</t>
  </si>
  <si>
    <t>انتقال وجه موبايلت از سپرده 9316.888.1579090.1 ش.پ 00001758767468899694 - محمود ابراهيميان</t>
  </si>
  <si>
    <t>50915482</t>
  </si>
  <si>
    <t>00001758767468899694</t>
  </si>
  <si>
    <t>10:00:19</t>
  </si>
  <si>
    <t>خريد کالا و خدمات از پايانه فروش 33576242 پرداخت الکترونيک سداد 2 از ک 6219861085979838 ش م 32887403</t>
  </si>
  <si>
    <t>40925822</t>
  </si>
  <si>
    <t>11:30:56</t>
  </si>
  <si>
    <t>انتقال از اينترنت 00019041 سامان به ک 6037997435482469 ش م 526811027326 ش پ 027326</t>
  </si>
  <si>
    <t>40933323</t>
  </si>
  <si>
    <t>کارمزد انتقال از اينترنت 00019041 سامان از ک 6219861085979838 ش م 526811027326 ش پ 027326</t>
  </si>
  <si>
    <t>11:45:36</t>
  </si>
  <si>
    <t>خريد کالا و خدمات از پايانه فروش 10073665 پرداخت الکترونيک سامان1 از ک 6219861085979838 ش م 85479555</t>
  </si>
  <si>
    <t>40935367</t>
  </si>
  <si>
    <t>12:53:33</t>
  </si>
  <si>
    <t>انتقال از خودپرداز 45101693 تجارت - بين 2 به ک 5894631178646402 ش م 169326746411 ش پ 169318</t>
  </si>
  <si>
    <t>30938032</t>
  </si>
  <si>
    <t>کارمزد انتقال از خودپرداز 45101693 تجارت - بين 2 از ک 6219861085979838 ش م 169326746411 ش پ 169318</t>
  </si>
  <si>
    <t>12:53:58</t>
  </si>
  <si>
    <t>انتقال از خودپرداز 45101693 تجارت - بين 2 به ک 6037997381658112 ش م 169326746435 ش پ 169319</t>
  </si>
  <si>
    <t>30938037</t>
  </si>
  <si>
    <t>کارمزد انتقال از خودپرداز 45101693 تجارت - بين 2 از ک 6219861085979838 ش م 169326746435 ش پ 169319</t>
  </si>
  <si>
    <t>12:54:27</t>
  </si>
  <si>
    <t>انتقال از خودپرداز 45101693 تجارت - بين 2 به ک 6274121208660688 ش م 169326746464 ش پ 169320</t>
  </si>
  <si>
    <t>30938044</t>
  </si>
  <si>
    <t>کارمزد انتقال از خودپرداز 45101693 تجارت - بين 2 از ک 6219861085979838 ش م 169326746464 ش پ 169320</t>
  </si>
  <si>
    <t>12:55:4</t>
  </si>
  <si>
    <t>انتقال از خودپرداز 45101693 تجارت - بين 2 به ک 6037701642636788 ش م 169326746501 ش پ 169321</t>
  </si>
  <si>
    <t>30938052</t>
  </si>
  <si>
    <t>کارمزد انتقال از خودپرداز 45101693 تجارت - بين 2 از ک 6219861085979838 ش م 169326746501 ش پ 169321</t>
  </si>
  <si>
    <t>12:55:31</t>
  </si>
  <si>
    <t>انتقال از خودپرداز 45101693 تجارت - بين 2 به ک 5859831103338371 ش م 169326746529 ش پ 169322</t>
  </si>
  <si>
    <t>40937752</t>
  </si>
  <si>
    <t>کارمزد انتقال از خودپرداز 45101693 تجارت - بين 2 از ک 6219861085979838 ش م 169326746529 ش پ 169322</t>
  </si>
  <si>
    <t>12:59:7</t>
  </si>
  <si>
    <t>کارمزد مانده حساب از پايانه فروش 13444162 پرداخت الکترونيک سامان1 از ک 6219861085979838 ش م 85479861</t>
  </si>
  <si>
    <t>30938094</t>
  </si>
  <si>
    <t>19:12:58</t>
  </si>
  <si>
    <t>انتقال از اينترنت 17592030 ملي از ک 6037991712002975 ش م 628345324934 ش پ 921969</t>
  </si>
  <si>
    <t>40945117</t>
  </si>
  <si>
    <t>20:49:40</t>
  </si>
  <si>
    <t>انتقال از خودپرداز 45101693 تجارت - بين 2 به ک 6104338738476148 ش م 169326774978 ش پ 169319</t>
  </si>
  <si>
    <t>40947953</t>
  </si>
  <si>
    <t>کارمزد انتقال از خودپرداز 45101693 تجارت - بين 2 از ک 6219861085979838 ش م 169326774978 ش پ 169319</t>
  </si>
  <si>
    <t>20:50:13</t>
  </si>
  <si>
    <t>انتقال از خودپرداز 45101693 تجارت - بين 2 به ک 5894631178646402 ش م 169326775010 ش پ 169320</t>
  </si>
  <si>
    <t>30948066</t>
  </si>
  <si>
    <t>کارمزد انتقال از خودپرداز 45101693 تجارت - بين 2 از ک 6219861085979838 ش م 169326775010 ش پ 169320</t>
  </si>
  <si>
    <t>21:13:16</t>
  </si>
  <si>
    <t>کارمزد مانده حساب از پايانه فروش 13444162 پرداخت الکترونيک سامان1 از ک 6219861085979838 ش م 85481672</t>
  </si>
  <si>
    <t>30948537</t>
  </si>
  <si>
    <t>1404/07/04</t>
  </si>
  <si>
    <t>16:59:26</t>
  </si>
  <si>
    <t>انتقال وجه موبايلت از سپرده 9316.888.1579090.1 ش.پ 00001758893366242176 - محمود ابراهيميان</t>
  </si>
  <si>
    <t>20946378</t>
  </si>
  <si>
    <t>00001758893366242176</t>
  </si>
  <si>
    <t>1404/07/05</t>
  </si>
  <si>
    <t>09:33:10</t>
  </si>
  <si>
    <t>خريد کالا و خدمات از پايانه فروش 33562616 پرداخت الکترونيک سداد 2 از ک 6219861085979838 ش م 32889835</t>
  </si>
  <si>
    <t>30971818</t>
  </si>
  <si>
    <t>11:21:26</t>
  </si>
  <si>
    <t>کارمزد مانده حساب از پايانه فروش 13444162 پرداخت الکترونيک سامان1 از ک 6219861085979838 ش م 85485235</t>
  </si>
  <si>
    <t>40975097</t>
  </si>
  <si>
    <t>12:00:7</t>
  </si>
  <si>
    <t>انتقال از اينترنت 00019001 پست بانک از ک 6277601369097934 ش م 130009279950 ش پ 279950</t>
  </si>
  <si>
    <t>40975982</t>
  </si>
  <si>
    <t>19:38:35</t>
  </si>
  <si>
    <t>انتقال از اينترنت 00000035 پارسيان از ک 6221061215421878 ش م 758984023831 ش پ 179948</t>
  </si>
  <si>
    <t>30986271</t>
  </si>
  <si>
    <t>1404/07/06</t>
  </si>
  <si>
    <t>04:39:57</t>
  </si>
  <si>
    <t>انتقال وجه موبايلت از سپرده 9316.888.1579090.1 ش.پ 00001759021797764980 - محمود ابراهيميان</t>
  </si>
  <si>
    <t>10991579</t>
  </si>
  <si>
    <t>00001759021797764980</t>
  </si>
  <si>
    <t>05:00:40</t>
  </si>
  <si>
    <t>انتقال وجه موبايلت از سپرده 9316.888.1579090.1 ش.پ 00001759023040966249 - محمود ابراهيميان</t>
  </si>
  <si>
    <t>10992955</t>
  </si>
  <si>
    <t>00001759023040966249</t>
  </si>
  <si>
    <t>09:38:13</t>
  </si>
  <si>
    <t>خريد کالا و خدمات از پايانه فروش 33562616 پرداخت الکترونيک سداد 2 از ک 6219861085979838 ش م 32891277</t>
  </si>
  <si>
    <t>30996753</t>
  </si>
  <si>
    <t>09:49:0</t>
  </si>
  <si>
    <t xml:space="preserve">خريد کالا و خدمات از پايانه فروش 31143271 پرداخت نوين آرين از ک 6219861085979838 ش م 513198209493 ش </t>
  </si>
  <si>
    <t>30997275</t>
  </si>
  <si>
    <t>10:07:59</t>
  </si>
  <si>
    <t>کارمزد مانده حساب از پايانه فروش 13444162 پرداخت الکترونيک سامان1 از ک 6219861085979838 ش م 85488154</t>
  </si>
  <si>
    <t>40997753</t>
  </si>
  <si>
    <t>11:13:41</t>
  </si>
  <si>
    <t>دستور پرداخت لحظه اي سمت متعهد</t>
  </si>
  <si>
    <t>انتقال وجه آني به شباIR660120010000001523463677به محسن عاملي ش.پ140407060563104919366</t>
  </si>
  <si>
    <t>مرکز عمليات مدرن(888)</t>
  </si>
  <si>
    <t>50997515</t>
  </si>
  <si>
    <t>صدور سند کارمزد_انتقالي از سپرده يا حساب مطالبات سپرده به حساب کارمزد بانک</t>
  </si>
  <si>
    <t>دريافت کارمزد بابت انتقال وجه از کانال هاي مدرن به شيوه لايت  از سپرده 9316.888.1512735.1-کارمزد دستور پرداخت سامانه پل</t>
  </si>
  <si>
    <t>50997516</t>
  </si>
  <si>
    <t>11:26:2</t>
  </si>
  <si>
    <t>انتقال از اينترنت 05053317 ملت از ک 6104331052268688 ش م 167859481103 ش پ 481103</t>
  </si>
  <si>
    <t>40999856</t>
  </si>
  <si>
    <t>11:53:39</t>
  </si>
  <si>
    <t>انتقال از اينترنت 17592030 ملي از ک 6037998114386070 ش م 749819461281 ش پ 790299</t>
  </si>
  <si>
    <t>30100665</t>
  </si>
  <si>
    <t>19:58:2</t>
  </si>
  <si>
    <t>انتقال از اينترنت 17592030 ملي از ک 6037997409404564 ش م 936500980360 ش پ 057440</t>
  </si>
  <si>
    <t>40111475</t>
  </si>
  <si>
    <t>20:03:17</t>
  </si>
  <si>
    <t>انتقال از اينترنت 17592030 ملي از ک 6037991928738461 ش م 186640041098 ش پ 694091</t>
  </si>
  <si>
    <t>30111607</t>
  </si>
  <si>
    <t>20:59:53</t>
  </si>
  <si>
    <t>انتقال از اينترنت 17592030 ملي از ک 6037998277253570 ش م 067820035988 ش پ 309130</t>
  </si>
  <si>
    <t>30112824</t>
  </si>
  <si>
    <t>21:01:44</t>
  </si>
  <si>
    <t>کارمزد مانده حساب از پايانه فروش 13444162 پرداخت الکترونيک سامان1 از ک 6219861085979838 ش م 85490463</t>
  </si>
  <si>
    <t>30112851</t>
  </si>
  <si>
    <t>21:04:44</t>
  </si>
  <si>
    <t>انتقال از خودپرداز 45101693 تجارت - بين 2 به ک 5894631178646402 ش م 169327075882 ش پ 169392</t>
  </si>
  <si>
    <t>30112894</t>
  </si>
  <si>
    <t>کارمزد انتقال از خودپرداز 45101693 تجارت - بين 2 از ک 6219861085979838 ش م 169327075882 ش پ 169392</t>
  </si>
  <si>
    <t>21:05:26</t>
  </si>
  <si>
    <t>انتقال از خودپرداز 45101693 تجارت - بين 2 به ک 6037701642636788 ش م 169327075922 ش پ 169393</t>
  </si>
  <si>
    <t>30112905</t>
  </si>
  <si>
    <t>کارمزد انتقال از خودپرداز 45101693 تجارت - بين 2 از ک 6219861085979838 ش م 169327075922 ش پ 169393</t>
  </si>
  <si>
    <t>1404/07/07</t>
  </si>
  <si>
    <t>04:48:22</t>
  </si>
  <si>
    <t>انتقال وجه موبايلت از سپرده 9316.888.1579090.1 ش.پ 00001759108702503914 - محمود ابراهيميان</t>
  </si>
  <si>
    <t>10116628</t>
  </si>
  <si>
    <t>00001759108702503914</t>
  </si>
  <si>
    <t>18:30:12</t>
  </si>
  <si>
    <t>انتقال وجه خدمات کاربر ثالث به سپرده 880.376.2001.9 ش.پ 00001759158012165580-بانک سامان</t>
  </si>
  <si>
    <t>50129704</t>
  </si>
  <si>
    <t>کارمزد دريافتي بابت ثبت، انتقال، استعلام و تاييد چک</t>
  </si>
  <si>
    <t>00001759158012165580</t>
  </si>
  <si>
    <t>1404/07/08</t>
  </si>
  <si>
    <t>04:57:36</t>
  </si>
  <si>
    <t>انتقال وجه موبايلت از سپرده 9316.888.1579090.1 ش.پ 00001759195656060558 - محمود ابراهيميان</t>
  </si>
  <si>
    <t>50136939</t>
  </si>
  <si>
    <t>00001759195656060558</t>
  </si>
  <si>
    <t>11:02:28</t>
  </si>
  <si>
    <t>انتقال از اينترنت 17592030 ملي از ک 6037998199231522 ش م 844467791444 ش پ 171723</t>
  </si>
  <si>
    <t>40149552</t>
  </si>
  <si>
    <t>12:19:34</t>
  </si>
  <si>
    <t>انتقال از اينترنت 05053317 ملت از ک 6104338745074928 ش م 167956731441 ش پ 731441</t>
  </si>
  <si>
    <t>40152043</t>
  </si>
  <si>
    <t>13:20:10</t>
  </si>
  <si>
    <t>انتقال از اينترنت 00019001 قرض الحسنه مهر از ک 6063731139603782 ش م 527313331450 ش پ 331450</t>
  </si>
  <si>
    <t>40154650</t>
  </si>
  <si>
    <t>19:24:25</t>
  </si>
  <si>
    <t>انتقال از اينترنت 17592030 ملي از ک 6037998221397762 ش م 739765337037 ش پ 521897</t>
  </si>
  <si>
    <t>30164011</t>
  </si>
  <si>
    <t>1404/07/09</t>
  </si>
  <si>
    <t>05:02:52</t>
  </si>
  <si>
    <t>انتقال وجه موبايلت از سپرده 9316.888.1579090.1 ش.پ 00001759282372586430 - محمود ابراهيميان</t>
  </si>
  <si>
    <t>50168238</t>
  </si>
  <si>
    <t>00001759282372586430</t>
  </si>
  <si>
    <t>12:07:3</t>
  </si>
  <si>
    <t>انتقال از اينترنت 00019041 سامان به ک 5859831103338371 ش م 527412260145 ش پ 260145</t>
  </si>
  <si>
    <t>40179531</t>
  </si>
  <si>
    <t>کارمزد انتقال از اينترنت 00019041 سامان از ک 6219861085979838 ش م 527412260145 ش پ 260145</t>
  </si>
  <si>
    <t>12:09:13</t>
  </si>
  <si>
    <t>انتقال وجه آني به شباIR330170000000368446714003به فرز‌انه‌ ‌عمارلو ش.پ140407090563104986130</t>
  </si>
  <si>
    <t>50179212</t>
  </si>
  <si>
    <t>50179213</t>
  </si>
  <si>
    <t>12:10:4</t>
  </si>
  <si>
    <t>انتقال وجه آني به شباIR270190000000101536120004به ‌علي‌ ‌اکبر دوستي‌ ش.پ140407090563104986151</t>
  </si>
  <si>
    <t>50179214</t>
  </si>
  <si>
    <t>50179215</t>
  </si>
  <si>
    <t>20:01:51</t>
  </si>
  <si>
    <t>انتقال از اينترنت 00019041 سامان به ک 6037697600840968 ش م 527420103888 ش پ 103888</t>
  </si>
  <si>
    <t>40189388</t>
  </si>
  <si>
    <t>کارمزد انتقال از اينترنت 00019041 سامان از ک 6219861085979838 ش م 527420103888 ش پ 103888</t>
  </si>
  <si>
    <t>1404/07/10</t>
  </si>
  <si>
    <t>04:51:5</t>
  </si>
  <si>
    <t>انتقال وجه موبايلت از سپرده 9316.888.1579090.1 ش.پ 00001759368065474782 - محمود ابراهيميان</t>
  </si>
  <si>
    <t>50193828</t>
  </si>
  <si>
    <t>00001759368065474782</t>
  </si>
  <si>
    <t>05:09:25</t>
  </si>
  <si>
    <t>انتقال وجه موبايلت از سپرده 9316.888.1579090.1 ش.پ 00001759369165118969 - محمود ابراهيميان</t>
  </si>
  <si>
    <t>10195973</t>
  </si>
  <si>
    <t>00001759369165118969</t>
  </si>
  <si>
    <t>09:44:50</t>
  </si>
  <si>
    <t>انتقال وجه آني به شباIR540170000000200773662008به محمد شهريارپور ش.پ140407100563105003624</t>
  </si>
  <si>
    <t>20196938</t>
  </si>
  <si>
    <t>اجاره واحد آقاي محمود ابراهيميان</t>
  </si>
  <si>
    <t>20196939</t>
  </si>
  <si>
    <t>09:46:1</t>
  </si>
  <si>
    <t>انتقال از اينترنت 00019041 سامان به ک 6104338981389121 ش م 527509724646 ش پ 724646</t>
  </si>
  <si>
    <t>40199835</t>
  </si>
  <si>
    <t>کارمزد انتقال از اينترنت 00019041 سامان از ک 6219861085979838 ش م 527509724646 ش پ 724646</t>
  </si>
  <si>
    <t>10:13:7</t>
  </si>
  <si>
    <t>کارمزد مانده حساب از پايانه فروش 13444162 پرداخت الکترونيک سامان1 از ک 6219861085979838 ش م 85500562</t>
  </si>
  <si>
    <t>30200143</t>
  </si>
  <si>
    <t>11:45:54</t>
  </si>
  <si>
    <t>کارمزد مانده حساب از پايانه فروش 13444162 پرداخت الکترونيک سامان1 از ک 6219861085979838 ش م 85500960</t>
  </si>
  <si>
    <t>40203488</t>
  </si>
  <si>
    <t>11:52:24</t>
  </si>
  <si>
    <t>انتقال از خودپرداز 45101693 تجارت - بين 2 به ک 6104338738476148 ش م 169327442741 ش پ 169364</t>
  </si>
  <si>
    <t>30203381</t>
  </si>
  <si>
    <t>کارمزد انتقال از خودپرداز 45101693 تجارت - بين 2 از ک 6219861085979838 ش م 169327442741 ش پ 169364</t>
  </si>
  <si>
    <t>12:11:0</t>
  </si>
  <si>
    <t>خريد کالا و خدمات از پايانه فروش 14973164 پرداخت الکترونيک سامان1 از ک 6219861085979838 ش م 85501076</t>
  </si>
  <si>
    <t>40204046</t>
  </si>
  <si>
    <t>1404/07/11</t>
  </si>
  <si>
    <t>14:18:2</t>
  </si>
  <si>
    <t>انتقال وجه موبايلت از سپرده 9316.888.1579090.1 ش.پ 00001759488482066229 - محمود ابراهيميان</t>
  </si>
  <si>
    <t>10225753</t>
  </si>
  <si>
    <t>00001759488482066229</t>
  </si>
  <si>
    <t>1404/07/12</t>
  </si>
  <si>
    <t>10:14:6</t>
  </si>
  <si>
    <t>خريد کالا و خدمات از پايانه فروش 03071227 کارت اعتباري ايران کيش از ک 6219861085979838 ش م 712272762</t>
  </si>
  <si>
    <t>30240574</t>
  </si>
  <si>
    <t>10:57:12</t>
  </si>
  <si>
    <t>کارمزد مانده حساب از پايانه فروش 13444162 پرداخت الکترونيک سامان1 از ک 6219861085979838 ش م 85506620</t>
  </si>
  <si>
    <t>30242092</t>
  </si>
  <si>
    <t>12:29:38</t>
  </si>
  <si>
    <t>انتقال از اينترنت 00019041 سامان به ک 6037701642636788 ش م 527712970383 ش پ 970383</t>
  </si>
  <si>
    <t>30244515</t>
  </si>
  <si>
    <t>کارمزد انتقال از اينترنت 00019041 سامان از ک 6219861085979838 ش م 527712970383 ش پ 970383</t>
  </si>
  <si>
    <t>20:48:26</t>
  </si>
  <si>
    <t>کارمزد مانده حساب از پايانه فروش 13444162 پرداخت الکترونيک سامان1 از ک 6219861085979838 ش م 85508798</t>
  </si>
  <si>
    <t>30255501</t>
  </si>
  <si>
    <t>1404/07/13</t>
  </si>
  <si>
    <t>04:51:21</t>
  </si>
  <si>
    <t>انتقال وجه موبايلت از سپرده 9316.888.1579090.1 ش.پ 00001759627281046784 - محمود ابراهيميان</t>
  </si>
  <si>
    <t>10259421</t>
  </si>
  <si>
    <t>00001759627281046784</t>
  </si>
  <si>
    <t>04:58:24</t>
  </si>
  <si>
    <t>انتقال وجه موبايلت از سپرده 9316.888.1579090.1 ش.پ 00001759627704874014 - محمود ابراهيميان</t>
  </si>
  <si>
    <t>10259873</t>
  </si>
  <si>
    <t>00001759627704874014</t>
  </si>
  <si>
    <t>10:46:2</t>
  </si>
  <si>
    <t>انتقال وجه موبايلت به سپرده 9316.700.2465114.1 ش.پ 00001759648562163699-سيدمحمدعلي حامدحيدري</t>
  </si>
  <si>
    <t>10265650</t>
  </si>
  <si>
    <t>00001759648562163699</t>
  </si>
  <si>
    <t>10:46:56</t>
  </si>
  <si>
    <t>انتقال از اينترنت 00019041 سامان به ک 6037697600840968 ش م 527810457695 ش پ 457695</t>
  </si>
  <si>
    <t>30266213</t>
  </si>
  <si>
    <t>کارمزد انتقال از اينترنت 00019041 سامان از ک 6219861085979838 ش م 527810457695 ش پ 457695</t>
  </si>
  <si>
    <t>11:17:16</t>
  </si>
  <si>
    <t>کارمزد مانده حساب از پايانه فروش 13444162 پرداخت الکترونيک سامان1 از ک 6219861085979838 ش م 85509892</t>
  </si>
  <si>
    <t>40267008</t>
  </si>
  <si>
    <t>11:55:16</t>
  </si>
  <si>
    <t>انتقال از اينترنت 06590002 صادرات از ک 6037697681149024 ش م 221155161340 ش پ 131340</t>
  </si>
  <si>
    <t>40267737</t>
  </si>
  <si>
    <t>12:14:51</t>
  </si>
  <si>
    <t>انتقال از خودپرداز 00015708 سپه به ک 6274121208660688 ش م 527812994860 ش پ 994860</t>
  </si>
  <si>
    <t>40268508</t>
  </si>
  <si>
    <t>کارمزد انتقال از خودپرداز 00015708 سپه از ک 6219861085979838 ش م 527812994860 ش پ 994860</t>
  </si>
  <si>
    <t>1404/07/14</t>
  </si>
  <si>
    <t>05:02:57</t>
  </si>
  <si>
    <t>انتقال وجه موبايلت از سپرده 9316.888.1579090.1 ش.پ 00001759714377247718 - محمود ابراهيميان</t>
  </si>
  <si>
    <t>10284670</t>
  </si>
  <si>
    <t>00001759714377247718</t>
  </si>
  <si>
    <t>10:00:57</t>
  </si>
  <si>
    <t>کارمزد مانده حساب از پايانه فروش 13444162 پرداخت الکترونيک سامان1 از ک 6219861085979838 ش م 85512731</t>
  </si>
  <si>
    <t>30288762</t>
  </si>
  <si>
    <t>10:14:54</t>
  </si>
  <si>
    <t>انتقال از خودپرداز 45101693 تجارت - بين 2 به ک 6274121208660688 ش م 169327836891 ش پ 169355</t>
  </si>
  <si>
    <t>40289153</t>
  </si>
  <si>
    <t>کارمزد انتقال از خودپرداز 45101693 تجارت - بين 2 از ک 6219861085979838 ش م 169327836891 ش پ 169355</t>
  </si>
  <si>
    <t>10:15:22</t>
  </si>
  <si>
    <t>انتقال از خودپرداز 45101693 تجارت - بين 2 به ک 5894631178646402 ش م 169327836920 ش پ 169356</t>
  </si>
  <si>
    <t>30289357</t>
  </si>
  <si>
    <t>کارمزد انتقال از خودپرداز 45101693 تجارت - بين 2 از ک 6219861085979838 ش م 169327836920 ش پ 169356</t>
  </si>
  <si>
    <t>10:17:35</t>
  </si>
  <si>
    <t>کارمزد مانده حساب از پايانه فروش 13444162 پرداخت الکترونيک سامان1 از ک 6219861085979838 ش م 85512783</t>
  </si>
  <si>
    <t>30289378</t>
  </si>
  <si>
    <t>18:08:33</t>
  </si>
  <si>
    <t>انتقال از اينترنت I000MP01 تجارت - بين 2 از ک 5859831809511503 ش م 874581642843 ش پ 807099</t>
  </si>
  <si>
    <t>30299245</t>
  </si>
  <si>
    <t>18:29:45</t>
  </si>
  <si>
    <t>انتقال از اينترنت 17592030 ملي از ک 6037991543784585 ش م 576825176855 ش پ 399778</t>
  </si>
  <si>
    <t>40299840</t>
  </si>
  <si>
    <t>1404/07/15</t>
  </si>
  <si>
    <t>04:48:58</t>
  </si>
  <si>
    <t>انتقال وجه موبايلت از سپرده 9316.888.1579090.1 ش.پ 00001759799938093940 - محمود ابراهيميان</t>
  </si>
  <si>
    <t>20306465</t>
  </si>
  <si>
    <t>00001759799938093940</t>
  </si>
  <si>
    <t>09:25:8</t>
  </si>
  <si>
    <t>انتقال از اينترنت 00019041 سامان به ک 6037701642636788 ش م 528009634107 ش پ 634107</t>
  </si>
  <si>
    <t>30312086</t>
  </si>
  <si>
    <t>کارمزد انتقال از اينترنت 00019041 سامان از ک 6219861085979838 ش م 528009634107 ش پ 634107</t>
  </si>
  <si>
    <t>09:27:23</t>
  </si>
  <si>
    <t>خريد کالا و خدمات از پايانه فروش 33562616 پرداخت الکترونيک سداد 2 از ک 6219861085979838 ش م 32903680</t>
  </si>
  <si>
    <t>30312109</t>
  </si>
  <si>
    <t>13:23:45</t>
  </si>
  <si>
    <t>کارمزد مانده حساب از پايانه فروش 13444162 پرداخت الکترونيک سامان1 از ک 6219861085979838 ش م 85516519</t>
  </si>
  <si>
    <t>40318550</t>
  </si>
  <si>
    <t>13:24:32</t>
  </si>
  <si>
    <t>کارمزد مانده حساب از پايانه فروش 13444162 پرداخت الکترونيک سامان1 از ک 6219861085979838 ش م 85516521</t>
  </si>
  <si>
    <t>30318638</t>
  </si>
  <si>
    <t>18:32:2</t>
  </si>
  <si>
    <t>خريد کالا و خدمات از پايانه فروش 14973164 پرداخت الکترونيک سامان1 از ک 6219861085979838 ش م 85517430</t>
  </si>
  <si>
    <t>30324538</t>
  </si>
  <si>
    <t>19:12:35</t>
  </si>
  <si>
    <t>انتقال از اينترنت 00019041 سامان به ک 6104338738476148 ش م 528019627918 ش پ 627918</t>
  </si>
  <si>
    <t>40325628</t>
  </si>
  <si>
    <t>کارمزد انتقال از اينترنت 00019041 سامان از ک 6219861085979838 ش م 528019627918 ش پ 627918</t>
  </si>
  <si>
    <t>19:14:8</t>
  </si>
  <si>
    <t>انتقال از اينترنت 00019041 سامان به ک 6274121208660688 ش م 528019630611 ش پ 630611</t>
  </si>
  <si>
    <t>40325648</t>
  </si>
  <si>
    <t>کارمزد انتقال از اينترنت 00019041 سامان از ک 6219861085979838 ش م 528019630611 ش پ 630611</t>
  </si>
  <si>
    <t>19:41:40</t>
  </si>
  <si>
    <t>کارمزد مانده حساب از پايانه فروش 13444162 پرداخت الکترونيک سامان1 از ک 6219861085979838 ش م 85517774</t>
  </si>
  <si>
    <t>30326213</t>
  </si>
  <si>
    <t>1404/07/16</t>
  </si>
  <si>
    <t>04:46:51</t>
  </si>
  <si>
    <t>انتقال وجه موبايلت از سپرده 9316.888.1579090.1 ش.پ 00001759886211562764 - محمود ابراهيميان</t>
  </si>
  <si>
    <t>20330601</t>
  </si>
  <si>
    <t>00001759886211562764</t>
  </si>
  <si>
    <t>18:36:15</t>
  </si>
  <si>
    <t>انتقال از اينترنت 00019002 اقتصادنوين از ک 6274121910048420 ش م 999921997705 ش پ 997705</t>
  </si>
  <si>
    <t>40348647</t>
  </si>
  <si>
    <t>18:45:59</t>
  </si>
  <si>
    <t>خريد کالا و خدمات از پايانه فروش 13895343 پرداخت الکترونيک سامان1 از ک 6219861085979838 ش م 85520567</t>
  </si>
  <si>
    <t>30348817</t>
  </si>
  <si>
    <t>19:30:44</t>
  </si>
  <si>
    <t>انتقال از اينترنت 00019041 سامان به ک 5859831103338371 ش م 528119290078 ش پ 290078</t>
  </si>
  <si>
    <t>40349852</t>
  </si>
  <si>
    <t>کارمزد انتقال از اينترنت 00019041 سامان از ک 6219861085979838 ش م 528119290078 ش پ 290078</t>
  </si>
  <si>
    <t>19:32:10</t>
  </si>
  <si>
    <t>انتقال از اينترنت 00019041 سامان به ک 5029081028402846 ش م 528119292540 ش پ 292540</t>
  </si>
  <si>
    <t>40349877</t>
  </si>
  <si>
    <t>کارمزد انتقال از اينترنت 00019041 سامان از ک 6219861085979838 ش م 528119292540 ش پ 292540</t>
  </si>
  <si>
    <t>1404/07/17</t>
  </si>
  <si>
    <t>05:05:19</t>
  </si>
  <si>
    <t>انتقال وجه موبايلت از سپرده 9316.888.1579090.1 ش.پ 00001759973719261479 - محمود ابراهيميان</t>
  </si>
  <si>
    <t>50354243</t>
  </si>
  <si>
    <t>00001759973719261479</t>
  </si>
  <si>
    <t>09:06:28</t>
  </si>
  <si>
    <t>انتقال از اينترنت I000MP01 تجارت - بين 2 از ک 5859831822631080 ش م 559116265227 ش پ 612689</t>
  </si>
  <si>
    <t>40359427</t>
  </si>
  <si>
    <t>11:03:29</t>
  </si>
  <si>
    <t>انتقال وجه آني به شباIR270190000000101536120004به ‌علي‌ ‌اکبر دوستي‌ ش.پ140407170563105139008</t>
  </si>
  <si>
    <t>50359978</t>
  </si>
  <si>
    <t>بابت قسمتي از بدهي آقاي محمود ابرا</t>
  </si>
  <si>
    <t>50359979</t>
  </si>
  <si>
    <t>11:07:12</t>
  </si>
  <si>
    <t>انتقال وجه موبايلت به سپرده 9316.800.1512735.1 ش.پ 00001759995432519712-علي ابراهيميان</t>
  </si>
  <si>
    <t>50359982</t>
  </si>
  <si>
    <t>بابت پرداخت قبض برق مغازه</t>
  </si>
  <si>
    <t>00001759995432519712</t>
  </si>
  <si>
    <t>11:24:50</t>
  </si>
  <si>
    <t>انتقال از اينترنت 67777777 رفاه از ک 5894631181865635 ش م 759996474933 ش پ 956015</t>
  </si>
  <si>
    <t>40363493</t>
  </si>
  <si>
    <t>11:26:12</t>
  </si>
  <si>
    <t>کارمزد مانده حساب از پايانه فروش 13444162 پرداخت الکترونيک سامان1 از ک 6219861085979838 ش م 85522188</t>
  </si>
  <si>
    <t>30363673</t>
  </si>
  <si>
    <t>11:31:11</t>
  </si>
  <si>
    <t>انتقال وجه بلو بانک از شبا IR130560611828005829883001 ش.پ 14043206346356 - زهرا حصاري</t>
  </si>
  <si>
    <t>10361970</t>
  </si>
  <si>
    <t>12:47:1</t>
  </si>
  <si>
    <t>واريز قبوض</t>
  </si>
  <si>
    <t>پرداخت قبوض از پايانه فروش 13444162 پرداخت الکترونيک سامان1 از ک 6219861085979838 ح          ش م 855</t>
  </si>
  <si>
    <t>30366227</t>
  </si>
  <si>
    <t>14:13:50</t>
  </si>
  <si>
    <t>خريد کالا و خدمات از پايانه فروش 71274002 پرداخت الکترونيک پاسارگاد از ک 6219861085979838 ش م 142078</t>
  </si>
  <si>
    <t>40368470</t>
  </si>
  <si>
    <t>18:01:59</t>
  </si>
  <si>
    <t>انتقال از اينترنت I000MP01 تجارت - بين 2 از ک 5859831809022071 ش م 184048546284 ش پ 296717</t>
  </si>
  <si>
    <t>40371915</t>
  </si>
  <si>
    <t>19:39:38</t>
  </si>
  <si>
    <t>کارمزد مانده حساب از پايانه فروش 02263389 پرداخت الکترونيک سامان1 از ک 6219861085979838 ش م 85523923</t>
  </si>
  <si>
    <t>40374184</t>
  </si>
  <si>
    <t>19:54:12</t>
  </si>
  <si>
    <t>انتقال از خودپرداز 45101693 تجارت - بين 2 به ک 6037697600840968 ش م 169328171644 ش پ 169330</t>
  </si>
  <si>
    <t>40374716</t>
  </si>
  <si>
    <t>کارمزد انتقال از خودپرداز 45101693 تجارت - بين 2 از ک 6219861085979838 ش م 169328171644 ش پ 169330</t>
  </si>
  <si>
    <t>19:56:59</t>
  </si>
  <si>
    <t>انتقال از اينترنت 17592030 ملي از ک 6037998250354395 ش م 209334865335 ش پ 147936</t>
  </si>
  <si>
    <t>40374740</t>
  </si>
  <si>
    <t>20:53:5</t>
  </si>
  <si>
    <t>کارمزد مانده حساب از پايانه فروش 02263389 پرداخت الکترونيک سامان1 از ک 6219861085979838 ش م 85524205</t>
  </si>
  <si>
    <t>40376583</t>
  </si>
  <si>
    <t>20:58:23</t>
  </si>
  <si>
    <t>خريد کالا و خدمات از پايانه فروش 93481619 پرداخت الکترونيک پاسارگاد از ک 6219861085979838 ش م 141029</t>
  </si>
  <si>
    <t>40376654</t>
  </si>
  <si>
    <t>1404/07/18</t>
  </si>
  <si>
    <t>14:05:13</t>
  </si>
  <si>
    <t>انتقال وجه موبايلت از سپرده 9316.888.1579090.1 ش.پ 00001760092513633827 - محمود ابراهيميان</t>
  </si>
  <si>
    <t>50374981</t>
  </si>
  <si>
    <t>00001760092513633827</t>
  </si>
  <si>
    <t>1404/07/19</t>
  </si>
  <si>
    <t>10:13:51</t>
  </si>
  <si>
    <t>خريد کالا و خدمات از پايانه فروش 14549448 پرداخت الکترونيک سامان1 از ک 6219861085979838 ش م 85527417</t>
  </si>
  <si>
    <t>30400623</t>
  </si>
  <si>
    <t>10:47:4</t>
  </si>
  <si>
    <t>انتقال از خودپرداز 45101693 تجارت - بين 2 به ک 5041721027695767 ش م 169328338822 ش پ 169394</t>
  </si>
  <si>
    <t>40401357</t>
  </si>
  <si>
    <t>کارمزد انتقال از خودپرداز 45101693 تجارت - بين 2 از ک 6219861085979838 ش م 169328338822 ش پ 169394</t>
  </si>
  <si>
    <t>10:47:39</t>
  </si>
  <si>
    <t>انتقال از خودپرداز 45101693 تجارت - بين 2 به ک 6037997452281877 ش م 169328338854 ش پ 169395</t>
  </si>
  <si>
    <t>30401760</t>
  </si>
  <si>
    <t>کارمزد انتقال از خودپرداز 45101693 تجارت - بين 2 از ک 6219861085979838 ش م 169328338854 ش پ 169395</t>
  </si>
  <si>
    <t>10:48:9</t>
  </si>
  <si>
    <t>انتقال از خودپرداز 45101693 تجارت - بين 2 به ک 6037701642636788 ش م 169328338886 ش پ 169396</t>
  </si>
  <si>
    <t>30401770</t>
  </si>
  <si>
    <t>کارمزد انتقال از خودپرداز 45101693 تجارت - بين 2 از ک 6219861085979838 ش م 169328338886 ش پ 169396</t>
  </si>
  <si>
    <t>10:48:36</t>
  </si>
  <si>
    <t>انتقال از خودپرداز 45101693 تجارت - بين 2 به ک 5894631178646402 ش م 169328338914 ش پ 169397</t>
  </si>
  <si>
    <t>30401780</t>
  </si>
  <si>
    <t>کارمزد انتقال از خودپرداز 45101693 تجارت - بين 2 از ک 6219861085979838 ش م 169328338914 ش پ 169397</t>
  </si>
  <si>
    <t>11:05:41</t>
  </si>
  <si>
    <t>کارمزد مانده حساب از پايانه فروش 13444162 پرداخت الکترونيک سامان1 از ک 6219861085979838 ش م 85527591</t>
  </si>
  <si>
    <t>30402457</t>
  </si>
  <si>
    <t>17:24:54</t>
  </si>
  <si>
    <t>خريد کالا و خدمات از پايانه فروش 92129546 پرداخت الکترونيک پاسارگاد از ک 6219861085979838 ش م 141043</t>
  </si>
  <si>
    <t>30410291</t>
  </si>
  <si>
    <t>17:26:14</t>
  </si>
  <si>
    <t>خريد کالا و خدمات از پايانه فروش 33491982 تجارت الکترونيک پارسيان از ک 6219861085979838 ش م 74801132</t>
  </si>
  <si>
    <t>40410470</t>
  </si>
  <si>
    <t>19:21:11</t>
  </si>
  <si>
    <t>کارمزد مانده حساب از پايانه فروش 13444162 پرداخت الکترونيک سامان1 از ک 6219861085979838 ش م 85529269</t>
  </si>
  <si>
    <t>30412850</t>
  </si>
  <si>
    <t>19:54:33</t>
  </si>
  <si>
    <t>انتقال از اينترنت 00019001 سپه از ک 5892101574644916 ش م 528419304194 ش پ 304194</t>
  </si>
  <si>
    <t>40414206</t>
  </si>
  <si>
    <t>1404/07/20</t>
  </si>
  <si>
    <t>05:01:20</t>
  </si>
  <si>
    <t>انتقال وجه موبايلت از سپرده 9316.888.1579090.1 ش.پ 00001760232680784259 - محمود ابراهيميان</t>
  </si>
  <si>
    <t>10421112</t>
  </si>
  <si>
    <t>00001760232680784259</t>
  </si>
  <si>
    <t>10:22:7</t>
  </si>
  <si>
    <t>خريد کالا و خدمات از پايانه فروش 33562616 پرداخت الکترونيک سداد 2 از ک 6219861085979838 ش م 32910372</t>
  </si>
  <si>
    <t>40425564</t>
  </si>
  <si>
    <t>12:40:31</t>
  </si>
  <si>
    <t>کارمزد مانده حساب از پايانه فروش 13444162 پرداخت الکترونيک سامان1 از ک 6219861085979838 ش م 85531001</t>
  </si>
  <si>
    <t>30429833</t>
  </si>
  <si>
    <t>13:09:32</t>
  </si>
  <si>
    <t>انتقال از خودپرداز 45101693 تجارت - بين 2 به ک 6037701642636788 ش م 169328447369 ش پ 169385</t>
  </si>
  <si>
    <t>30430517</t>
  </si>
  <si>
    <t>کارمزد انتقال از خودپرداز 45101693 تجارت - بين 2 از ک 6219861085979838 ش م 169328447369 ش پ 169385</t>
  </si>
  <si>
    <t>13:10:7</t>
  </si>
  <si>
    <t>انتقال از خودپرداز 45101693 تجارت - بين 2 به ک 6037997452281877 ش م 169328447403 ش پ 169386</t>
  </si>
  <si>
    <t>40430185</t>
  </si>
  <si>
    <t>کارمزد انتقال از خودپرداز 45101693 تجارت - بين 2 از ک 6219861085979838 ش م 169328447403 ش پ 169386</t>
  </si>
  <si>
    <t>13:10:42</t>
  </si>
  <si>
    <t>انتقال از خودپرداز 45101693 تجارت - بين 2 به ک 6037701575716284 ش م 169328447439 ش پ 169387</t>
  </si>
  <si>
    <t>30430531</t>
  </si>
  <si>
    <t>کارمزد انتقال از خودپرداز 45101693 تجارت - بين 2 از ک 6219861085979838 ش م 169328447439 ش پ 169387</t>
  </si>
  <si>
    <t>13:11:6</t>
  </si>
  <si>
    <t>انتقال از خودپرداز 45101693 تجارت - بين 2 به ک 6274121208660688 ش م 169328447465 ش پ 169388</t>
  </si>
  <si>
    <t>30430537</t>
  </si>
  <si>
    <t>کارمزد انتقال از خودپرداز 45101693 تجارت - بين 2 از ک 6219861085979838 ش م 169328447465 ش پ 169388</t>
  </si>
  <si>
    <t>13:14:11</t>
  </si>
  <si>
    <t>کارمزد مانده حساب از پايانه فروش 13444162 پرداخت الکترونيک سامان1 از ک 6219861085979838 ش م 85531131</t>
  </si>
  <si>
    <t>40430622</t>
  </si>
  <si>
    <t>17:38:6</t>
  </si>
  <si>
    <t>انتقال از اينترنت I000MP01 تجارت - بين 2 از ک 5859831851737154 ش م 336353793187 ش پ 464880</t>
  </si>
  <si>
    <t>30435163</t>
  </si>
  <si>
    <t>17:58:29</t>
  </si>
  <si>
    <t xml:space="preserve">خريد کالا و خدمات از پايانه فروش 11390779 پرداخت نوين آرين از ک 6219861085979838 ش م 707456397386 ش </t>
  </si>
  <si>
    <t>30435612</t>
  </si>
  <si>
    <t>18:57:18</t>
  </si>
  <si>
    <t>انتقال وجه موبايلت از سپرده 9316.800.1512735.5 ش.پ 00001760282838193767 - علي ابراهيميان</t>
  </si>
  <si>
    <t>10433764</t>
  </si>
  <si>
    <t>00001760282838193767</t>
  </si>
  <si>
    <t>1404/07/21</t>
  </si>
  <si>
    <t>05:01:27</t>
  </si>
  <si>
    <t>انتقال وجه موبايلت از سپرده 9316.888.1579090.1 ش.پ 00001760319087288778 - محمود ابراهيميان</t>
  </si>
  <si>
    <t>10445072</t>
  </si>
  <si>
    <t>00001760319087288778</t>
  </si>
  <si>
    <t>05:04:44</t>
  </si>
  <si>
    <t>انتقال وجه موبايلت از سپرده 9316.888.1579090.1 ش.پ 00001760319284864908 - محمود ابراهيميان</t>
  </si>
  <si>
    <t>10445073</t>
  </si>
  <si>
    <t>00001760319284864908</t>
  </si>
  <si>
    <t>10:13:21</t>
  </si>
  <si>
    <t>انتقال از اينترنت 06590002 صادرات از ک 6037691636021057 ش م 221013211766 ش پ 121766</t>
  </si>
  <si>
    <t>40449637</t>
  </si>
  <si>
    <t>10:46:36</t>
  </si>
  <si>
    <t>کارمزد مانده حساب از پايانه فروش 13444162 پرداخت الکترونيک سامان1 از ک 6219861085979838 ش م 85533624</t>
  </si>
  <si>
    <t>40450556</t>
  </si>
  <si>
    <t>11:40:17</t>
  </si>
  <si>
    <t>انتقال از خودپرداز 45101693 تجارت - بين 2 به ک 6037997452281877 ش م 169328542015 ش پ 169369</t>
  </si>
  <si>
    <t>40452011</t>
  </si>
  <si>
    <t>کارمزد انتقال از خودپرداز 45101693 تجارت - بين 2 از ک 6219861085979838 ش م 169328542015 ش پ 169369</t>
  </si>
  <si>
    <t>11:40:40</t>
  </si>
  <si>
    <t>انتقال از خودپرداز 45101693 تجارت - بين 2 به ک 6104338738476148 ش م 169328542038 ش پ 169370</t>
  </si>
  <si>
    <t>40452014</t>
  </si>
  <si>
    <t>کارمزد انتقال از خودپرداز 45101693 تجارت - بين 2 از ک 6219861085979838 ش م 169328542038 ش پ 169370</t>
  </si>
  <si>
    <t>20:57:51</t>
  </si>
  <si>
    <t>کارمزد مانده حساب از پايانه فروش 13444162 پرداخت الکترونيک سامان1 از ک 6219861085979838 ش م 85535710</t>
  </si>
  <si>
    <t>30463540</t>
  </si>
  <si>
    <t>1404/07/22</t>
  </si>
  <si>
    <t>05:05:10</t>
  </si>
  <si>
    <t>انتقال وجه موبايلت از سپرده 9316.888.1579090.1 ش.پ 00001760405710338164 - محمود ابراهيميان</t>
  </si>
  <si>
    <t>50465461</t>
  </si>
  <si>
    <t>00001760405710338164</t>
  </si>
  <si>
    <t>09:39:24</t>
  </si>
  <si>
    <t>خريد کالا و خدمات از پايانه فروش 33562616 پرداخت الکترونيک سداد 2 از ک 6219861085979838 ش م 32913093</t>
  </si>
  <si>
    <t>30472081</t>
  </si>
  <si>
    <t>09:44:45</t>
  </si>
  <si>
    <t>خريد کالا و خدمات از پايانه فروش 10409379 پرداخت الکترونيک سامان1 از ک 6219861085979838 ش م 85536417</t>
  </si>
  <si>
    <t>30472138</t>
  </si>
  <si>
    <t>10:17:2</t>
  </si>
  <si>
    <t>کارمزد مانده حساب از پايانه فروش 13444162 پرداخت الکترونيک سامان1 از ک 6219861085979838 ش م 85536514</t>
  </si>
  <si>
    <t>40473236</t>
  </si>
  <si>
    <t>11:47:9</t>
  </si>
  <si>
    <t>انتقال از اينترنت I000MP01 تجارت - بين 2 از ک 5859831117767532 ش م 449574609858 ش پ 185189</t>
  </si>
  <si>
    <t>40475565</t>
  </si>
  <si>
    <t>13:20:11</t>
  </si>
  <si>
    <t>انتقال از خودپرداز 45101693 تجارت - بين 2 به ک 5894631178646402 ش م 169328648009 ش پ 169333</t>
  </si>
  <si>
    <t>40478417</t>
  </si>
  <si>
    <t>کارمزد انتقال از خودپرداز 45101693 تجارت - بين 2 از ک 6219861085979838 ش م 169328648009 ش پ 169333</t>
  </si>
  <si>
    <t>19:13:55</t>
  </si>
  <si>
    <t>خريد کالا و خدمات از پايانه فروش 13895343 پرداخت الکترونيک سامان1 از ک 6219861085979838 ش م 85538264</t>
  </si>
  <si>
    <t>30484893</t>
  </si>
  <si>
    <t>1404/07/23</t>
  </si>
  <si>
    <t>05:03:11</t>
  </si>
  <si>
    <t>انتقال وجه موبايلت از سپرده 9316.888.1579090.1 ش.پ 00001760491991723100 - محمود ابراهيميان</t>
  </si>
  <si>
    <t>10492629</t>
  </si>
  <si>
    <t>00001760491991723100</t>
  </si>
  <si>
    <t>10:09:40</t>
  </si>
  <si>
    <t>خريد کالا و خدمات از پايانه فروش 33562616 پرداخت الکترونيک سداد 2 از ک 6219861085979838 ش م 32914517</t>
  </si>
  <si>
    <t>40496728</t>
  </si>
  <si>
    <t>10:14:18</t>
  </si>
  <si>
    <t>خريد کالا و خدمات از پايانه فروش 10409379 پرداخت الکترونيک سامان1 از ک 6219861085979838 ش م 85539466</t>
  </si>
  <si>
    <t>30497025</t>
  </si>
  <si>
    <t>10:14:55</t>
  </si>
  <si>
    <t>خريد کالا و خدمات از پايانه فروش 10409379 پرداخت الکترونيک سامان1 از ک 6219861085979838 ش م 85539467</t>
  </si>
  <si>
    <t>40497201</t>
  </si>
  <si>
    <t>10:32:47</t>
  </si>
  <si>
    <t>خريد کالا و خدمات از پايانه فروش 03071227 کارت اعتباري ايران کيش از ک 6219861085979838 ش م 712272873</t>
  </si>
  <si>
    <t>30497428</t>
  </si>
  <si>
    <t>10:49:28</t>
  </si>
  <si>
    <t>کارمزد مانده حساب از پايانه فروش 13444162 پرداخت الکترونيک سامان1 از ک 6219861085979838 ش م 85539580</t>
  </si>
  <si>
    <t>30497823</t>
  </si>
  <si>
    <t>11:19:33</t>
  </si>
  <si>
    <t>انتقال وجه آني به شباIR270190000000101536120004به ‌علي‌ ‌اکبر دوستي‌ ش.پ140407230563105247515</t>
  </si>
  <si>
    <t>20494146</t>
  </si>
  <si>
    <t xml:space="preserve">بابت قسمتي از </t>
  </si>
  <si>
    <t>20494147</t>
  </si>
  <si>
    <t>11:23:21</t>
  </si>
  <si>
    <t>انتقال از اينترنت 17592030 ملي از ک 6037997517594868 ش م 673634057566 ش پ 969392</t>
  </si>
  <si>
    <t>30499000</t>
  </si>
  <si>
    <t>13:09:59</t>
  </si>
  <si>
    <t>انتقال از اينترنت 02884325 ملت از ک 6104337903746574 ش م 168629408443 ش پ 408443</t>
  </si>
  <si>
    <t>30502037</t>
  </si>
  <si>
    <t>17:30:20</t>
  </si>
  <si>
    <t>خريد کالا و خدمات از پايانه فروش 13895343 پرداخت الکترونيک سامان1 از ک 6219861085979838 ش م 85540764</t>
  </si>
  <si>
    <t>30506244</t>
  </si>
  <si>
    <t>19:27:9</t>
  </si>
  <si>
    <t>خريد کالا و خدمات از پايانه فروش 13895343 پرداخت الکترونيک سامان1 از ک 6219861085979838 ش م 85541305</t>
  </si>
  <si>
    <t>30508791</t>
  </si>
  <si>
    <t>19:44:46</t>
  </si>
  <si>
    <t>انتقال از اينترنت 17592030 ملي از ک 6037991210731638 ش م 468623895936 ش پ 081203</t>
  </si>
  <si>
    <t>40509372</t>
  </si>
  <si>
    <t>20:29:1</t>
  </si>
  <si>
    <t>کارمزد مانده حساب از پايانه فروش 13444162 پرداخت الکترونيک سامان1 از ک 6219861085979838 ش م 85541550</t>
  </si>
  <si>
    <t>40510392</t>
  </si>
  <si>
    <t>21:04:3</t>
  </si>
  <si>
    <t>انتقال از اينترنت 00019001 قرض الحسنه مهر از ک 6063731254880249 ش م 528821778611 ش پ 778611</t>
  </si>
  <si>
    <t>40511626</t>
  </si>
  <si>
    <t>1404/07/24</t>
  </si>
  <si>
    <t>04:58:15</t>
  </si>
  <si>
    <t>انتقال وجه موبايلت از سپرده 9316.888.1579090.1 ش.پ 00001760578095590446 - محمود ابراهيميان</t>
  </si>
  <si>
    <t>50510662</t>
  </si>
  <si>
    <t>00001760578095590446</t>
  </si>
  <si>
    <t>10:01:45</t>
  </si>
  <si>
    <t>انتقال وجه موبايلت به سپرده 6118.350.2001.2 ش.پ 00001760596305892067-بانک سامان-ش.ش IR960560611828005238036201</t>
  </si>
  <si>
    <t>50519013</t>
  </si>
  <si>
    <t>00001760596305892067</t>
  </si>
  <si>
    <t>10:30:53</t>
  </si>
  <si>
    <t>انتقال از اينترنت 00019041 سامان به ک 5859831103338371 ش م 528910537650 ش پ 537650</t>
  </si>
  <si>
    <t>40520315</t>
  </si>
  <si>
    <t>کارمزد انتقال از اينترنت 00019041 سامان از ک 6219861085979838 ش م 528910537650 ش پ 537650</t>
  </si>
  <si>
    <t>11:35:16</t>
  </si>
  <si>
    <t>کارمزد مانده حساب از پايانه فروش 13444162 پرداخت الکترونيک سامان1 از ک 6219861085979838 ش م 85542708</t>
  </si>
  <si>
    <t>40522135</t>
  </si>
  <si>
    <t>20:51:19</t>
  </si>
  <si>
    <t>انتقال از اينترنت 00019001 شهر از ک 5047061665439127 ش م 130007067606 ش پ 067606</t>
  </si>
  <si>
    <t>30534313</t>
  </si>
  <si>
    <t>21:02:33</t>
  </si>
  <si>
    <t>کارمزد مانده حساب از پايانه فروش 13444162 پرداخت الکترونيک سامان1 از ک 6219861085979838 ش م 85544686</t>
  </si>
  <si>
    <t>40534726</t>
  </si>
  <si>
    <t>1404/07/25</t>
  </si>
  <si>
    <t>14:41:58</t>
  </si>
  <si>
    <t>انتقال وجه موبايلت از سپرده 9316.888.1579090.1 ش.پ 00001760699518852150 - محمود ابراهيميان</t>
  </si>
  <si>
    <t>10544281</t>
  </si>
  <si>
    <t>00001760699518852150</t>
  </si>
  <si>
    <t>1404/07/26</t>
  </si>
  <si>
    <t>10:25:43</t>
  </si>
  <si>
    <t>کارمزد مانده حساب از پايانه فروش 13444162 پرداخت الکترونيک سامان1 از ک 6219861085979838 ش م 85547871</t>
  </si>
  <si>
    <t>40559172</t>
  </si>
  <si>
    <t>10:38:29</t>
  </si>
  <si>
    <t>انتقال از خودپرداز 45101693 تجارت - بين 2 به ک 6037701642636788 ش م 169329038306 ش پ 169302</t>
  </si>
  <si>
    <t>40559527</t>
  </si>
  <si>
    <t>کارمزد انتقال از خودپرداز 45101693 تجارت - بين 2 از ک 6219861085979838 ش م 169329038306 ش پ 169302</t>
  </si>
  <si>
    <t>10:39:0</t>
  </si>
  <si>
    <t>انتقال از خودپرداز 45101693 تجارت - بين 2 به ک 6104338738476148 ش م 169329038338 ش پ 169303</t>
  </si>
  <si>
    <t>40559532</t>
  </si>
  <si>
    <t>کارمزد انتقال از خودپرداز 45101693 تجارت - بين 2 از ک 6219861085979838 ش م 169329038338 ش پ 169303</t>
  </si>
  <si>
    <t>10:39:26</t>
  </si>
  <si>
    <t>انتقال از خودپرداز 45101693 تجارت - بين 2 به ک 5894631178646402 ش م 169329038364 ش پ 169304</t>
  </si>
  <si>
    <t>30559358</t>
  </si>
  <si>
    <t>کارمزد انتقال از خودپرداز 45101693 تجارت - بين 2 از ک 6219861085979838 ش م 169329038364 ش پ 169304</t>
  </si>
  <si>
    <t>10:40:54</t>
  </si>
  <si>
    <t>پرداخت قبوض از پايانه فروش 02263389 پرداخت الکترونيک سامان1 از ک 6219861085979838 ش م 855479239637 ش</t>
  </si>
  <si>
    <t>30559376</t>
  </si>
  <si>
    <t>21:02:44</t>
  </si>
  <si>
    <t>انتقال وجه بلو بانک از شبا IR960560611828005238036201 ش.پ 14043392997762 - سيديحيي حامدحيدري</t>
  </si>
  <si>
    <t>10574768</t>
  </si>
  <si>
    <t>1404/07/27</t>
  </si>
  <si>
    <t>05:06:49</t>
  </si>
  <si>
    <t>انتقال وجه موبايلت از سپرده 9316.888.1579090.1 ش.پ 00001760837809969521 - محمود ابراهيميان</t>
  </si>
  <si>
    <t>50570926</t>
  </si>
  <si>
    <t>00001760837809969521</t>
  </si>
  <si>
    <t>09:35:25</t>
  </si>
  <si>
    <t>خريد کالا و خدمات از پايانه فروش 45261630 تجارت الکترونيک پارسيان از ک 6219861085979838 ش م 81104047</t>
  </si>
  <si>
    <t>30584469</t>
  </si>
  <si>
    <t>09:41:15</t>
  </si>
  <si>
    <t>خريد کالا و خدمات از پايانه فروش 10409379 پرداخت الکترونيک سامان1 از ک 6219861085979838 ش م 85550743</t>
  </si>
  <si>
    <t>30584560</t>
  </si>
  <si>
    <t>09:43:6</t>
  </si>
  <si>
    <t>خريد کالا و خدمات از پايانه فروش 10409379 پرداخت الکترونيک سامان1 از ک 6219861085979838 ش م 85550749</t>
  </si>
  <si>
    <t>30584587</t>
  </si>
  <si>
    <t>10:38:55</t>
  </si>
  <si>
    <t>کارمزد مانده حساب از پايانه فروش 13444162 پرداخت الکترونيک سامان1 از ک 6219861085979838 ش م 85550917</t>
  </si>
  <si>
    <t>40585882</t>
  </si>
  <si>
    <t>11:09:35</t>
  </si>
  <si>
    <t>انتقال از خودپرداز 45101693 تجارت - بين 2 به ک 6037997452281877 ش م 169329140172 ش پ 169362</t>
  </si>
  <si>
    <t>30587131</t>
  </si>
  <si>
    <t>کارمزد انتقال از خودپرداز 45101693 تجارت - بين 2 از ک 6219861085979838 ش م 169329140172 ش پ 169362</t>
  </si>
  <si>
    <t>13:08:47</t>
  </si>
  <si>
    <t>خريد کالا و خدمات از پايانه فروش 12093260 پرداخت الکترونيک سامان1 از ک 6219861085979838 ش م 85551455</t>
  </si>
  <si>
    <t>40590615</t>
  </si>
  <si>
    <t>17:14:18</t>
  </si>
  <si>
    <t>خريد کالا و خدمات از پايانه فروش 10073665 پرداخت الکترونيک سامان1 از ک 6219861085979838 ش م 85552051</t>
  </si>
  <si>
    <t>40594561</t>
  </si>
  <si>
    <t>17:16:5</t>
  </si>
  <si>
    <t xml:space="preserve">خريد کالا و خدمات از پايانه فروش 30669906 پرداخت نوين آرين از ک 6219861085979838 ش م 513485783439 ش </t>
  </si>
  <si>
    <t>40594577</t>
  </si>
  <si>
    <t>19:28:40</t>
  </si>
  <si>
    <t>خريد کالا و خدمات از پايانه فروش 10580741 پرداخت الکترونيک سامان1 از ک 6219861085979838 ش م 85552668</t>
  </si>
  <si>
    <t>40597792</t>
  </si>
  <si>
    <t>19:28:54</t>
  </si>
  <si>
    <t xml:space="preserve">خريد کالا و خدمات از پايانه فروش 11718189 پرداخت نوين آرين از ک 6219861085979838 ش م 513488503848 ش </t>
  </si>
  <si>
    <t>40597802</t>
  </si>
  <si>
    <t>21:49:56</t>
  </si>
  <si>
    <t>انتقال از اينترنت 17592030 ملي از ک 6037998250354395 ش م 207003450056 ش پ 295922</t>
  </si>
  <si>
    <t>40600865</t>
  </si>
  <si>
    <t>1404/07/28</t>
  </si>
  <si>
    <t>05:06:41</t>
  </si>
  <si>
    <t>انتقال وجه موبايلت از سپرده 9316.888.1579090.1 ش.پ 00001760924201104328 - محمود ابراهيميان</t>
  </si>
  <si>
    <t>20602021</t>
  </si>
  <si>
    <t>00001760924201104328</t>
  </si>
  <si>
    <t>09:11:43</t>
  </si>
  <si>
    <t xml:space="preserve">خريد کالا و خدمات از پايانه فروش 01588499 پرداخت نوين آرين از ک 6219861085979838 ش م 707475204441 ش </t>
  </si>
  <si>
    <t>40607416</t>
  </si>
  <si>
    <t>10:00:11</t>
  </si>
  <si>
    <t>خريد کالا و خدمات از اينترنت 07476462 به پرداخت ملت از ک 6219861085979838 ش م 323935367574 ش پ 36757</t>
  </si>
  <si>
    <t>30608659</t>
  </si>
  <si>
    <t>10:02:58</t>
  </si>
  <si>
    <t>خريد کالا و خدمات از اينترنت 07476462 به پرداخت ملت از ک 6219861085979838 ش م 323935674358 ش پ 67435</t>
  </si>
  <si>
    <t>40608302</t>
  </si>
  <si>
    <t>10:05:26</t>
  </si>
  <si>
    <t>خريد کالا و خدمات از اينترنت 07476462 به پرداخت ملت از ک 6219861085979838 ش م 323935944716 ش پ 94471</t>
  </si>
  <si>
    <t>40608322</t>
  </si>
  <si>
    <t>10:59:38</t>
  </si>
  <si>
    <t>پرداخت قبوض از پايانه فروش 02263389 پرداخت الکترونيک سامان1 از ک 6219861085979838 ش م 855539121491 ش</t>
  </si>
  <si>
    <t>30610086</t>
  </si>
  <si>
    <t>11:51:51</t>
  </si>
  <si>
    <t>انتقال از اينترنت I000MP01 تجارت - بين 2 از ک 5859831035035384 ش م 058356188361 ش پ 214124</t>
  </si>
  <si>
    <t>30611585</t>
  </si>
  <si>
    <t>12:53:5</t>
  </si>
  <si>
    <t>خريد کالا و خدمات از پايانه فروش 05582110 کارت اعتباري ايران کيش از ک 6219861085979838 ش م 821102925</t>
  </si>
  <si>
    <t>40613274</t>
  </si>
  <si>
    <t>13:17:38</t>
  </si>
  <si>
    <t>کارمزد مانده حساب از پايانه فروش 02263389 پرداخت الکترونيک سامان1 از ک 6219861085979838 ش م 85554404</t>
  </si>
  <si>
    <t>30613782</t>
  </si>
  <si>
    <t>18:53:15</t>
  </si>
  <si>
    <t>انتقال از اينترنت MP010010 تجارت - بين 2 از ک 5859831157250340 ش م 000629575199 ش پ 218003</t>
  </si>
  <si>
    <t>40620124</t>
  </si>
  <si>
    <t>19:33:12</t>
  </si>
  <si>
    <t xml:space="preserve">خريد کالا و خدمات از پايانه فروش 11451300 پرداخت نوين آرين از ک 6219861085979838 ش م 707476940176 ش </t>
  </si>
  <si>
    <t>30620875</t>
  </si>
  <si>
    <t>19:47:43</t>
  </si>
  <si>
    <t>انتقال وجه بلو بانک از شبا IR760560611828005475028901 ش.پ 14043431564050 - محمد جلال آبادي</t>
  </si>
  <si>
    <t>10621213</t>
  </si>
  <si>
    <t>20:35:59</t>
  </si>
  <si>
    <t>کارمزد مانده حساب از پايانه فروش 13444162 پرداخت الکترونيک سامان1 از ک 6219861085979838 ش م 85555840</t>
  </si>
  <si>
    <t>30622653</t>
  </si>
  <si>
    <t>1404/07/29</t>
  </si>
  <si>
    <t>04:58:16</t>
  </si>
  <si>
    <t>انتقال وجه موبايلت از سپرده 9316.888.1579090.1 ش.پ 00001761010096349089 - محمود ابراهيميان</t>
  </si>
  <si>
    <t>50624842</t>
  </si>
  <si>
    <t>00001761010096349089</t>
  </si>
  <si>
    <t>10:51:7</t>
  </si>
  <si>
    <t>خريد کالا و خدمات از اينترنت 14930422 پرداخت الکترونيک سامان1 از ک 6219861085979838 ش م 223972674711</t>
  </si>
  <si>
    <t>40633774</t>
  </si>
  <si>
    <t>10:52:29</t>
  </si>
  <si>
    <t>خريد کالا و خدمات از پايانه فروش 12747825 پرداخت الکترونيک سامان1 از ک 6219861085979838 ش م 85556798</t>
  </si>
  <si>
    <t>40633799</t>
  </si>
  <si>
    <t>11:03:33</t>
  </si>
  <si>
    <t>انتقال از خودپرداز 45101693 تجارت - بين 2 به ک 6037697600840968 ش م 169329339811 ش پ 169364</t>
  </si>
  <si>
    <t>40634326</t>
  </si>
  <si>
    <t>کارمزد انتقال از خودپرداز 45101693 تجارت - بين 2 از ک 6219861085979838 ش م 169329339811 ش پ 169364</t>
  </si>
  <si>
    <t>12:43:57</t>
  </si>
  <si>
    <t>انتقال از اينترنت 00000200 ملت از ک 6104338785410909 ش م 168886042020 ش پ 042020</t>
  </si>
  <si>
    <t>40638211</t>
  </si>
  <si>
    <t>13:02:24</t>
  </si>
  <si>
    <t>انتقال وجه موبايلت به سپرده 9316.800.1512735.1 ش.پ 00001761039144596171-علي ابراهيميان</t>
  </si>
  <si>
    <t>20637815</t>
  </si>
  <si>
    <t>00001761039144596171</t>
  </si>
  <si>
    <t>13:03:11</t>
  </si>
  <si>
    <t>انتقال وجه موبايلت به سپرده 9316.800.1512735.1 ش.پ 00001761039191103527-علي ابراهيميان</t>
  </si>
  <si>
    <t>10635389</t>
  </si>
  <si>
    <t>00001761039191103527</t>
  </si>
  <si>
    <t>13:08:51</t>
  </si>
  <si>
    <t>کارمزد مانده حساب از پايانه فروش 02263389 پرداخت الکترونيک سامان1 از ک 6219861085979838 ش م 85557288</t>
  </si>
  <si>
    <t>30638672</t>
  </si>
  <si>
    <t>13:12:40</t>
  </si>
  <si>
    <t>انتقال از خودپرداز 45101693 تجارت - بين 2 به ک 5029081028402846 ش م 169329347557 ش پ 169360</t>
  </si>
  <si>
    <t>30638713</t>
  </si>
  <si>
    <t>کارمزد انتقال از خودپرداز 45101693 تجارت - بين 2 از ک 6219861085979838 ش م 169329347557 ش پ 169360</t>
  </si>
  <si>
    <t>13:18:49</t>
  </si>
  <si>
    <t>انتقال از خودپرداز 45101693 تجارت - بين 2 به ک 6037697697566260 ش م 169329347927 ش پ 169365</t>
  </si>
  <si>
    <t>40639059</t>
  </si>
  <si>
    <t>کارمزد انتقال از خودپرداز 45101693 تجارت - بين 2 از ک 6219861085979838 ش م 169329347927 ش پ 169365</t>
  </si>
  <si>
    <t>1404/07/30</t>
  </si>
  <si>
    <t>04:46:3</t>
  </si>
  <si>
    <t>انتقال وجه موبايلت از سپرده 9316.888.1579090.1 ش.پ 00001761095763563155 - محمود ابراهيميان</t>
  </si>
  <si>
    <t>50637377</t>
  </si>
  <si>
    <t>00001761095763563155</t>
  </si>
  <si>
    <t>13:35:25</t>
  </si>
  <si>
    <t>انتقال از اينترنت 00019041 سامان به ک 5859831103338371 ش م 529513878552 ش پ 878552</t>
  </si>
  <si>
    <t>30670526</t>
  </si>
  <si>
    <t>کارمزد انتقال از اينترنت 00019041 سامان از ک 6219861085979838 ش م 529513878552 ش پ 878552</t>
  </si>
  <si>
    <t>18:48:26</t>
  </si>
  <si>
    <t>انتقال از اينترنت 00019041 سامان به ک 6104338738476148 ش م 529518474450 ش پ 474450</t>
  </si>
  <si>
    <t>40683566</t>
  </si>
  <si>
    <t>کارمزد انتقال از اينترنت 00019041 سامان از ک 6219861085979838 ش م 529518474450 ش پ 474450</t>
  </si>
  <si>
    <t>18:51:27</t>
  </si>
  <si>
    <t>انتقال از اينترنت 00019041 سامان به ک 6280238033262159 ش م 529518478258 ش پ 478258</t>
  </si>
  <si>
    <t>40683598</t>
  </si>
  <si>
    <t>کارمزد انتقال از اينترنت 00019041 سامان از ک 6219861085979838 ش م 529518478258 ش پ 478258</t>
  </si>
  <si>
    <t>19:14:18</t>
  </si>
  <si>
    <t>انتقال از اينترنت 17592030 ملي از ک 6037998155356842 ش م 948541585697 ش پ 240490</t>
  </si>
  <si>
    <t>30684571</t>
  </si>
  <si>
    <t>21:32:7</t>
  </si>
  <si>
    <t>انتقال از اينترنت 17592030 ملي از ک 6037998250354395 ش م 185129267068 ش پ 008204</t>
  </si>
  <si>
    <t>30688415</t>
  </si>
  <si>
    <t>مجموع</t>
  </si>
  <si>
    <t>نام دارنده کارت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</si>
</sst>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;\-#,##0\ "/>
    <numFmt numFmtId="165" formatCode="#,##0_-_ر_ي_ا_ل"/>
  </numFmts>
  <fonts count="7">
    <font>
      <sz val="11.0"/>
      <color theme="1"/>
      <name val="Calibri"/>
      <scheme val="minor"/>
    </font>
    <font>
      <sz val="9.0"/>
      <color theme="1"/>
      <name val="Tahoma"/>
    </font>
    <font>
      <b/>
      <sz val="11.0"/>
      <color theme="1"/>
      <name val="Tahoma"/>
    </font>
    <font>
      <sz val="8.0"/>
      <color theme="1"/>
      <name val="Tahoma"/>
    </font>
    <font>
      <b/>
      <sz val="8.0"/>
      <color rgb="FF7F7F7F"/>
      <name val="Tahoma"/>
    </font>
    <font>
      <sz val="9.0"/>
      <color rgb="FF595959"/>
      <name val="Tahoma"/>
    </font>
    <font>
      <b/>
      <sz val="10.0"/>
      <color rgb="FF595959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</fills>
  <borders count="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4" numFmtId="3" xfId="0" applyAlignment="1" applyBorder="1" applyFont="1" applyNumberForma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1" fillId="3" fontId="3" numFmtId="49" xfId="0" applyAlignment="1" applyBorder="1" applyFont="1" applyNumberFormat="1">
      <alignment readingOrder="0" shrinkToFit="0" vertical="center" wrapText="0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165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3" fillId="0" fontId="6" numFmtId="0" xfId="0" applyAlignment="1" applyBorder="1" applyFont="1">
      <alignment horizontal="center" readingOrder="0" shrinkToFit="0" vertical="center" wrapText="0"/>
    </xf>
    <xf borderId="4" fillId="0" fontId="6" numFmtId="3" xfId="0" applyAlignment="1" applyBorder="1" applyFont="1" applyNumberFormat="1">
      <alignment horizontal="center" shrinkToFit="0" vertical="center" wrapText="0"/>
    </xf>
    <xf borderId="5" fillId="0" fontId="6" numFmtId="3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0.71"/>
    <col customWidth="1" min="2" max="2" width="13.0"/>
    <col customWidth="1" min="3" max="3" width="15.71"/>
    <col customWidth="1" min="4" max="4" width="21.0"/>
    <col customWidth="1" min="5" max="5" width="24.14"/>
    <col customWidth="1" min="6" max="6" width="16.86"/>
    <col customWidth="1" min="7" max="7" width="20.43"/>
    <col customWidth="1" min="8" max="9" width="26.71"/>
    <col customWidth="1" min="10" max="10" width="28.0"/>
    <col customWidth="1" min="11" max="11" width="26.86"/>
    <col customWidth="1" min="12" max="12" width="30.57"/>
    <col customWidth="1" min="13" max="13" width="63.71"/>
    <col customWidth="1" min="14" max="15" width="26.43"/>
    <col customWidth="1" min="16" max="16" width="14.29"/>
    <col customWidth="1" min="17" max="17" width="11.14"/>
    <col customWidth="1" min="18" max="18" width="12.29"/>
    <col customWidth="1" min="19" max="35" width="9.14"/>
  </cols>
  <sheetData>
    <row r="1" ht="4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3.25" customHeight="1">
      <c r="A2" s="2" t="s">
        <v>0</v>
      </c>
      <c r="B2" s="3" t="s">
        <v>1</v>
      </c>
      <c r="C2" s="3"/>
      <c r="D2" s="4" t="s">
        <v>2</v>
      </c>
      <c r="E2" s="5"/>
      <c r="F2" s="3"/>
      <c r="G2" s="3"/>
      <c r="H2" s="3"/>
      <c r="I2" s="3"/>
      <c r="J2" s="3"/>
      <c r="K2" s="3"/>
      <c r="L2" s="3"/>
      <c r="M2" s="3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9.5" customHeight="1">
      <c r="A3" s="5" t="s">
        <v>3</v>
      </c>
      <c r="B3" s="5"/>
      <c r="C3" s="5"/>
      <c r="D3" s="4" t="s">
        <v>4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9.5" customHeight="1">
      <c r="A4" s="7" t="s">
        <v>5</v>
      </c>
      <c r="B4" s="6"/>
      <c r="C4" s="6"/>
      <c r="D4" s="6"/>
      <c r="E4" s="6"/>
      <c r="F4" s="6"/>
      <c r="G4" s="8"/>
      <c r="H4" s="8"/>
      <c r="I4" s="8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9.5" customHeight="1">
      <c r="A5" s="10"/>
      <c r="B5" s="11" t="s">
        <v>6</v>
      </c>
      <c r="C5" s="11" t="s">
        <v>7</v>
      </c>
      <c r="D5" s="11" t="s">
        <v>8</v>
      </c>
      <c r="E5" s="12">
        <v>9.9584637E7</v>
      </c>
      <c r="F5" s="13" t="s">
        <v>9</v>
      </c>
      <c r="G5" s="12">
        <v>9.9584637E7</v>
      </c>
      <c r="H5" s="11" t="s">
        <v>10</v>
      </c>
      <c r="I5" s="11"/>
      <c r="J5" s="12">
        <v>0.0</v>
      </c>
      <c r="K5" s="1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9.5" customHeight="1">
      <c r="A6" s="10"/>
      <c r="B6" s="11" t="s">
        <v>11</v>
      </c>
      <c r="C6" s="10"/>
      <c r="D6" s="13" t="s">
        <v>12</v>
      </c>
      <c r="E6" s="11" t="s">
        <v>13</v>
      </c>
      <c r="F6" s="11" t="s">
        <v>14</v>
      </c>
      <c r="G6" s="10"/>
      <c r="H6" s="14"/>
      <c r="I6" s="14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9.5" customHeight="1">
      <c r="A7" s="10"/>
      <c r="B7" s="11" t="s">
        <v>15</v>
      </c>
      <c r="C7" s="10"/>
      <c r="D7" s="15" t="s">
        <v>16</v>
      </c>
      <c r="E7" s="10"/>
      <c r="F7" s="15" t="s">
        <v>17</v>
      </c>
      <c r="G7" s="10"/>
      <c r="H7" s="14"/>
      <c r="I7" s="14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20.25" customHeight="1">
      <c r="A8" s="16" t="s">
        <v>18</v>
      </c>
      <c r="B8" s="16" t="s">
        <v>19</v>
      </c>
      <c r="C8" s="16" t="s">
        <v>20</v>
      </c>
      <c r="D8" s="16" t="s">
        <v>21</v>
      </c>
      <c r="E8" s="16" t="s">
        <v>22</v>
      </c>
      <c r="F8" s="16" t="s">
        <v>23</v>
      </c>
      <c r="G8" s="16" t="s">
        <v>24</v>
      </c>
      <c r="H8" s="16" t="s">
        <v>25</v>
      </c>
      <c r="I8" s="17" t="s">
        <v>26</v>
      </c>
      <c r="J8" s="16" t="s">
        <v>27</v>
      </c>
      <c r="K8" s="16" t="s">
        <v>28</v>
      </c>
      <c r="L8" s="16" t="s">
        <v>29</v>
      </c>
      <c r="M8" s="16" t="s">
        <v>30</v>
      </c>
      <c r="N8" s="16" t="s">
        <v>31</v>
      </c>
      <c r="O8" s="16" t="s">
        <v>32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ht="25.5" customHeight="1">
      <c r="A9" s="19">
        <v>1.0</v>
      </c>
      <c r="B9" s="19" t="s">
        <v>33</v>
      </c>
      <c r="C9" s="20" t="s">
        <v>34</v>
      </c>
      <c r="D9" s="21" t="s">
        <v>35</v>
      </c>
      <c r="E9" s="21" t="s">
        <v>36</v>
      </c>
      <c r="F9" s="22">
        <v>1.4E8</v>
      </c>
      <c r="G9" s="23">
        <v>0.0</v>
      </c>
      <c r="H9" s="24">
        <v>1.61867925E8</v>
      </c>
      <c r="I9" s="24" t="str">
        <f>IFERROR(__xludf.DUMMYFUNCTION("REGEXEXTRACT(E9, ""ک\s(\d{16})"")"),"#N/A")</f>
        <v>#N/A</v>
      </c>
      <c r="J9" s="25" t="s">
        <v>37</v>
      </c>
      <c r="K9" s="20" t="s">
        <v>38</v>
      </c>
      <c r="L9" s="26" t="s">
        <v>39</v>
      </c>
      <c r="M9" s="26" t="s">
        <v>40</v>
      </c>
      <c r="N9" s="27" t="s">
        <v>40</v>
      </c>
      <c r="O9" s="27" t="s">
        <v>41</v>
      </c>
      <c r="P9" s="27"/>
      <c r="Q9" s="26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 ht="25.5" customHeight="1">
      <c r="A10" s="19">
        <v>2.0</v>
      </c>
      <c r="B10" s="19" t="s">
        <v>33</v>
      </c>
      <c r="C10" s="20" t="s">
        <v>42</v>
      </c>
      <c r="D10" s="21" t="s">
        <v>35</v>
      </c>
      <c r="E10" s="21" t="s">
        <v>43</v>
      </c>
      <c r="F10" s="22">
        <v>7900000.0</v>
      </c>
      <c r="G10" s="23">
        <v>0.0</v>
      </c>
      <c r="H10" s="24">
        <v>1.69767925E8</v>
      </c>
      <c r="I10" s="24" t="str">
        <f>IFERROR(__xludf.DUMMYFUNCTION("REGEXEXTRACT(E10, ""ک\s(\d{16})"")"),"#N/A")</f>
        <v>#N/A</v>
      </c>
      <c r="J10" s="25" t="s">
        <v>37</v>
      </c>
      <c r="K10" s="20" t="s">
        <v>44</v>
      </c>
      <c r="L10" s="26" t="s">
        <v>39</v>
      </c>
      <c r="M10" s="26" t="s">
        <v>40</v>
      </c>
      <c r="N10" s="27" t="s">
        <v>40</v>
      </c>
      <c r="O10" s="27" t="s">
        <v>45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ht="25.5" customHeight="1">
      <c r="A11" s="19">
        <v>3.0</v>
      </c>
      <c r="B11" s="19" t="s">
        <v>33</v>
      </c>
      <c r="C11" s="20" t="s">
        <v>46</v>
      </c>
      <c r="D11" s="21" t="s">
        <v>47</v>
      </c>
      <c r="E11" s="21" t="s">
        <v>48</v>
      </c>
      <c r="F11" s="22">
        <v>0.0</v>
      </c>
      <c r="G11" s="23">
        <v>3.3435E7</v>
      </c>
      <c r="H11" s="24">
        <v>1.36332925E8</v>
      </c>
      <c r="I11" s="24" t="str">
        <f>IFERROR(__xludf.DUMMYFUNCTION("REGEXEXTRACT(E11, ""ک\s(\d{16})"")"),"6219861085979838")</f>
        <v>6219861085979838</v>
      </c>
      <c r="J11" s="25" t="s">
        <v>49</v>
      </c>
      <c r="K11" s="20" t="s">
        <v>50</v>
      </c>
      <c r="L11" s="26" t="s">
        <v>39</v>
      </c>
      <c r="M11" s="26" t="s">
        <v>40</v>
      </c>
      <c r="N11" s="27" t="s">
        <v>40</v>
      </c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ht="25.5" customHeight="1">
      <c r="A12" s="19">
        <v>4.0</v>
      </c>
      <c r="B12" s="19" t="s">
        <v>33</v>
      </c>
      <c r="C12" s="20" t="s">
        <v>51</v>
      </c>
      <c r="D12" s="21" t="s">
        <v>52</v>
      </c>
      <c r="E12" s="21" t="s">
        <v>53</v>
      </c>
      <c r="F12" s="22">
        <v>0.0</v>
      </c>
      <c r="G12" s="23">
        <v>3.0E7</v>
      </c>
      <c r="H12" s="24">
        <v>1.06332925E8</v>
      </c>
      <c r="I12" s="24" t="str">
        <f>IFERROR(__xludf.DUMMYFUNCTION("REGEXEXTRACT(E12, ""ک\s(\d{16})"")"),"6037701575716284")</f>
        <v>6037701575716284</v>
      </c>
      <c r="J12" s="25" t="s">
        <v>49</v>
      </c>
      <c r="K12" s="20" t="s">
        <v>54</v>
      </c>
      <c r="L12" s="26" t="s">
        <v>39</v>
      </c>
      <c r="M12" s="26" t="s">
        <v>40</v>
      </c>
      <c r="N12" s="27" t="s">
        <v>40</v>
      </c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ht="25.5" customHeight="1">
      <c r="A13" s="19">
        <v>5.0</v>
      </c>
      <c r="B13" s="19" t="s">
        <v>33</v>
      </c>
      <c r="C13" s="20" t="s">
        <v>51</v>
      </c>
      <c r="D13" s="21" t="s">
        <v>52</v>
      </c>
      <c r="E13" s="21" t="s">
        <v>55</v>
      </c>
      <c r="F13" s="22">
        <v>0.0</v>
      </c>
      <c r="G13" s="23">
        <v>15400.0</v>
      </c>
      <c r="H13" s="24">
        <v>1.06317525E8</v>
      </c>
      <c r="I13" s="24" t="str">
        <f>IFERROR(__xludf.DUMMYFUNCTION("REGEXEXTRACT(E13, ""ک\s(\d{16})"")"),"6219861085979838")</f>
        <v>6219861085979838</v>
      </c>
      <c r="J13" s="25" t="s">
        <v>49</v>
      </c>
      <c r="K13" s="20" t="s">
        <v>54</v>
      </c>
      <c r="L13" s="26" t="s">
        <v>39</v>
      </c>
      <c r="M13" s="26" t="s">
        <v>40</v>
      </c>
      <c r="N13" s="27" t="s">
        <v>40</v>
      </c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ht="25.5" customHeight="1">
      <c r="A14" s="19">
        <v>6.0</v>
      </c>
      <c r="B14" s="19" t="s">
        <v>33</v>
      </c>
      <c r="C14" s="20" t="s">
        <v>56</v>
      </c>
      <c r="D14" s="21" t="s">
        <v>52</v>
      </c>
      <c r="E14" s="21" t="s">
        <v>57</v>
      </c>
      <c r="F14" s="22">
        <v>0.0</v>
      </c>
      <c r="G14" s="23">
        <v>1.98246E7</v>
      </c>
      <c r="H14" s="24">
        <v>8.6492925E7</v>
      </c>
      <c r="I14" s="24" t="str">
        <f>IFERROR(__xludf.DUMMYFUNCTION("REGEXEXTRACT(E14, ""ک\s(\d{16})"")"),"6104338738476148")</f>
        <v>6104338738476148</v>
      </c>
      <c r="J14" s="25" t="s">
        <v>49</v>
      </c>
      <c r="K14" s="20" t="s">
        <v>58</v>
      </c>
      <c r="L14" s="26" t="s">
        <v>39</v>
      </c>
      <c r="M14" s="26" t="s">
        <v>40</v>
      </c>
      <c r="N14" s="27" t="s">
        <v>40</v>
      </c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ht="25.5" customHeight="1">
      <c r="A15" s="19">
        <v>7.0</v>
      </c>
      <c r="B15" s="19" t="s">
        <v>33</v>
      </c>
      <c r="C15" s="20" t="s">
        <v>56</v>
      </c>
      <c r="D15" s="21" t="s">
        <v>52</v>
      </c>
      <c r="E15" s="21" t="s">
        <v>59</v>
      </c>
      <c r="F15" s="22">
        <v>0.0</v>
      </c>
      <c r="G15" s="23">
        <v>12200.0</v>
      </c>
      <c r="H15" s="24">
        <v>8.6480725E7</v>
      </c>
      <c r="I15" s="24" t="str">
        <f>IFERROR(__xludf.DUMMYFUNCTION("REGEXEXTRACT(E15, ""ک\s(\d{16})"")"),"6219861085979838")</f>
        <v>6219861085979838</v>
      </c>
      <c r="J15" s="25" t="s">
        <v>49</v>
      </c>
      <c r="K15" s="20" t="s">
        <v>58</v>
      </c>
      <c r="L15" s="26" t="s">
        <v>39</v>
      </c>
      <c r="M15" s="26" t="s">
        <v>40</v>
      </c>
      <c r="N15" s="27" t="s">
        <v>40</v>
      </c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ht="25.5" customHeight="1">
      <c r="A16" s="19">
        <v>8.0</v>
      </c>
      <c r="B16" s="19" t="s">
        <v>33</v>
      </c>
      <c r="C16" s="20" t="s">
        <v>60</v>
      </c>
      <c r="D16" s="21" t="s">
        <v>52</v>
      </c>
      <c r="E16" s="21" t="s">
        <v>61</v>
      </c>
      <c r="F16" s="22">
        <v>0.0</v>
      </c>
      <c r="G16" s="23">
        <v>2.817E7</v>
      </c>
      <c r="H16" s="24">
        <v>5.8310725E7</v>
      </c>
      <c r="I16" s="24" t="str">
        <f>IFERROR(__xludf.DUMMYFUNCTION("REGEXEXTRACT(E16, ""ک\s(\d{16})"")"),"6274121208660688")</f>
        <v>6274121208660688</v>
      </c>
      <c r="J16" s="25" t="s">
        <v>49</v>
      </c>
      <c r="K16" s="20" t="s">
        <v>62</v>
      </c>
      <c r="L16" s="26" t="s">
        <v>39</v>
      </c>
      <c r="M16" s="26" t="s">
        <v>40</v>
      </c>
      <c r="N16" s="27" t="s">
        <v>40</v>
      </c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ht="25.5" customHeight="1">
      <c r="A17" s="19">
        <v>9.0</v>
      </c>
      <c r="B17" s="19" t="s">
        <v>33</v>
      </c>
      <c r="C17" s="20" t="s">
        <v>60</v>
      </c>
      <c r="D17" s="21" t="s">
        <v>52</v>
      </c>
      <c r="E17" s="21" t="s">
        <v>63</v>
      </c>
      <c r="F17" s="22">
        <v>0.0</v>
      </c>
      <c r="G17" s="23">
        <v>15400.0</v>
      </c>
      <c r="H17" s="24">
        <v>5.8295325E7</v>
      </c>
      <c r="I17" s="24" t="str">
        <f>IFERROR(__xludf.DUMMYFUNCTION("REGEXEXTRACT(E17, ""ک\s(\d{16})"")"),"6219861085979838")</f>
        <v>6219861085979838</v>
      </c>
      <c r="J17" s="25" t="s">
        <v>49</v>
      </c>
      <c r="K17" s="20" t="s">
        <v>62</v>
      </c>
      <c r="L17" s="26" t="s">
        <v>39</v>
      </c>
      <c r="M17" s="26" t="s">
        <v>40</v>
      </c>
      <c r="N17" s="27" t="s">
        <v>40</v>
      </c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ht="25.5" customHeight="1">
      <c r="A18" s="19">
        <v>10.0</v>
      </c>
      <c r="B18" s="19" t="s">
        <v>33</v>
      </c>
      <c r="C18" s="20" t="s">
        <v>64</v>
      </c>
      <c r="D18" s="21" t="s">
        <v>65</v>
      </c>
      <c r="E18" s="21" t="s">
        <v>66</v>
      </c>
      <c r="F18" s="22">
        <v>0.0</v>
      </c>
      <c r="G18" s="23">
        <v>1800.0</v>
      </c>
      <c r="H18" s="24">
        <v>5.8293525E7</v>
      </c>
      <c r="I18" s="24" t="str">
        <f>IFERROR(__xludf.DUMMYFUNCTION("REGEXEXTRACT(E18, ""ک\s(\d{16})"")"),"6219861085979838")</f>
        <v>6219861085979838</v>
      </c>
      <c r="J18" s="25" t="s">
        <v>49</v>
      </c>
      <c r="K18" s="20" t="s">
        <v>67</v>
      </c>
      <c r="L18" s="26" t="s">
        <v>39</v>
      </c>
      <c r="M18" s="26" t="s">
        <v>40</v>
      </c>
      <c r="N18" s="27" t="s">
        <v>40</v>
      </c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ht="25.5" customHeight="1">
      <c r="A19" s="19">
        <v>11.0</v>
      </c>
      <c r="B19" s="19" t="s">
        <v>33</v>
      </c>
      <c r="C19" s="20" t="s">
        <v>68</v>
      </c>
      <c r="D19" s="21" t="s">
        <v>47</v>
      </c>
      <c r="E19" s="21" t="s">
        <v>69</v>
      </c>
      <c r="F19" s="22">
        <v>0.0</v>
      </c>
      <c r="G19" s="23">
        <v>2350000.0</v>
      </c>
      <c r="H19" s="24">
        <v>5.5943525E7</v>
      </c>
      <c r="I19" s="24" t="str">
        <f>IFERROR(__xludf.DUMMYFUNCTION("REGEXEXTRACT(E19, ""ک\s(\d{16})"")"),"6219861085979838")</f>
        <v>6219861085979838</v>
      </c>
      <c r="J19" s="25" t="s">
        <v>49</v>
      </c>
      <c r="K19" s="20" t="s">
        <v>70</v>
      </c>
      <c r="L19" s="26" t="s">
        <v>39</v>
      </c>
      <c r="M19" s="26" t="s">
        <v>40</v>
      </c>
      <c r="N19" s="27" t="s">
        <v>40</v>
      </c>
      <c r="O19" s="2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ht="25.5" customHeight="1">
      <c r="A20" s="19">
        <v>12.0</v>
      </c>
      <c r="B20" s="19" t="s">
        <v>33</v>
      </c>
      <c r="C20" s="20" t="s">
        <v>71</v>
      </c>
      <c r="D20" s="21" t="s">
        <v>52</v>
      </c>
      <c r="E20" s="21" t="s">
        <v>72</v>
      </c>
      <c r="F20" s="22">
        <v>250000.0</v>
      </c>
      <c r="G20" s="23">
        <v>0.0</v>
      </c>
      <c r="H20" s="24">
        <v>5.6193525E7</v>
      </c>
      <c r="I20" s="24" t="str">
        <f>IFERROR(__xludf.DUMMYFUNCTION("REGEXEXTRACT(E20, ""ک\s(\d{16})"")"),"5859831105862774")</f>
        <v>5859831105862774</v>
      </c>
      <c r="J20" s="25" t="s">
        <v>49</v>
      </c>
      <c r="K20" s="20" t="s">
        <v>73</v>
      </c>
      <c r="L20" s="26" t="s">
        <v>39</v>
      </c>
      <c r="M20" s="26" t="s">
        <v>40</v>
      </c>
      <c r="N20" s="27" t="s">
        <v>40</v>
      </c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ht="25.5" customHeight="1">
      <c r="A21" s="19">
        <v>13.0</v>
      </c>
      <c r="B21" s="19" t="s">
        <v>74</v>
      </c>
      <c r="C21" s="20" t="s">
        <v>75</v>
      </c>
      <c r="D21" s="21" t="s">
        <v>35</v>
      </c>
      <c r="E21" s="21" t="s">
        <v>76</v>
      </c>
      <c r="F21" s="22">
        <v>4.0E7</v>
      </c>
      <c r="G21" s="23">
        <v>0.0</v>
      </c>
      <c r="H21" s="24">
        <v>9.6193525E7</v>
      </c>
      <c r="I21" s="24" t="str">
        <f>IFERROR(__xludf.DUMMYFUNCTION("REGEXEXTRACT(E21, ""ک\s(\d{16})"")"),"#N/A")</f>
        <v>#N/A</v>
      </c>
      <c r="J21" s="25" t="s">
        <v>37</v>
      </c>
      <c r="K21" s="20" t="s">
        <v>77</v>
      </c>
      <c r="L21" s="26" t="s">
        <v>39</v>
      </c>
      <c r="M21" s="26" t="s">
        <v>40</v>
      </c>
      <c r="N21" s="27" t="s">
        <v>40</v>
      </c>
      <c r="O21" s="27" t="s">
        <v>78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ht="25.5" customHeight="1">
      <c r="A22" s="19">
        <v>14.0</v>
      </c>
      <c r="B22" s="19" t="s">
        <v>74</v>
      </c>
      <c r="C22" s="20" t="s">
        <v>79</v>
      </c>
      <c r="D22" s="21" t="s">
        <v>35</v>
      </c>
      <c r="E22" s="21" t="s">
        <v>80</v>
      </c>
      <c r="F22" s="22">
        <v>2.8E7</v>
      </c>
      <c r="G22" s="23">
        <v>0.0</v>
      </c>
      <c r="H22" s="24">
        <v>1.24193525E8</v>
      </c>
      <c r="I22" s="24" t="str">
        <f>IFERROR(__xludf.DUMMYFUNCTION("REGEXEXTRACT(E22, ""ک\s(\d{16})"")"),"#N/A")</f>
        <v>#N/A</v>
      </c>
      <c r="J22" s="25" t="s">
        <v>37</v>
      </c>
      <c r="K22" s="20" t="s">
        <v>81</v>
      </c>
      <c r="L22" s="26" t="s">
        <v>39</v>
      </c>
      <c r="M22" s="26" t="s">
        <v>40</v>
      </c>
      <c r="N22" s="27" t="s">
        <v>40</v>
      </c>
      <c r="O22" s="27" t="s">
        <v>82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ht="25.5" customHeight="1">
      <c r="A23" s="19">
        <v>15.0</v>
      </c>
      <c r="B23" s="19" t="s">
        <v>74</v>
      </c>
      <c r="C23" s="20" t="s">
        <v>83</v>
      </c>
      <c r="D23" s="21" t="s">
        <v>47</v>
      </c>
      <c r="E23" s="21" t="s">
        <v>84</v>
      </c>
      <c r="F23" s="22">
        <v>0.0</v>
      </c>
      <c r="G23" s="23">
        <v>1.56E7</v>
      </c>
      <c r="H23" s="24">
        <v>1.08593525E8</v>
      </c>
      <c r="I23" s="24" t="str">
        <f>IFERROR(__xludf.DUMMYFUNCTION("REGEXEXTRACT(E23, ""ک\s(\d{16})"")"),"6219861085979838")</f>
        <v>6219861085979838</v>
      </c>
      <c r="J23" s="25" t="s">
        <v>49</v>
      </c>
      <c r="K23" s="20" t="s">
        <v>85</v>
      </c>
      <c r="L23" s="26" t="s">
        <v>39</v>
      </c>
      <c r="M23" s="26" t="s">
        <v>40</v>
      </c>
      <c r="N23" s="27" t="s">
        <v>40</v>
      </c>
      <c r="O23" s="27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ht="25.5" customHeight="1">
      <c r="A24" s="19">
        <v>16.0</v>
      </c>
      <c r="B24" s="19" t="s">
        <v>74</v>
      </c>
      <c r="C24" s="20" t="s">
        <v>86</v>
      </c>
      <c r="D24" s="21" t="s">
        <v>47</v>
      </c>
      <c r="E24" s="21" t="s">
        <v>87</v>
      </c>
      <c r="F24" s="22">
        <v>0.0</v>
      </c>
      <c r="G24" s="23">
        <v>1.0E7</v>
      </c>
      <c r="H24" s="24">
        <v>9.8593525E7</v>
      </c>
      <c r="I24" s="24" t="str">
        <f>IFERROR(__xludf.DUMMYFUNCTION("REGEXEXTRACT(E24, ""ک\s(\d{16})"")"),"6219861085979838")</f>
        <v>6219861085979838</v>
      </c>
      <c r="J24" s="25" t="s">
        <v>49</v>
      </c>
      <c r="K24" s="20" t="s">
        <v>88</v>
      </c>
      <c r="L24" s="26" t="s">
        <v>39</v>
      </c>
      <c r="M24" s="26" t="s">
        <v>40</v>
      </c>
      <c r="N24" s="27" t="s">
        <v>40</v>
      </c>
      <c r="O24" s="27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ht="25.5" customHeight="1">
      <c r="A25" s="19">
        <v>17.0</v>
      </c>
      <c r="B25" s="19" t="s">
        <v>74</v>
      </c>
      <c r="C25" s="20" t="s">
        <v>89</v>
      </c>
      <c r="D25" s="21" t="s">
        <v>47</v>
      </c>
      <c r="E25" s="21" t="s">
        <v>90</v>
      </c>
      <c r="F25" s="22">
        <v>0.0</v>
      </c>
      <c r="G25" s="23">
        <v>1.4885E7</v>
      </c>
      <c r="H25" s="24">
        <v>8.3708525E7</v>
      </c>
      <c r="I25" s="24" t="str">
        <f>IFERROR(__xludf.DUMMYFUNCTION("REGEXEXTRACT(E25, ""ک\s(\d{16})"")"),"6219861085979838")</f>
        <v>6219861085979838</v>
      </c>
      <c r="J25" s="25" t="s">
        <v>49</v>
      </c>
      <c r="K25" s="20" t="s">
        <v>91</v>
      </c>
      <c r="L25" s="26" t="s">
        <v>39</v>
      </c>
      <c r="M25" s="26" t="s">
        <v>40</v>
      </c>
      <c r="N25" s="27" t="s">
        <v>40</v>
      </c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ht="25.5" customHeight="1">
      <c r="A26" s="19">
        <v>18.0</v>
      </c>
      <c r="B26" s="19" t="s">
        <v>74</v>
      </c>
      <c r="C26" s="20" t="s">
        <v>92</v>
      </c>
      <c r="D26" s="21" t="s">
        <v>47</v>
      </c>
      <c r="E26" s="21" t="s">
        <v>93</v>
      </c>
      <c r="F26" s="22">
        <v>0.0</v>
      </c>
      <c r="G26" s="23">
        <v>1.0375E7</v>
      </c>
      <c r="H26" s="24">
        <v>7.3333525E7</v>
      </c>
      <c r="I26" s="24" t="str">
        <f>IFERROR(__xludf.DUMMYFUNCTION("REGEXEXTRACT(E26, ""ک\s(\d{16})"")"),"6219861085979838")</f>
        <v>6219861085979838</v>
      </c>
      <c r="J26" s="25" t="s">
        <v>49</v>
      </c>
      <c r="K26" s="20" t="s">
        <v>94</v>
      </c>
      <c r="L26" s="26" t="s">
        <v>39</v>
      </c>
      <c r="M26" s="26" t="s">
        <v>40</v>
      </c>
      <c r="N26" s="27" t="s">
        <v>40</v>
      </c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ht="25.5" customHeight="1">
      <c r="A27" s="19">
        <v>19.0</v>
      </c>
      <c r="B27" s="19" t="s">
        <v>74</v>
      </c>
      <c r="C27" s="20" t="s">
        <v>95</v>
      </c>
      <c r="D27" s="21" t="s">
        <v>96</v>
      </c>
      <c r="E27" s="21" t="s">
        <v>97</v>
      </c>
      <c r="F27" s="22">
        <v>1150000.0</v>
      </c>
      <c r="G27" s="23">
        <v>0.0</v>
      </c>
      <c r="H27" s="24">
        <v>7.4483525E7</v>
      </c>
      <c r="I27" s="24" t="str">
        <f>IFERROR(__xludf.DUMMYFUNCTION("REGEXEXTRACT(E27, ""ک\s(\d{16})"")"),"#N/A")</f>
        <v>#N/A</v>
      </c>
      <c r="J27" s="25" t="s">
        <v>98</v>
      </c>
      <c r="K27" s="20" t="s">
        <v>99</v>
      </c>
      <c r="L27" s="26" t="s">
        <v>39</v>
      </c>
      <c r="M27" s="26" t="s">
        <v>40</v>
      </c>
      <c r="N27" s="27" t="s">
        <v>40</v>
      </c>
      <c r="O27" s="2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ht="25.5" customHeight="1">
      <c r="A28" s="19">
        <v>20.0</v>
      </c>
      <c r="B28" s="19" t="s">
        <v>74</v>
      </c>
      <c r="C28" s="20" t="s">
        <v>100</v>
      </c>
      <c r="D28" s="21" t="s">
        <v>47</v>
      </c>
      <c r="E28" s="21" t="s">
        <v>101</v>
      </c>
      <c r="F28" s="22">
        <v>0.0</v>
      </c>
      <c r="G28" s="23">
        <v>6000000.0</v>
      </c>
      <c r="H28" s="24">
        <v>6.8483525E7</v>
      </c>
      <c r="I28" s="24" t="str">
        <f>IFERROR(__xludf.DUMMYFUNCTION("REGEXEXTRACT(E28, ""ک\s(\d{16})"")"),"6219861085979838")</f>
        <v>6219861085979838</v>
      </c>
      <c r="J28" s="25" t="s">
        <v>49</v>
      </c>
      <c r="K28" s="20" t="s">
        <v>102</v>
      </c>
      <c r="L28" s="26" t="s">
        <v>39</v>
      </c>
      <c r="M28" s="26" t="s">
        <v>40</v>
      </c>
      <c r="N28" s="27" t="s">
        <v>40</v>
      </c>
      <c r="O28" s="2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ht="25.5" customHeight="1">
      <c r="A29" s="19">
        <v>21.0</v>
      </c>
      <c r="B29" s="19" t="s">
        <v>74</v>
      </c>
      <c r="C29" s="20" t="s">
        <v>103</v>
      </c>
      <c r="D29" s="21" t="s">
        <v>65</v>
      </c>
      <c r="E29" s="21" t="s">
        <v>104</v>
      </c>
      <c r="F29" s="22">
        <v>0.0</v>
      </c>
      <c r="G29" s="23">
        <v>1800.0</v>
      </c>
      <c r="H29" s="24">
        <v>6.8481725E7</v>
      </c>
      <c r="I29" s="24" t="str">
        <f>IFERROR(__xludf.DUMMYFUNCTION("REGEXEXTRACT(E29, ""ک\s(\d{16})"")"),"6219861085979838")</f>
        <v>6219861085979838</v>
      </c>
      <c r="J29" s="25" t="s">
        <v>49</v>
      </c>
      <c r="K29" s="20" t="s">
        <v>105</v>
      </c>
      <c r="L29" s="26" t="s">
        <v>39</v>
      </c>
      <c r="M29" s="26" t="s">
        <v>40</v>
      </c>
      <c r="N29" s="27" t="s">
        <v>40</v>
      </c>
      <c r="O29" s="2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ht="25.5" customHeight="1">
      <c r="A30" s="19">
        <v>22.0</v>
      </c>
      <c r="B30" s="19" t="s">
        <v>74</v>
      </c>
      <c r="C30" s="20" t="s">
        <v>106</v>
      </c>
      <c r="D30" s="21" t="s">
        <v>52</v>
      </c>
      <c r="E30" s="21" t="s">
        <v>107</v>
      </c>
      <c r="F30" s="22">
        <v>150000.0</v>
      </c>
      <c r="G30" s="23">
        <v>0.0</v>
      </c>
      <c r="H30" s="24">
        <v>6.8631725E7</v>
      </c>
      <c r="I30" s="24" t="str">
        <f>IFERROR(__xludf.DUMMYFUNCTION("REGEXEXTRACT(E30, ""ک\s(\d{16})"")"),"5859831227346631")</f>
        <v>5859831227346631</v>
      </c>
      <c r="J30" s="25" t="s">
        <v>49</v>
      </c>
      <c r="K30" s="20" t="s">
        <v>108</v>
      </c>
      <c r="L30" s="26" t="s">
        <v>39</v>
      </c>
      <c r="M30" s="26" t="s">
        <v>40</v>
      </c>
      <c r="N30" s="27" t="s">
        <v>40</v>
      </c>
      <c r="O30" s="27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ht="25.5" customHeight="1">
      <c r="A31" s="19">
        <v>23.0</v>
      </c>
      <c r="B31" s="19" t="s">
        <v>74</v>
      </c>
      <c r="C31" s="20" t="s">
        <v>109</v>
      </c>
      <c r="D31" s="21" t="s">
        <v>52</v>
      </c>
      <c r="E31" s="21" t="s">
        <v>110</v>
      </c>
      <c r="F31" s="22">
        <v>0.0</v>
      </c>
      <c r="G31" s="23">
        <v>1.32E7</v>
      </c>
      <c r="H31" s="24">
        <v>5.5431725E7</v>
      </c>
      <c r="I31" s="24" t="str">
        <f>IFERROR(__xludf.DUMMYFUNCTION("REGEXEXTRACT(E31, ""ک\s(\d{16})"")"),"6037701642636788")</f>
        <v>6037701642636788</v>
      </c>
      <c r="J31" s="25" t="s">
        <v>49</v>
      </c>
      <c r="K31" s="20" t="s">
        <v>111</v>
      </c>
      <c r="L31" s="26" t="s">
        <v>39</v>
      </c>
      <c r="M31" s="26" t="s">
        <v>40</v>
      </c>
      <c r="N31" s="27" t="s">
        <v>40</v>
      </c>
      <c r="O31" s="2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ht="25.5" customHeight="1">
      <c r="A32" s="19">
        <v>24.0</v>
      </c>
      <c r="B32" s="19" t="s">
        <v>74</v>
      </c>
      <c r="C32" s="20" t="s">
        <v>109</v>
      </c>
      <c r="D32" s="21" t="s">
        <v>52</v>
      </c>
      <c r="E32" s="21" t="s">
        <v>112</v>
      </c>
      <c r="F32" s="22">
        <v>0.0</v>
      </c>
      <c r="G32" s="23">
        <v>12200.0</v>
      </c>
      <c r="H32" s="24">
        <v>5.5419525E7</v>
      </c>
      <c r="I32" s="24" t="str">
        <f>IFERROR(__xludf.DUMMYFUNCTION("REGEXEXTRACT(E32, ""ک\s(\d{16})"")"),"6219861085979838")</f>
        <v>6219861085979838</v>
      </c>
      <c r="J32" s="25" t="s">
        <v>49</v>
      </c>
      <c r="K32" s="20" t="s">
        <v>111</v>
      </c>
      <c r="L32" s="26" t="s">
        <v>39</v>
      </c>
      <c r="M32" s="26" t="s">
        <v>40</v>
      </c>
      <c r="N32" s="27" t="s">
        <v>40</v>
      </c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ht="25.5" customHeight="1">
      <c r="A33" s="19">
        <v>25.0</v>
      </c>
      <c r="B33" s="19" t="s">
        <v>113</v>
      </c>
      <c r="C33" s="20" t="s">
        <v>114</v>
      </c>
      <c r="D33" s="21" t="s">
        <v>35</v>
      </c>
      <c r="E33" s="21" t="s">
        <v>115</v>
      </c>
      <c r="F33" s="22">
        <v>7.2E7</v>
      </c>
      <c r="G33" s="23">
        <v>0.0</v>
      </c>
      <c r="H33" s="24">
        <v>1.27419525E8</v>
      </c>
      <c r="I33" s="24" t="str">
        <f>IFERROR(__xludf.DUMMYFUNCTION("REGEXEXTRACT(E33, ""ک\s(\d{16})"")"),"#N/A")</f>
        <v>#N/A</v>
      </c>
      <c r="J33" s="25" t="s">
        <v>37</v>
      </c>
      <c r="K33" s="20" t="s">
        <v>116</v>
      </c>
      <c r="L33" s="26" t="s">
        <v>39</v>
      </c>
      <c r="M33" s="26" t="s">
        <v>40</v>
      </c>
      <c r="N33" s="27" t="s">
        <v>40</v>
      </c>
      <c r="O33" s="27" t="s">
        <v>117</v>
      </c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ht="25.5" customHeight="1">
      <c r="A34" s="19">
        <v>26.0</v>
      </c>
      <c r="B34" s="19" t="s">
        <v>113</v>
      </c>
      <c r="C34" s="20" t="s">
        <v>118</v>
      </c>
      <c r="D34" s="21" t="s">
        <v>47</v>
      </c>
      <c r="E34" s="21" t="s">
        <v>119</v>
      </c>
      <c r="F34" s="22">
        <v>0.0</v>
      </c>
      <c r="G34" s="23">
        <v>2000000.0</v>
      </c>
      <c r="H34" s="24">
        <v>1.25419525E8</v>
      </c>
      <c r="I34" s="24" t="str">
        <f>IFERROR(__xludf.DUMMYFUNCTION("REGEXEXTRACT(E34, ""ک\s(\d{16})"")"),"6219861085979838")</f>
        <v>6219861085979838</v>
      </c>
      <c r="J34" s="25" t="s">
        <v>49</v>
      </c>
      <c r="K34" s="20" t="s">
        <v>120</v>
      </c>
      <c r="L34" s="26" t="s">
        <v>39</v>
      </c>
      <c r="M34" s="26" t="s">
        <v>40</v>
      </c>
      <c r="N34" s="27" t="s">
        <v>40</v>
      </c>
      <c r="O34" s="27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ht="25.5" customHeight="1">
      <c r="A35" s="19">
        <v>27.0</v>
      </c>
      <c r="B35" s="19" t="s">
        <v>113</v>
      </c>
      <c r="C35" s="20" t="s">
        <v>121</v>
      </c>
      <c r="D35" s="21" t="s">
        <v>52</v>
      </c>
      <c r="E35" s="21" t="s">
        <v>122</v>
      </c>
      <c r="F35" s="22">
        <v>0.0</v>
      </c>
      <c r="G35" s="23">
        <v>2700000.0</v>
      </c>
      <c r="H35" s="24">
        <v>1.22719525E8</v>
      </c>
      <c r="I35" s="24" t="str">
        <f>IFERROR(__xludf.DUMMYFUNCTION("REGEXEXTRACT(E35, ""ک\s(\d{16})"")"),"6037997435482469")</f>
        <v>6037997435482469</v>
      </c>
      <c r="J35" s="25" t="s">
        <v>49</v>
      </c>
      <c r="K35" s="20" t="s">
        <v>123</v>
      </c>
      <c r="L35" s="26" t="s">
        <v>39</v>
      </c>
      <c r="M35" s="26" t="s">
        <v>40</v>
      </c>
      <c r="N35" s="27" t="s">
        <v>40</v>
      </c>
      <c r="O35" s="27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ht="25.5" customHeight="1">
      <c r="A36" s="19">
        <v>28.0</v>
      </c>
      <c r="B36" s="19" t="s">
        <v>113</v>
      </c>
      <c r="C36" s="20" t="s">
        <v>121</v>
      </c>
      <c r="D36" s="21" t="s">
        <v>52</v>
      </c>
      <c r="E36" s="21" t="s">
        <v>124</v>
      </c>
      <c r="F36" s="22">
        <v>0.0</v>
      </c>
      <c r="G36" s="23">
        <v>9000.0</v>
      </c>
      <c r="H36" s="24">
        <v>1.22710525E8</v>
      </c>
      <c r="I36" s="24" t="str">
        <f>IFERROR(__xludf.DUMMYFUNCTION("REGEXEXTRACT(E36, ""ک\s(\d{16})"")"),"6219861085979838")</f>
        <v>6219861085979838</v>
      </c>
      <c r="J36" s="25" t="s">
        <v>49</v>
      </c>
      <c r="K36" s="20" t="s">
        <v>123</v>
      </c>
      <c r="L36" s="26" t="s">
        <v>39</v>
      </c>
      <c r="M36" s="26" t="s">
        <v>40</v>
      </c>
      <c r="N36" s="27" t="s">
        <v>40</v>
      </c>
      <c r="O36" s="27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ht="25.5" customHeight="1">
      <c r="A37" s="19">
        <v>29.0</v>
      </c>
      <c r="B37" s="19" t="s">
        <v>113</v>
      </c>
      <c r="C37" s="20" t="s">
        <v>125</v>
      </c>
      <c r="D37" s="21" t="s">
        <v>47</v>
      </c>
      <c r="E37" s="21" t="s">
        <v>126</v>
      </c>
      <c r="F37" s="22">
        <v>0.0</v>
      </c>
      <c r="G37" s="23">
        <v>2900000.0</v>
      </c>
      <c r="H37" s="24">
        <v>1.19810525E8</v>
      </c>
      <c r="I37" s="24" t="str">
        <f>IFERROR(__xludf.DUMMYFUNCTION("REGEXEXTRACT(E37, ""ک\s(\d{16})"")"),"6219861085979838")</f>
        <v>6219861085979838</v>
      </c>
      <c r="J37" s="25" t="s">
        <v>49</v>
      </c>
      <c r="K37" s="20" t="s">
        <v>127</v>
      </c>
      <c r="L37" s="26" t="s">
        <v>39</v>
      </c>
      <c r="M37" s="26" t="s">
        <v>40</v>
      </c>
      <c r="N37" s="27" t="s">
        <v>40</v>
      </c>
      <c r="O37" s="27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ht="25.5" customHeight="1">
      <c r="A38" s="19">
        <v>30.0</v>
      </c>
      <c r="B38" s="19" t="s">
        <v>113</v>
      </c>
      <c r="C38" s="20" t="s">
        <v>128</v>
      </c>
      <c r="D38" s="21" t="s">
        <v>52</v>
      </c>
      <c r="E38" s="21" t="s">
        <v>129</v>
      </c>
      <c r="F38" s="22">
        <v>0.0</v>
      </c>
      <c r="G38" s="23">
        <v>1.048E7</v>
      </c>
      <c r="H38" s="24">
        <v>1.09330525E8</v>
      </c>
      <c r="I38" s="24" t="str">
        <f>IFERROR(__xludf.DUMMYFUNCTION("REGEXEXTRACT(E38, ""ک\s(\d{16})"")"),"5894631178646402")</f>
        <v>5894631178646402</v>
      </c>
      <c r="J38" s="25" t="s">
        <v>49</v>
      </c>
      <c r="K38" s="20" t="s">
        <v>130</v>
      </c>
      <c r="L38" s="26" t="s">
        <v>39</v>
      </c>
      <c r="M38" s="26" t="s">
        <v>40</v>
      </c>
      <c r="N38" s="27" t="s">
        <v>40</v>
      </c>
      <c r="O38" s="2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ht="25.5" customHeight="1">
      <c r="A39" s="19">
        <v>31.0</v>
      </c>
      <c r="B39" s="19" t="s">
        <v>113</v>
      </c>
      <c r="C39" s="20" t="s">
        <v>128</v>
      </c>
      <c r="D39" s="21" t="s">
        <v>52</v>
      </c>
      <c r="E39" s="21" t="s">
        <v>131</v>
      </c>
      <c r="F39" s="22">
        <v>0.0</v>
      </c>
      <c r="G39" s="23">
        <v>12200.0</v>
      </c>
      <c r="H39" s="24">
        <v>1.09318325E8</v>
      </c>
      <c r="I39" s="24" t="str">
        <f>IFERROR(__xludf.DUMMYFUNCTION("REGEXEXTRACT(E39, ""ک\s(\d{16})"")"),"6219861085979838")</f>
        <v>6219861085979838</v>
      </c>
      <c r="J39" s="25" t="s">
        <v>49</v>
      </c>
      <c r="K39" s="20" t="s">
        <v>130</v>
      </c>
      <c r="L39" s="26" t="s">
        <v>39</v>
      </c>
      <c r="M39" s="26" t="s">
        <v>40</v>
      </c>
      <c r="N39" s="27" t="s">
        <v>40</v>
      </c>
      <c r="O39" s="27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ht="25.5" customHeight="1">
      <c r="A40" s="19">
        <v>32.0</v>
      </c>
      <c r="B40" s="19" t="s">
        <v>113</v>
      </c>
      <c r="C40" s="20" t="s">
        <v>132</v>
      </c>
      <c r="D40" s="21" t="s">
        <v>52</v>
      </c>
      <c r="E40" s="21" t="s">
        <v>133</v>
      </c>
      <c r="F40" s="22">
        <v>0.0</v>
      </c>
      <c r="G40" s="23">
        <v>9600000.0</v>
      </c>
      <c r="H40" s="24">
        <v>9.9718325E7</v>
      </c>
      <c r="I40" s="24" t="str">
        <f>IFERROR(__xludf.DUMMYFUNCTION("REGEXEXTRACT(E40, ""ک\s(\d{16})"")"),"6037997381658112")</f>
        <v>6037997381658112</v>
      </c>
      <c r="J40" s="25" t="s">
        <v>49</v>
      </c>
      <c r="K40" s="20" t="s">
        <v>134</v>
      </c>
      <c r="L40" s="26" t="s">
        <v>39</v>
      </c>
      <c r="M40" s="26" t="s">
        <v>40</v>
      </c>
      <c r="N40" s="27" t="s">
        <v>40</v>
      </c>
      <c r="O40" s="27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ht="25.5" customHeight="1">
      <c r="A41" s="19">
        <v>33.0</v>
      </c>
      <c r="B41" s="19" t="s">
        <v>113</v>
      </c>
      <c r="C41" s="20" t="s">
        <v>132</v>
      </c>
      <c r="D41" s="21" t="s">
        <v>52</v>
      </c>
      <c r="E41" s="21" t="s">
        <v>135</v>
      </c>
      <c r="F41" s="22">
        <v>0.0</v>
      </c>
      <c r="G41" s="23">
        <v>9000.0</v>
      </c>
      <c r="H41" s="24">
        <v>9.9709325E7</v>
      </c>
      <c r="I41" s="24" t="str">
        <f>IFERROR(__xludf.DUMMYFUNCTION("REGEXEXTRACT(E41, ""ک\s(\d{16})"")"),"6219861085979838")</f>
        <v>6219861085979838</v>
      </c>
      <c r="J41" s="25" t="s">
        <v>49</v>
      </c>
      <c r="K41" s="20" t="s">
        <v>134</v>
      </c>
      <c r="L41" s="26" t="s">
        <v>39</v>
      </c>
      <c r="M41" s="26" t="s">
        <v>40</v>
      </c>
      <c r="N41" s="27" t="s">
        <v>40</v>
      </c>
      <c r="O41" s="27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ht="25.5" customHeight="1">
      <c r="A42" s="19">
        <v>34.0</v>
      </c>
      <c r="B42" s="19" t="s">
        <v>113</v>
      </c>
      <c r="C42" s="20" t="s">
        <v>136</v>
      </c>
      <c r="D42" s="21" t="s">
        <v>52</v>
      </c>
      <c r="E42" s="21" t="s">
        <v>137</v>
      </c>
      <c r="F42" s="22">
        <v>0.0</v>
      </c>
      <c r="G42" s="23">
        <v>2.043E7</v>
      </c>
      <c r="H42" s="24">
        <v>7.9279325E7</v>
      </c>
      <c r="I42" s="24" t="str">
        <f>IFERROR(__xludf.DUMMYFUNCTION("REGEXEXTRACT(E42, ""ک\s(\d{16})"")"),"6274121208660688")</f>
        <v>6274121208660688</v>
      </c>
      <c r="J42" s="25" t="s">
        <v>49</v>
      </c>
      <c r="K42" s="20" t="s">
        <v>138</v>
      </c>
      <c r="L42" s="26" t="s">
        <v>39</v>
      </c>
      <c r="M42" s="26" t="s">
        <v>40</v>
      </c>
      <c r="N42" s="27" t="s">
        <v>40</v>
      </c>
      <c r="O42" s="2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ht="25.5" customHeight="1">
      <c r="A43" s="19">
        <v>35.0</v>
      </c>
      <c r="B43" s="19" t="s">
        <v>113</v>
      </c>
      <c r="C43" s="20" t="s">
        <v>136</v>
      </c>
      <c r="D43" s="21" t="s">
        <v>52</v>
      </c>
      <c r="E43" s="21" t="s">
        <v>139</v>
      </c>
      <c r="F43" s="22">
        <v>0.0</v>
      </c>
      <c r="G43" s="23">
        <v>15400.0</v>
      </c>
      <c r="H43" s="24">
        <v>7.9263925E7</v>
      </c>
      <c r="I43" s="24" t="str">
        <f>IFERROR(__xludf.DUMMYFUNCTION("REGEXEXTRACT(E43, ""ک\s(\d{16})"")"),"6219861085979838")</f>
        <v>6219861085979838</v>
      </c>
      <c r="J43" s="25" t="s">
        <v>49</v>
      </c>
      <c r="K43" s="20" t="s">
        <v>138</v>
      </c>
      <c r="L43" s="26" t="s">
        <v>39</v>
      </c>
      <c r="M43" s="26" t="s">
        <v>40</v>
      </c>
      <c r="N43" s="27" t="s">
        <v>40</v>
      </c>
      <c r="O43" s="27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ht="25.5" customHeight="1">
      <c r="A44" s="19">
        <v>36.0</v>
      </c>
      <c r="B44" s="19" t="s">
        <v>113</v>
      </c>
      <c r="C44" s="20" t="s">
        <v>140</v>
      </c>
      <c r="D44" s="21" t="s">
        <v>52</v>
      </c>
      <c r="E44" s="21" t="s">
        <v>141</v>
      </c>
      <c r="F44" s="22">
        <v>0.0</v>
      </c>
      <c r="G44" s="23">
        <v>1.32E7</v>
      </c>
      <c r="H44" s="24">
        <v>6.6063925E7</v>
      </c>
      <c r="I44" s="24" t="str">
        <f>IFERROR(__xludf.DUMMYFUNCTION("REGEXEXTRACT(E44, ""ک\s(\d{16})"")"),"6037701642636788")</f>
        <v>6037701642636788</v>
      </c>
      <c r="J44" s="25" t="s">
        <v>49</v>
      </c>
      <c r="K44" s="20" t="s">
        <v>142</v>
      </c>
      <c r="L44" s="26" t="s">
        <v>39</v>
      </c>
      <c r="M44" s="26" t="s">
        <v>40</v>
      </c>
      <c r="N44" s="27" t="s">
        <v>40</v>
      </c>
      <c r="O44" s="2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ht="25.5" customHeight="1">
      <c r="A45" s="19">
        <v>37.0</v>
      </c>
      <c r="B45" s="19" t="s">
        <v>113</v>
      </c>
      <c r="C45" s="20" t="s">
        <v>140</v>
      </c>
      <c r="D45" s="21" t="s">
        <v>52</v>
      </c>
      <c r="E45" s="21" t="s">
        <v>143</v>
      </c>
      <c r="F45" s="22">
        <v>0.0</v>
      </c>
      <c r="G45" s="23">
        <v>12200.0</v>
      </c>
      <c r="H45" s="24">
        <v>6.6051725E7</v>
      </c>
      <c r="I45" s="24" t="str">
        <f>IFERROR(__xludf.DUMMYFUNCTION("REGEXEXTRACT(E45, ""ک\s(\d{16})"")"),"6219861085979838")</f>
        <v>6219861085979838</v>
      </c>
      <c r="J45" s="25" t="s">
        <v>49</v>
      </c>
      <c r="K45" s="20" t="s">
        <v>142</v>
      </c>
      <c r="L45" s="26" t="s">
        <v>39</v>
      </c>
      <c r="M45" s="26" t="s">
        <v>40</v>
      </c>
      <c r="N45" s="27" t="s">
        <v>40</v>
      </c>
      <c r="O45" s="27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ht="25.5" customHeight="1">
      <c r="A46" s="19">
        <v>38.0</v>
      </c>
      <c r="B46" s="19" t="s">
        <v>113</v>
      </c>
      <c r="C46" s="20" t="s">
        <v>144</v>
      </c>
      <c r="D46" s="21" t="s">
        <v>52</v>
      </c>
      <c r="E46" s="21" t="s">
        <v>145</v>
      </c>
      <c r="F46" s="22">
        <v>0.0</v>
      </c>
      <c r="G46" s="23">
        <v>4000000.0</v>
      </c>
      <c r="H46" s="24">
        <v>6.2051725E7</v>
      </c>
      <c r="I46" s="24" t="str">
        <f>IFERROR(__xludf.DUMMYFUNCTION("REGEXEXTRACT(E46, ""ک\s(\d{16})"")"),"5859831103338371")</f>
        <v>5859831103338371</v>
      </c>
      <c r="J46" s="25" t="s">
        <v>49</v>
      </c>
      <c r="K46" s="20" t="s">
        <v>146</v>
      </c>
      <c r="L46" s="26" t="s">
        <v>39</v>
      </c>
      <c r="M46" s="26" t="s">
        <v>40</v>
      </c>
      <c r="N46" s="27" t="s">
        <v>40</v>
      </c>
      <c r="O46" s="2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ht="25.5" customHeight="1">
      <c r="A47" s="19">
        <v>39.0</v>
      </c>
      <c r="B47" s="19" t="s">
        <v>113</v>
      </c>
      <c r="C47" s="20" t="s">
        <v>144</v>
      </c>
      <c r="D47" s="21" t="s">
        <v>52</v>
      </c>
      <c r="E47" s="21" t="s">
        <v>147</v>
      </c>
      <c r="F47" s="22">
        <v>0.0</v>
      </c>
      <c r="G47" s="23">
        <v>9000.0</v>
      </c>
      <c r="H47" s="24">
        <v>6.2042725E7</v>
      </c>
      <c r="I47" s="24" t="str">
        <f>IFERROR(__xludf.DUMMYFUNCTION("REGEXEXTRACT(E47, ""ک\s(\d{16})"")"),"6219861085979838")</f>
        <v>6219861085979838</v>
      </c>
      <c r="J47" s="25" t="s">
        <v>49</v>
      </c>
      <c r="K47" s="20" t="s">
        <v>146</v>
      </c>
      <c r="L47" s="26" t="s">
        <v>39</v>
      </c>
      <c r="M47" s="26" t="s">
        <v>40</v>
      </c>
      <c r="N47" s="27" t="s">
        <v>40</v>
      </c>
      <c r="O47" s="27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ht="25.5" customHeight="1">
      <c r="A48" s="19">
        <v>40.0</v>
      </c>
      <c r="B48" s="19" t="s">
        <v>113</v>
      </c>
      <c r="C48" s="20" t="s">
        <v>148</v>
      </c>
      <c r="D48" s="21" t="s">
        <v>65</v>
      </c>
      <c r="E48" s="21" t="s">
        <v>149</v>
      </c>
      <c r="F48" s="22">
        <v>0.0</v>
      </c>
      <c r="G48" s="23">
        <v>1800.0</v>
      </c>
      <c r="H48" s="24">
        <v>6.2040925E7</v>
      </c>
      <c r="I48" s="24" t="str">
        <f>IFERROR(__xludf.DUMMYFUNCTION("REGEXEXTRACT(E48, ""ک\s(\d{16})"")"),"6219861085979838")</f>
        <v>6219861085979838</v>
      </c>
      <c r="J48" s="25" t="s">
        <v>49</v>
      </c>
      <c r="K48" s="20" t="s">
        <v>150</v>
      </c>
      <c r="L48" s="26" t="s">
        <v>39</v>
      </c>
      <c r="M48" s="26" t="s">
        <v>40</v>
      </c>
      <c r="N48" s="27" t="s">
        <v>40</v>
      </c>
      <c r="O48" s="27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ht="25.5" customHeight="1">
      <c r="A49" s="19">
        <v>41.0</v>
      </c>
      <c r="B49" s="19" t="s">
        <v>113</v>
      </c>
      <c r="C49" s="20" t="s">
        <v>151</v>
      </c>
      <c r="D49" s="21" t="s">
        <v>52</v>
      </c>
      <c r="E49" s="21" t="s">
        <v>152</v>
      </c>
      <c r="F49" s="22">
        <v>1450000.0</v>
      </c>
      <c r="G49" s="23">
        <v>0.0</v>
      </c>
      <c r="H49" s="24">
        <v>6.3490925E7</v>
      </c>
      <c r="I49" s="24" t="str">
        <f>IFERROR(__xludf.DUMMYFUNCTION("REGEXEXTRACT(E49, ""ک\s(\d{16})"")"),"6037991712002975")</f>
        <v>6037991712002975</v>
      </c>
      <c r="J49" s="25" t="s">
        <v>49</v>
      </c>
      <c r="K49" s="20" t="s">
        <v>153</v>
      </c>
      <c r="L49" s="26" t="s">
        <v>39</v>
      </c>
      <c r="M49" s="26" t="s">
        <v>40</v>
      </c>
      <c r="N49" s="27" t="s">
        <v>40</v>
      </c>
      <c r="O49" s="27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ht="25.5" customHeight="1">
      <c r="A50" s="19">
        <v>42.0</v>
      </c>
      <c r="B50" s="19" t="s">
        <v>113</v>
      </c>
      <c r="C50" s="20" t="s">
        <v>154</v>
      </c>
      <c r="D50" s="21" t="s">
        <v>52</v>
      </c>
      <c r="E50" s="21" t="s">
        <v>155</v>
      </c>
      <c r="F50" s="22">
        <v>0.0</v>
      </c>
      <c r="G50" s="23">
        <v>2.06756E7</v>
      </c>
      <c r="H50" s="24">
        <v>4.2815325E7</v>
      </c>
      <c r="I50" s="24" t="str">
        <f>IFERROR(__xludf.DUMMYFUNCTION("REGEXEXTRACT(E50, ""ک\s(\d{16})"")"),"6104338738476148")</f>
        <v>6104338738476148</v>
      </c>
      <c r="J50" s="25" t="s">
        <v>49</v>
      </c>
      <c r="K50" s="20" t="s">
        <v>156</v>
      </c>
      <c r="L50" s="26" t="s">
        <v>39</v>
      </c>
      <c r="M50" s="26" t="s">
        <v>40</v>
      </c>
      <c r="N50" s="27" t="s">
        <v>40</v>
      </c>
      <c r="O50" s="27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ht="25.5" customHeight="1">
      <c r="A51" s="19">
        <v>43.0</v>
      </c>
      <c r="B51" s="19" t="s">
        <v>113</v>
      </c>
      <c r="C51" s="20" t="s">
        <v>154</v>
      </c>
      <c r="D51" s="21" t="s">
        <v>52</v>
      </c>
      <c r="E51" s="21" t="s">
        <v>157</v>
      </c>
      <c r="F51" s="22">
        <v>0.0</v>
      </c>
      <c r="G51" s="23">
        <v>15400.0</v>
      </c>
      <c r="H51" s="24">
        <v>4.2799925E7</v>
      </c>
      <c r="I51" s="24" t="str">
        <f>IFERROR(__xludf.DUMMYFUNCTION("REGEXEXTRACT(E51, ""ک\s(\d{16})"")"),"6219861085979838")</f>
        <v>6219861085979838</v>
      </c>
      <c r="J51" s="25" t="s">
        <v>49</v>
      </c>
      <c r="K51" s="20" t="s">
        <v>156</v>
      </c>
      <c r="L51" s="26" t="s">
        <v>39</v>
      </c>
      <c r="M51" s="26" t="s">
        <v>40</v>
      </c>
      <c r="N51" s="27" t="s">
        <v>40</v>
      </c>
      <c r="O51" s="27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ht="25.5" customHeight="1">
      <c r="A52" s="19">
        <v>44.0</v>
      </c>
      <c r="B52" s="19" t="s">
        <v>113</v>
      </c>
      <c r="C52" s="20" t="s">
        <v>158</v>
      </c>
      <c r="D52" s="21" t="s">
        <v>52</v>
      </c>
      <c r="E52" s="21" t="s">
        <v>159</v>
      </c>
      <c r="F52" s="22">
        <v>0.0</v>
      </c>
      <c r="G52" s="23">
        <v>1.042E7</v>
      </c>
      <c r="H52" s="24">
        <v>3.2379925E7</v>
      </c>
      <c r="I52" s="24" t="str">
        <f>IFERROR(__xludf.DUMMYFUNCTION("REGEXEXTRACT(E52, ""ک\s(\d{16})"")"),"5894631178646402")</f>
        <v>5894631178646402</v>
      </c>
      <c r="J52" s="25" t="s">
        <v>49</v>
      </c>
      <c r="K52" s="20" t="s">
        <v>160</v>
      </c>
      <c r="L52" s="26" t="s">
        <v>39</v>
      </c>
      <c r="M52" s="26" t="s">
        <v>40</v>
      </c>
      <c r="N52" s="27" t="s">
        <v>40</v>
      </c>
      <c r="O52" s="27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ht="25.5" customHeight="1">
      <c r="A53" s="19">
        <v>45.0</v>
      </c>
      <c r="B53" s="19" t="s">
        <v>113</v>
      </c>
      <c r="C53" s="20" t="s">
        <v>158</v>
      </c>
      <c r="D53" s="21" t="s">
        <v>52</v>
      </c>
      <c r="E53" s="21" t="s">
        <v>161</v>
      </c>
      <c r="F53" s="22">
        <v>0.0</v>
      </c>
      <c r="G53" s="23">
        <v>12200.0</v>
      </c>
      <c r="H53" s="24">
        <v>3.2367725E7</v>
      </c>
      <c r="I53" s="24" t="str">
        <f>IFERROR(__xludf.DUMMYFUNCTION("REGEXEXTRACT(E53, ""ک\s(\d{16})"")"),"6219861085979838")</f>
        <v>6219861085979838</v>
      </c>
      <c r="J53" s="25" t="s">
        <v>49</v>
      </c>
      <c r="K53" s="20" t="s">
        <v>160</v>
      </c>
      <c r="L53" s="26" t="s">
        <v>39</v>
      </c>
      <c r="M53" s="26" t="s">
        <v>40</v>
      </c>
      <c r="N53" s="27" t="s">
        <v>40</v>
      </c>
      <c r="O53" s="27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ht="25.5" customHeight="1">
      <c r="A54" s="19">
        <v>46.0</v>
      </c>
      <c r="B54" s="19" t="s">
        <v>113</v>
      </c>
      <c r="C54" s="20" t="s">
        <v>162</v>
      </c>
      <c r="D54" s="21" t="s">
        <v>65</v>
      </c>
      <c r="E54" s="21" t="s">
        <v>163</v>
      </c>
      <c r="F54" s="22">
        <v>0.0</v>
      </c>
      <c r="G54" s="23">
        <v>1800.0</v>
      </c>
      <c r="H54" s="24">
        <v>3.2365925E7</v>
      </c>
      <c r="I54" s="24" t="str">
        <f>IFERROR(__xludf.DUMMYFUNCTION("REGEXEXTRACT(E54, ""ک\s(\d{16})"")"),"6219861085979838")</f>
        <v>6219861085979838</v>
      </c>
      <c r="J54" s="25" t="s">
        <v>49</v>
      </c>
      <c r="K54" s="20" t="s">
        <v>164</v>
      </c>
      <c r="L54" s="26" t="s">
        <v>39</v>
      </c>
      <c r="M54" s="26" t="s">
        <v>40</v>
      </c>
      <c r="N54" s="27" t="s">
        <v>40</v>
      </c>
      <c r="O54" s="27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ht="25.5" customHeight="1">
      <c r="A55" s="19">
        <v>47.0</v>
      </c>
      <c r="B55" s="19" t="s">
        <v>165</v>
      </c>
      <c r="C55" s="20" t="s">
        <v>166</v>
      </c>
      <c r="D55" s="21" t="s">
        <v>35</v>
      </c>
      <c r="E55" s="21" t="s">
        <v>167</v>
      </c>
      <c r="F55" s="22">
        <v>1.126E8</v>
      </c>
      <c r="G55" s="23">
        <v>0.0</v>
      </c>
      <c r="H55" s="24">
        <v>1.44965925E8</v>
      </c>
      <c r="I55" s="24" t="str">
        <f>IFERROR(__xludf.DUMMYFUNCTION("REGEXEXTRACT(E55, ""ک\s(\d{16})"")"),"#N/A")</f>
        <v>#N/A</v>
      </c>
      <c r="J55" s="25" t="s">
        <v>37</v>
      </c>
      <c r="K55" s="20" t="s">
        <v>168</v>
      </c>
      <c r="L55" s="26" t="s">
        <v>39</v>
      </c>
      <c r="M55" s="26" t="s">
        <v>40</v>
      </c>
      <c r="N55" s="27" t="s">
        <v>40</v>
      </c>
      <c r="O55" s="27" t="s">
        <v>169</v>
      </c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ht="25.5" customHeight="1">
      <c r="A56" s="19">
        <v>48.0</v>
      </c>
      <c r="B56" s="19" t="s">
        <v>170</v>
      </c>
      <c r="C56" s="20" t="s">
        <v>171</v>
      </c>
      <c r="D56" s="21" t="s">
        <v>47</v>
      </c>
      <c r="E56" s="21" t="s">
        <v>172</v>
      </c>
      <c r="F56" s="22">
        <v>0.0</v>
      </c>
      <c r="G56" s="23">
        <v>1.56E7</v>
      </c>
      <c r="H56" s="24">
        <v>1.29365925E8</v>
      </c>
      <c r="I56" s="24" t="str">
        <f>IFERROR(__xludf.DUMMYFUNCTION("REGEXEXTRACT(E56, ""ک\s(\d{16})"")"),"6219861085979838")</f>
        <v>6219861085979838</v>
      </c>
      <c r="J56" s="25" t="s">
        <v>49</v>
      </c>
      <c r="K56" s="20" t="s">
        <v>173</v>
      </c>
      <c r="L56" s="26" t="s">
        <v>39</v>
      </c>
      <c r="M56" s="26" t="s">
        <v>40</v>
      </c>
      <c r="N56" s="27" t="s">
        <v>40</v>
      </c>
      <c r="O56" s="27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ht="25.5" customHeight="1">
      <c r="A57" s="19">
        <v>49.0</v>
      </c>
      <c r="B57" s="19" t="s">
        <v>170</v>
      </c>
      <c r="C57" s="20" t="s">
        <v>174</v>
      </c>
      <c r="D57" s="21" t="s">
        <v>65</v>
      </c>
      <c r="E57" s="21" t="s">
        <v>175</v>
      </c>
      <c r="F57" s="22">
        <v>0.0</v>
      </c>
      <c r="G57" s="23">
        <v>1800.0</v>
      </c>
      <c r="H57" s="24">
        <v>1.29364125E8</v>
      </c>
      <c r="I57" s="24" t="str">
        <f>IFERROR(__xludf.DUMMYFUNCTION("REGEXEXTRACT(E57, ""ک\s(\d{16})"")"),"6219861085979838")</f>
        <v>6219861085979838</v>
      </c>
      <c r="J57" s="25" t="s">
        <v>49</v>
      </c>
      <c r="K57" s="20" t="s">
        <v>176</v>
      </c>
      <c r="L57" s="26" t="s">
        <v>39</v>
      </c>
      <c r="M57" s="26" t="s">
        <v>40</v>
      </c>
      <c r="N57" s="27" t="s">
        <v>40</v>
      </c>
      <c r="O57" s="27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ht="25.5" customHeight="1">
      <c r="A58" s="19">
        <v>50.0</v>
      </c>
      <c r="B58" s="19" t="s">
        <v>170</v>
      </c>
      <c r="C58" s="20" t="s">
        <v>177</v>
      </c>
      <c r="D58" s="21" t="s">
        <v>52</v>
      </c>
      <c r="E58" s="21" t="s">
        <v>178</v>
      </c>
      <c r="F58" s="22">
        <v>500000.0</v>
      </c>
      <c r="G58" s="23">
        <v>0.0</v>
      </c>
      <c r="H58" s="24">
        <v>1.29864125E8</v>
      </c>
      <c r="I58" s="24" t="str">
        <f>IFERROR(__xludf.DUMMYFUNCTION("REGEXEXTRACT(E58, ""ک\s(\d{16})"")"),"6277601369097934")</f>
        <v>6277601369097934</v>
      </c>
      <c r="J58" s="25" t="s">
        <v>49</v>
      </c>
      <c r="K58" s="20" t="s">
        <v>179</v>
      </c>
      <c r="L58" s="26" t="s">
        <v>39</v>
      </c>
      <c r="M58" s="26" t="s">
        <v>40</v>
      </c>
      <c r="N58" s="27" t="s">
        <v>40</v>
      </c>
      <c r="O58" s="27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ht="25.5" customHeight="1">
      <c r="A59" s="19">
        <v>51.0</v>
      </c>
      <c r="B59" s="19" t="s">
        <v>170</v>
      </c>
      <c r="C59" s="20" t="s">
        <v>180</v>
      </c>
      <c r="D59" s="21" t="s">
        <v>52</v>
      </c>
      <c r="E59" s="21" t="s">
        <v>181</v>
      </c>
      <c r="F59" s="22">
        <v>250000.0</v>
      </c>
      <c r="G59" s="23">
        <v>0.0</v>
      </c>
      <c r="H59" s="24">
        <v>1.30114125E8</v>
      </c>
      <c r="I59" s="24" t="str">
        <f>IFERROR(__xludf.DUMMYFUNCTION("REGEXEXTRACT(E59, ""ک\s(\d{16})"")"),"6221061215421878")</f>
        <v>6221061215421878</v>
      </c>
      <c r="J59" s="25" t="s">
        <v>49</v>
      </c>
      <c r="K59" s="20" t="s">
        <v>182</v>
      </c>
      <c r="L59" s="26" t="s">
        <v>39</v>
      </c>
      <c r="M59" s="26" t="s">
        <v>40</v>
      </c>
      <c r="N59" s="27" t="s">
        <v>40</v>
      </c>
      <c r="O59" s="27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ht="25.5" customHeight="1">
      <c r="A60" s="19">
        <v>52.0</v>
      </c>
      <c r="B60" s="19" t="s">
        <v>183</v>
      </c>
      <c r="C60" s="20" t="s">
        <v>184</v>
      </c>
      <c r="D60" s="21" t="s">
        <v>35</v>
      </c>
      <c r="E60" s="21" t="s">
        <v>185</v>
      </c>
      <c r="F60" s="22">
        <v>4.0E7</v>
      </c>
      <c r="G60" s="23">
        <v>0.0</v>
      </c>
      <c r="H60" s="24">
        <v>1.70114125E8</v>
      </c>
      <c r="I60" s="24" t="str">
        <f>IFERROR(__xludf.DUMMYFUNCTION("REGEXEXTRACT(E60, ""ک\s(\d{16})"")"),"#N/A")</f>
        <v>#N/A</v>
      </c>
      <c r="J60" s="25" t="s">
        <v>37</v>
      </c>
      <c r="K60" s="20" t="s">
        <v>186</v>
      </c>
      <c r="L60" s="26" t="s">
        <v>39</v>
      </c>
      <c r="M60" s="26" t="s">
        <v>40</v>
      </c>
      <c r="N60" s="27" t="s">
        <v>40</v>
      </c>
      <c r="O60" s="27" t="s">
        <v>187</v>
      </c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ht="25.5" customHeight="1">
      <c r="A61" s="19">
        <v>53.0</v>
      </c>
      <c r="B61" s="19" t="s">
        <v>183</v>
      </c>
      <c r="C61" s="20" t="s">
        <v>188</v>
      </c>
      <c r="D61" s="21" t="s">
        <v>35</v>
      </c>
      <c r="E61" s="21" t="s">
        <v>189</v>
      </c>
      <c r="F61" s="22">
        <v>3.65E7</v>
      </c>
      <c r="G61" s="23">
        <v>0.0</v>
      </c>
      <c r="H61" s="24">
        <v>2.06614125E8</v>
      </c>
      <c r="I61" s="24" t="str">
        <f>IFERROR(__xludf.DUMMYFUNCTION("REGEXEXTRACT(E61, ""ک\s(\d{16})"")"),"#N/A")</f>
        <v>#N/A</v>
      </c>
      <c r="J61" s="25" t="s">
        <v>37</v>
      </c>
      <c r="K61" s="20" t="s">
        <v>190</v>
      </c>
      <c r="L61" s="26" t="s">
        <v>39</v>
      </c>
      <c r="M61" s="26" t="s">
        <v>40</v>
      </c>
      <c r="N61" s="27" t="s">
        <v>40</v>
      </c>
      <c r="O61" s="27" t="s">
        <v>191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ht="25.5" customHeight="1">
      <c r="A62" s="19">
        <v>54.0</v>
      </c>
      <c r="B62" s="19" t="s">
        <v>183</v>
      </c>
      <c r="C62" s="20" t="s">
        <v>192</v>
      </c>
      <c r="D62" s="21" t="s">
        <v>47</v>
      </c>
      <c r="E62" s="21" t="s">
        <v>193</v>
      </c>
      <c r="F62" s="22">
        <v>0.0</v>
      </c>
      <c r="G62" s="23">
        <v>1.56E7</v>
      </c>
      <c r="H62" s="24">
        <v>1.91014125E8</v>
      </c>
      <c r="I62" s="24" t="str">
        <f>IFERROR(__xludf.DUMMYFUNCTION("REGEXEXTRACT(E62, ""ک\s(\d{16})"")"),"6219861085979838")</f>
        <v>6219861085979838</v>
      </c>
      <c r="J62" s="25" t="s">
        <v>49</v>
      </c>
      <c r="K62" s="20" t="s">
        <v>194</v>
      </c>
      <c r="L62" s="26" t="s">
        <v>39</v>
      </c>
      <c r="M62" s="26" t="s">
        <v>40</v>
      </c>
      <c r="N62" s="27" t="s">
        <v>40</v>
      </c>
      <c r="O62" s="27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ht="25.5" customHeight="1">
      <c r="A63" s="19">
        <v>55.0</v>
      </c>
      <c r="B63" s="19" t="s">
        <v>183</v>
      </c>
      <c r="C63" s="20" t="s">
        <v>195</v>
      </c>
      <c r="D63" s="21" t="s">
        <v>47</v>
      </c>
      <c r="E63" s="21" t="s">
        <v>196</v>
      </c>
      <c r="F63" s="22">
        <v>0.0</v>
      </c>
      <c r="G63" s="23">
        <v>1.16E7</v>
      </c>
      <c r="H63" s="24">
        <v>1.79414125E8</v>
      </c>
      <c r="I63" s="24" t="str">
        <f>IFERROR(__xludf.DUMMYFUNCTION("REGEXEXTRACT(E63, ""ک\s(\d{16})"")"),"6219861085979838")</f>
        <v>6219861085979838</v>
      </c>
      <c r="J63" s="25" t="s">
        <v>49</v>
      </c>
      <c r="K63" s="20" t="s">
        <v>197</v>
      </c>
      <c r="L63" s="26" t="s">
        <v>39</v>
      </c>
      <c r="M63" s="26" t="s">
        <v>40</v>
      </c>
      <c r="N63" s="27" t="s">
        <v>40</v>
      </c>
      <c r="O63" s="27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25.5" customHeight="1">
      <c r="A64" s="19">
        <v>56.0</v>
      </c>
      <c r="B64" s="19" t="s">
        <v>183</v>
      </c>
      <c r="C64" s="20" t="s">
        <v>198</v>
      </c>
      <c r="D64" s="21" t="s">
        <v>65</v>
      </c>
      <c r="E64" s="21" t="s">
        <v>199</v>
      </c>
      <c r="F64" s="22">
        <v>0.0</v>
      </c>
      <c r="G64" s="23">
        <v>1800.0</v>
      </c>
      <c r="H64" s="24">
        <v>1.79412325E8</v>
      </c>
      <c r="I64" s="24" t="str">
        <f>IFERROR(__xludf.DUMMYFUNCTION("REGEXEXTRACT(E64, ""ک\s(\d{16})"")"),"6219861085979838")</f>
        <v>6219861085979838</v>
      </c>
      <c r="J64" s="25" t="s">
        <v>49</v>
      </c>
      <c r="K64" s="20" t="s">
        <v>200</v>
      </c>
      <c r="L64" s="26" t="s">
        <v>39</v>
      </c>
      <c r="M64" s="26" t="s">
        <v>40</v>
      </c>
      <c r="N64" s="27" t="s">
        <v>40</v>
      </c>
      <c r="O64" s="27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ht="25.5" customHeight="1">
      <c r="A65" s="19">
        <v>57.0</v>
      </c>
      <c r="B65" s="19" t="s">
        <v>183</v>
      </c>
      <c r="C65" s="20" t="s">
        <v>201</v>
      </c>
      <c r="D65" s="21" t="s">
        <v>202</v>
      </c>
      <c r="E65" s="21" t="s">
        <v>203</v>
      </c>
      <c r="F65" s="22">
        <v>0.0</v>
      </c>
      <c r="G65" s="23">
        <v>1.3E8</v>
      </c>
      <c r="H65" s="24">
        <v>4.9412325E7</v>
      </c>
      <c r="I65" s="24" t="str">
        <f>IFERROR(__xludf.DUMMYFUNCTION("REGEXEXTRACT(E65, ""ک\s(\d{16})"")"),"#N/A")</f>
        <v>#N/A</v>
      </c>
      <c r="J65" s="25" t="s">
        <v>204</v>
      </c>
      <c r="K65" s="20" t="s">
        <v>205</v>
      </c>
      <c r="L65" s="26" t="s">
        <v>39</v>
      </c>
      <c r="M65" s="26" t="s">
        <v>40</v>
      </c>
      <c r="N65" s="27" t="s">
        <v>40</v>
      </c>
      <c r="O65" s="27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ht="25.5" customHeight="1">
      <c r="A66" s="19">
        <v>58.0</v>
      </c>
      <c r="B66" s="19" t="s">
        <v>183</v>
      </c>
      <c r="C66" s="20" t="s">
        <v>201</v>
      </c>
      <c r="D66" s="21" t="s">
        <v>206</v>
      </c>
      <c r="E66" s="21" t="s">
        <v>207</v>
      </c>
      <c r="F66" s="22">
        <v>0.0</v>
      </c>
      <c r="G66" s="23">
        <v>26000.0</v>
      </c>
      <c r="H66" s="24">
        <v>4.9386325E7</v>
      </c>
      <c r="I66" s="24" t="str">
        <f>IFERROR(__xludf.DUMMYFUNCTION("REGEXEXTRACT(E66, ""ک\s(\d{16})"")"),"#N/A")</f>
        <v>#N/A</v>
      </c>
      <c r="J66" s="25" t="s">
        <v>204</v>
      </c>
      <c r="K66" s="20" t="s">
        <v>208</v>
      </c>
      <c r="L66" s="26" t="s">
        <v>39</v>
      </c>
      <c r="M66" s="26" t="s">
        <v>40</v>
      </c>
      <c r="N66" s="27" t="s">
        <v>40</v>
      </c>
      <c r="O66" s="27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ht="25.5" customHeight="1">
      <c r="A67" s="19">
        <v>59.0</v>
      </c>
      <c r="B67" s="19" t="s">
        <v>183</v>
      </c>
      <c r="C67" s="20" t="s">
        <v>209</v>
      </c>
      <c r="D67" s="21" t="s">
        <v>52</v>
      </c>
      <c r="E67" s="21" t="s">
        <v>210</v>
      </c>
      <c r="F67" s="22">
        <v>1200000.0</v>
      </c>
      <c r="G67" s="23">
        <v>0.0</v>
      </c>
      <c r="H67" s="24">
        <v>5.0586325E7</v>
      </c>
      <c r="I67" s="24" t="str">
        <f>IFERROR(__xludf.DUMMYFUNCTION("REGEXEXTRACT(E67, ""ک\s(\d{16})"")"),"6104331052268688")</f>
        <v>6104331052268688</v>
      </c>
      <c r="J67" s="25" t="s">
        <v>49</v>
      </c>
      <c r="K67" s="20" t="s">
        <v>211</v>
      </c>
      <c r="L67" s="26" t="s">
        <v>39</v>
      </c>
      <c r="M67" s="26" t="s">
        <v>40</v>
      </c>
      <c r="N67" s="27" t="s">
        <v>40</v>
      </c>
      <c r="O67" s="27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ht="25.5" customHeight="1">
      <c r="A68" s="19">
        <v>60.0</v>
      </c>
      <c r="B68" s="19" t="s">
        <v>183</v>
      </c>
      <c r="C68" s="20" t="s">
        <v>212</v>
      </c>
      <c r="D68" s="21" t="s">
        <v>52</v>
      </c>
      <c r="E68" s="21" t="s">
        <v>213</v>
      </c>
      <c r="F68" s="22">
        <v>1200000.0</v>
      </c>
      <c r="G68" s="23">
        <v>0.0</v>
      </c>
      <c r="H68" s="24">
        <v>5.1786325E7</v>
      </c>
      <c r="I68" s="24" t="str">
        <f>IFERROR(__xludf.DUMMYFUNCTION("REGEXEXTRACT(E68, ""ک\s(\d{16})"")"),"6037998114386070")</f>
        <v>6037998114386070</v>
      </c>
      <c r="J68" s="25" t="s">
        <v>49</v>
      </c>
      <c r="K68" s="20" t="s">
        <v>214</v>
      </c>
      <c r="L68" s="26" t="s">
        <v>39</v>
      </c>
      <c r="M68" s="26" t="s">
        <v>40</v>
      </c>
      <c r="N68" s="27" t="s">
        <v>40</v>
      </c>
      <c r="O68" s="27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ht="25.5" customHeight="1">
      <c r="A69" s="19">
        <v>61.0</v>
      </c>
      <c r="B69" s="19" t="s">
        <v>183</v>
      </c>
      <c r="C69" s="20" t="s">
        <v>215</v>
      </c>
      <c r="D69" s="21" t="s">
        <v>52</v>
      </c>
      <c r="E69" s="21" t="s">
        <v>216</v>
      </c>
      <c r="F69" s="22">
        <v>1450000.0</v>
      </c>
      <c r="G69" s="23">
        <v>0.0</v>
      </c>
      <c r="H69" s="24">
        <v>5.3236325E7</v>
      </c>
      <c r="I69" s="24" t="str">
        <f>IFERROR(__xludf.DUMMYFUNCTION("REGEXEXTRACT(E69, ""ک\s(\d{16})"")"),"6037997409404564")</f>
        <v>6037997409404564</v>
      </c>
      <c r="J69" s="25" t="s">
        <v>49</v>
      </c>
      <c r="K69" s="20" t="s">
        <v>217</v>
      </c>
      <c r="L69" s="26" t="s">
        <v>39</v>
      </c>
      <c r="M69" s="26" t="s">
        <v>40</v>
      </c>
      <c r="N69" s="27" t="s">
        <v>40</v>
      </c>
      <c r="O69" s="27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ht="25.5" customHeight="1">
      <c r="A70" s="19">
        <v>62.0</v>
      </c>
      <c r="B70" s="19" t="s">
        <v>183</v>
      </c>
      <c r="C70" s="20" t="s">
        <v>218</v>
      </c>
      <c r="D70" s="21" t="s">
        <v>52</v>
      </c>
      <c r="E70" s="21" t="s">
        <v>219</v>
      </c>
      <c r="F70" s="22">
        <v>1700000.0</v>
      </c>
      <c r="G70" s="23">
        <v>0.0</v>
      </c>
      <c r="H70" s="24">
        <v>5.4936325E7</v>
      </c>
      <c r="I70" s="24" t="str">
        <f>IFERROR(__xludf.DUMMYFUNCTION("REGEXEXTRACT(E70, ""ک\s(\d{16})"")"),"6037991928738461")</f>
        <v>6037991928738461</v>
      </c>
      <c r="J70" s="25" t="s">
        <v>49</v>
      </c>
      <c r="K70" s="20" t="s">
        <v>220</v>
      </c>
      <c r="L70" s="26" t="s">
        <v>39</v>
      </c>
      <c r="M70" s="26" t="s">
        <v>40</v>
      </c>
      <c r="N70" s="27" t="s">
        <v>40</v>
      </c>
      <c r="O70" s="27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ht="25.5" customHeight="1">
      <c r="A71" s="19">
        <v>63.0</v>
      </c>
      <c r="B71" s="19" t="s">
        <v>183</v>
      </c>
      <c r="C71" s="20" t="s">
        <v>221</v>
      </c>
      <c r="D71" s="21" t="s">
        <v>52</v>
      </c>
      <c r="E71" s="21" t="s">
        <v>222</v>
      </c>
      <c r="F71" s="22">
        <v>550000.0</v>
      </c>
      <c r="G71" s="23">
        <v>0.0</v>
      </c>
      <c r="H71" s="24">
        <v>5.5486325E7</v>
      </c>
      <c r="I71" s="24" t="str">
        <f>IFERROR(__xludf.DUMMYFUNCTION("REGEXEXTRACT(E71, ""ک\s(\d{16})"")"),"6037998277253570")</f>
        <v>6037998277253570</v>
      </c>
      <c r="J71" s="25" t="s">
        <v>49</v>
      </c>
      <c r="K71" s="20" t="s">
        <v>223</v>
      </c>
      <c r="L71" s="26" t="s">
        <v>39</v>
      </c>
      <c r="M71" s="26" t="s">
        <v>40</v>
      </c>
      <c r="N71" s="27" t="s">
        <v>40</v>
      </c>
      <c r="O71" s="27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ht="25.5" customHeight="1">
      <c r="A72" s="19">
        <v>64.0</v>
      </c>
      <c r="B72" s="19" t="s">
        <v>183</v>
      </c>
      <c r="C72" s="20" t="s">
        <v>224</v>
      </c>
      <c r="D72" s="21" t="s">
        <v>65</v>
      </c>
      <c r="E72" s="21" t="s">
        <v>225</v>
      </c>
      <c r="F72" s="22">
        <v>0.0</v>
      </c>
      <c r="G72" s="23">
        <v>1800.0</v>
      </c>
      <c r="H72" s="24">
        <v>5.5484525E7</v>
      </c>
      <c r="I72" s="24" t="str">
        <f>IFERROR(__xludf.DUMMYFUNCTION("REGEXEXTRACT(E72, ""ک\s(\d{16})"")"),"6219861085979838")</f>
        <v>6219861085979838</v>
      </c>
      <c r="J72" s="25" t="s">
        <v>49</v>
      </c>
      <c r="K72" s="20" t="s">
        <v>226</v>
      </c>
      <c r="L72" s="26" t="s">
        <v>39</v>
      </c>
      <c r="M72" s="26" t="s">
        <v>40</v>
      </c>
      <c r="N72" s="27" t="s">
        <v>40</v>
      </c>
      <c r="O72" s="27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ht="25.5" customHeight="1">
      <c r="A73" s="19">
        <v>65.0</v>
      </c>
      <c r="B73" s="19" t="s">
        <v>183</v>
      </c>
      <c r="C73" s="20" t="s">
        <v>227</v>
      </c>
      <c r="D73" s="21" t="s">
        <v>52</v>
      </c>
      <c r="E73" s="21" t="s">
        <v>228</v>
      </c>
      <c r="F73" s="22">
        <v>0.0</v>
      </c>
      <c r="G73" s="23">
        <v>1.0655E7</v>
      </c>
      <c r="H73" s="24">
        <v>4.4829525E7</v>
      </c>
      <c r="I73" s="24" t="str">
        <f>IFERROR(__xludf.DUMMYFUNCTION("REGEXEXTRACT(E73, ""ک\s(\d{16})"")"),"5894631178646402")</f>
        <v>5894631178646402</v>
      </c>
      <c r="J73" s="25" t="s">
        <v>49</v>
      </c>
      <c r="K73" s="20" t="s">
        <v>229</v>
      </c>
      <c r="L73" s="26" t="s">
        <v>39</v>
      </c>
      <c r="M73" s="26" t="s">
        <v>40</v>
      </c>
      <c r="N73" s="27" t="s">
        <v>40</v>
      </c>
      <c r="O73" s="27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ht="25.5" customHeight="1">
      <c r="A74" s="19">
        <v>66.0</v>
      </c>
      <c r="B74" s="19" t="s">
        <v>183</v>
      </c>
      <c r="C74" s="20" t="s">
        <v>227</v>
      </c>
      <c r="D74" s="21" t="s">
        <v>52</v>
      </c>
      <c r="E74" s="21" t="s">
        <v>230</v>
      </c>
      <c r="F74" s="22">
        <v>0.0</v>
      </c>
      <c r="G74" s="23">
        <v>12200.0</v>
      </c>
      <c r="H74" s="24">
        <v>4.4817325E7</v>
      </c>
      <c r="I74" s="24" t="str">
        <f>IFERROR(__xludf.DUMMYFUNCTION("REGEXEXTRACT(E74, ""ک\s(\d{16})"")"),"6219861085979838")</f>
        <v>6219861085979838</v>
      </c>
      <c r="J74" s="25" t="s">
        <v>49</v>
      </c>
      <c r="K74" s="20" t="s">
        <v>229</v>
      </c>
      <c r="L74" s="26" t="s">
        <v>39</v>
      </c>
      <c r="M74" s="26" t="s">
        <v>40</v>
      </c>
      <c r="N74" s="27" t="s">
        <v>40</v>
      </c>
      <c r="O74" s="27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ht="25.5" customHeight="1">
      <c r="A75" s="19">
        <v>67.0</v>
      </c>
      <c r="B75" s="19" t="s">
        <v>183</v>
      </c>
      <c r="C75" s="20" t="s">
        <v>231</v>
      </c>
      <c r="D75" s="21" t="s">
        <v>52</v>
      </c>
      <c r="E75" s="21" t="s">
        <v>232</v>
      </c>
      <c r="F75" s="22">
        <v>0.0</v>
      </c>
      <c r="G75" s="23">
        <v>1.385E7</v>
      </c>
      <c r="H75" s="24">
        <v>3.0967325E7</v>
      </c>
      <c r="I75" s="24" t="str">
        <f>IFERROR(__xludf.DUMMYFUNCTION("REGEXEXTRACT(E75, ""ک\s(\d{16})"")"),"6037701642636788")</f>
        <v>6037701642636788</v>
      </c>
      <c r="J75" s="25" t="s">
        <v>49</v>
      </c>
      <c r="K75" s="20" t="s">
        <v>233</v>
      </c>
      <c r="L75" s="26" t="s">
        <v>39</v>
      </c>
      <c r="M75" s="26" t="s">
        <v>40</v>
      </c>
      <c r="N75" s="27" t="s">
        <v>40</v>
      </c>
      <c r="O75" s="27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ht="25.5" customHeight="1">
      <c r="A76" s="19">
        <v>68.0</v>
      </c>
      <c r="B76" s="19" t="s">
        <v>183</v>
      </c>
      <c r="C76" s="20" t="s">
        <v>231</v>
      </c>
      <c r="D76" s="21" t="s">
        <v>52</v>
      </c>
      <c r="E76" s="21" t="s">
        <v>234</v>
      </c>
      <c r="F76" s="22">
        <v>0.0</v>
      </c>
      <c r="G76" s="23">
        <v>12200.0</v>
      </c>
      <c r="H76" s="24">
        <v>3.0955125E7</v>
      </c>
      <c r="I76" s="24" t="str">
        <f>IFERROR(__xludf.DUMMYFUNCTION("REGEXEXTRACT(E76, ""ک\s(\d{16})"")"),"6219861085979838")</f>
        <v>6219861085979838</v>
      </c>
      <c r="J76" s="25" t="s">
        <v>49</v>
      </c>
      <c r="K76" s="20" t="s">
        <v>233</v>
      </c>
      <c r="L76" s="26" t="s">
        <v>39</v>
      </c>
      <c r="M76" s="26" t="s">
        <v>40</v>
      </c>
      <c r="N76" s="27" t="s">
        <v>40</v>
      </c>
      <c r="O76" s="27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ht="25.5" customHeight="1">
      <c r="A77" s="19">
        <v>69.0</v>
      </c>
      <c r="B77" s="19" t="s">
        <v>235</v>
      </c>
      <c r="C77" s="20" t="s">
        <v>236</v>
      </c>
      <c r="D77" s="21" t="s">
        <v>35</v>
      </c>
      <c r="E77" s="21" t="s">
        <v>237</v>
      </c>
      <c r="F77" s="22">
        <v>1.0E8</v>
      </c>
      <c r="G77" s="23">
        <v>0.0</v>
      </c>
      <c r="H77" s="24">
        <v>1.30955125E8</v>
      </c>
      <c r="I77" s="24" t="str">
        <f>IFERROR(__xludf.DUMMYFUNCTION("REGEXEXTRACT(E77, ""ک\s(\d{16})"")"),"#N/A")</f>
        <v>#N/A</v>
      </c>
      <c r="J77" s="25" t="s">
        <v>37</v>
      </c>
      <c r="K77" s="20" t="s">
        <v>238</v>
      </c>
      <c r="L77" s="26" t="s">
        <v>39</v>
      </c>
      <c r="M77" s="26" t="s">
        <v>40</v>
      </c>
      <c r="N77" s="27" t="s">
        <v>40</v>
      </c>
      <c r="O77" s="27" t="s">
        <v>239</v>
      </c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ht="25.5" customHeight="1">
      <c r="A78" s="19">
        <v>70.0</v>
      </c>
      <c r="B78" s="19" t="s">
        <v>235</v>
      </c>
      <c r="C78" s="20" t="s">
        <v>240</v>
      </c>
      <c r="D78" s="21" t="s">
        <v>35</v>
      </c>
      <c r="E78" s="21" t="s">
        <v>241</v>
      </c>
      <c r="F78" s="22">
        <v>0.0</v>
      </c>
      <c r="G78" s="23">
        <v>12000.0</v>
      </c>
      <c r="H78" s="24">
        <v>1.30943125E8</v>
      </c>
      <c r="I78" s="24" t="str">
        <f>IFERROR(__xludf.DUMMYFUNCTION("REGEXEXTRACT(E78, ""ک\s(\d{16})"")"),"#N/A")</f>
        <v>#N/A</v>
      </c>
      <c r="J78" s="25" t="s">
        <v>37</v>
      </c>
      <c r="K78" s="20" t="s">
        <v>242</v>
      </c>
      <c r="L78" s="26" t="s">
        <v>39</v>
      </c>
      <c r="M78" s="26" t="s">
        <v>40</v>
      </c>
      <c r="N78" s="29" t="s">
        <v>243</v>
      </c>
      <c r="O78" s="27" t="s">
        <v>244</v>
      </c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ht="25.5" customHeight="1">
      <c r="A79" s="19">
        <v>71.0</v>
      </c>
      <c r="B79" s="19" t="s">
        <v>245</v>
      </c>
      <c r="C79" s="20" t="s">
        <v>246</v>
      </c>
      <c r="D79" s="21" t="s">
        <v>35</v>
      </c>
      <c r="E79" s="21" t="s">
        <v>247</v>
      </c>
      <c r="F79" s="22">
        <v>8.1E7</v>
      </c>
      <c r="G79" s="23">
        <v>0.0</v>
      </c>
      <c r="H79" s="24">
        <v>2.11943125E8</v>
      </c>
      <c r="I79" s="24" t="str">
        <f>IFERROR(__xludf.DUMMYFUNCTION("REGEXEXTRACT(E79, ""ک\s(\d{16})"")"),"#N/A")</f>
        <v>#N/A</v>
      </c>
      <c r="J79" s="25" t="s">
        <v>37</v>
      </c>
      <c r="K79" s="20" t="s">
        <v>248</v>
      </c>
      <c r="L79" s="26" t="s">
        <v>39</v>
      </c>
      <c r="M79" s="26" t="s">
        <v>40</v>
      </c>
      <c r="N79" s="27" t="s">
        <v>40</v>
      </c>
      <c r="O79" s="27" t="s">
        <v>249</v>
      </c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ht="25.5" customHeight="1">
      <c r="A80" s="19">
        <v>72.0</v>
      </c>
      <c r="B80" s="19" t="s">
        <v>245</v>
      </c>
      <c r="C80" s="20" t="s">
        <v>250</v>
      </c>
      <c r="D80" s="21" t="s">
        <v>52</v>
      </c>
      <c r="E80" s="21" t="s">
        <v>251</v>
      </c>
      <c r="F80" s="22">
        <v>900000.0</v>
      </c>
      <c r="G80" s="23">
        <v>0.0</v>
      </c>
      <c r="H80" s="24">
        <v>2.12843125E8</v>
      </c>
      <c r="I80" s="24" t="str">
        <f>IFERROR(__xludf.DUMMYFUNCTION("REGEXEXTRACT(E80, ""ک\s(\d{16})"")"),"6037998199231522")</f>
        <v>6037998199231522</v>
      </c>
      <c r="J80" s="25" t="s">
        <v>49</v>
      </c>
      <c r="K80" s="20" t="s">
        <v>252</v>
      </c>
      <c r="L80" s="26" t="s">
        <v>39</v>
      </c>
      <c r="M80" s="26" t="s">
        <v>40</v>
      </c>
      <c r="N80" s="27" t="s">
        <v>40</v>
      </c>
      <c r="O80" s="27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ht="25.5" customHeight="1">
      <c r="A81" s="19">
        <v>73.0</v>
      </c>
      <c r="B81" s="19" t="s">
        <v>245</v>
      </c>
      <c r="C81" s="20" t="s">
        <v>253</v>
      </c>
      <c r="D81" s="21" t="s">
        <v>52</v>
      </c>
      <c r="E81" s="21" t="s">
        <v>254</v>
      </c>
      <c r="F81" s="22">
        <v>1400000.0</v>
      </c>
      <c r="G81" s="23">
        <v>0.0</v>
      </c>
      <c r="H81" s="24">
        <v>2.14243125E8</v>
      </c>
      <c r="I81" s="24" t="str">
        <f>IFERROR(__xludf.DUMMYFUNCTION("REGEXEXTRACT(E81, ""ک\s(\d{16})"")"),"6104338745074928")</f>
        <v>6104338745074928</v>
      </c>
      <c r="J81" s="25" t="s">
        <v>49</v>
      </c>
      <c r="K81" s="20" t="s">
        <v>255</v>
      </c>
      <c r="L81" s="26" t="s">
        <v>39</v>
      </c>
      <c r="M81" s="26" t="s">
        <v>40</v>
      </c>
      <c r="N81" s="27" t="s">
        <v>40</v>
      </c>
      <c r="O81" s="27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ht="25.5" customHeight="1">
      <c r="A82" s="19">
        <v>74.0</v>
      </c>
      <c r="B82" s="19" t="s">
        <v>245</v>
      </c>
      <c r="C82" s="20" t="s">
        <v>256</v>
      </c>
      <c r="D82" s="21" t="s">
        <v>52</v>
      </c>
      <c r="E82" s="21" t="s">
        <v>257</v>
      </c>
      <c r="F82" s="22">
        <v>1150000.0</v>
      </c>
      <c r="G82" s="23">
        <v>0.0</v>
      </c>
      <c r="H82" s="24">
        <v>2.15393125E8</v>
      </c>
      <c r="I82" s="24" t="str">
        <f>IFERROR(__xludf.DUMMYFUNCTION("REGEXEXTRACT(E82, ""ک\s(\d{16})"")"),"6063731139603782")</f>
        <v>6063731139603782</v>
      </c>
      <c r="J82" s="25" t="s">
        <v>49</v>
      </c>
      <c r="K82" s="20" t="s">
        <v>258</v>
      </c>
      <c r="L82" s="26" t="s">
        <v>39</v>
      </c>
      <c r="M82" s="26" t="s">
        <v>40</v>
      </c>
      <c r="N82" s="27" t="s">
        <v>40</v>
      </c>
      <c r="O82" s="27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ht="25.5" customHeight="1">
      <c r="A83" s="19">
        <v>75.0</v>
      </c>
      <c r="B83" s="19" t="s">
        <v>245</v>
      </c>
      <c r="C83" s="20" t="s">
        <v>259</v>
      </c>
      <c r="D83" s="21" t="s">
        <v>52</v>
      </c>
      <c r="E83" s="21" t="s">
        <v>260</v>
      </c>
      <c r="F83" s="22">
        <v>550000.0</v>
      </c>
      <c r="G83" s="23">
        <v>0.0</v>
      </c>
      <c r="H83" s="24">
        <v>2.15943125E8</v>
      </c>
      <c r="I83" s="24" t="str">
        <f>IFERROR(__xludf.DUMMYFUNCTION("REGEXEXTRACT(E83, ""ک\s(\d{16})"")"),"6037998221397762")</f>
        <v>6037998221397762</v>
      </c>
      <c r="J83" s="25" t="s">
        <v>49</v>
      </c>
      <c r="K83" s="20" t="s">
        <v>261</v>
      </c>
      <c r="L83" s="26" t="s">
        <v>39</v>
      </c>
      <c r="M83" s="26" t="s">
        <v>40</v>
      </c>
      <c r="N83" s="27" t="s">
        <v>40</v>
      </c>
      <c r="O83" s="27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ht="25.5" customHeight="1">
      <c r="A84" s="19">
        <v>76.0</v>
      </c>
      <c r="B84" s="19" t="s">
        <v>262</v>
      </c>
      <c r="C84" s="20" t="s">
        <v>263</v>
      </c>
      <c r="D84" s="21" t="s">
        <v>35</v>
      </c>
      <c r="E84" s="21" t="s">
        <v>264</v>
      </c>
      <c r="F84" s="22">
        <v>7.6E7</v>
      </c>
      <c r="G84" s="23">
        <v>0.0</v>
      </c>
      <c r="H84" s="24">
        <v>2.91943125E8</v>
      </c>
      <c r="I84" s="24" t="str">
        <f>IFERROR(__xludf.DUMMYFUNCTION("REGEXEXTRACT(E84, ""ک\s(\d{16})"")"),"#N/A")</f>
        <v>#N/A</v>
      </c>
      <c r="J84" s="25" t="s">
        <v>37</v>
      </c>
      <c r="K84" s="20" t="s">
        <v>265</v>
      </c>
      <c r="L84" s="26" t="s">
        <v>39</v>
      </c>
      <c r="M84" s="26" t="s">
        <v>40</v>
      </c>
      <c r="N84" s="27" t="s">
        <v>40</v>
      </c>
      <c r="O84" s="27" t="s">
        <v>266</v>
      </c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ht="25.5" customHeight="1">
      <c r="A85" s="19">
        <v>77.0</v>
      </c>
      <c r="B85" s="19" t="s">
        <v>262</v>
      </c>
      <c r="C85" s="20" t="s">
        <v>267</v>
      </c>
      <c r="D85" s="21" t="s">
        <v>52</v>
      </c>
      <c r="E85" s="21" t="s">
        <v>268</v>
      </c>
      <c r="F85" s="22">
        <v>0.0</v>
      </c>
      <c r="G85" s="23">
        <v>4000000.0</v>
      </c>
      <c r="H85" s="24">
        <v>2.87943125E8</v>
      </c>
      <c r="I85" s="24" t="str">
        <f>IFERROR(__xludf.DUMMYFUNCTION("REGEXEXTRACT(E85, ""ک\s(\d{16})"")"),"5859831103338371")</f>
        <v>5859831103338371</v>
      </c>
      <c r="J85" s="25" t="s">
        <v>49</v>
      </c>
      <c r="K85" s="20" t="s">
        <v>269</v>
      </c>
      <c r="L85" s="26" t="s">
        <v>39</v>
      </c>
      <c r="M85" s="26" t="s">
        <v>40</v>
      </c>
      <c r="N85" s="27" t="s">
        <v>40</v>
      </c>
      <c r="O85" s="27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ht="25.5" customHeight="1">
      <c r="A86" s="19">
        <v>78.0</v>
      </c>
      <c r="B86" s="19" t="s">
        <v>262</v>
      </c>
      <c r="C86" s="20" t="s">
        <v>267</v>
      </c>
      <c r="D86" s="21" t="s">
        <v>52</v>
      </c>
      <c r="E86" s="21" t="s">
        <v>270</v>
      </c>
      <c r="F86" s="22">
        <v>0.0</v>
      </c>
      <c r="G86" s="23">
        <v>9000.0</v>
      </c>
      <c r="H86" s="24">
        <v>2.87934125E8</v>
      </c>
      <c r="I86" s="24" t="str">
        <f>IFERROR(__xludf.DUMMYFUNCTION("REGEXEXTRACT(E86, ""ک\s(\d{16})"")"),"6219861085979838")</f>
        <v>6219861085979838</v>
      </c>
      <c r="J86" s="25" t="s">
        <v>49</v>
      </c>
      <c r="K86" s="20" t="s">
        <v>269</v>
      </c>
      <c r="L86" s="26" t="s">
        <v>39</v>
      </c>
      <c r="M86" s="26" t="s">
        <v>40</v>
      </c>
      <c r="N86" s="27" t="s">
        <v>40</v>
      </c>
      <c r="O86" s="27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ht="25.5" customHeight="1">
      <c r="A87" s="19">
        <v>79.0</v>
      </c>
      <c r="B87" s="19" t="s">
        <v>262</v>
      </c>
      <c r="C87" s="20" t="s">
        <v>271</v>
      </c>
      <c r="D87" s="21" t="s">
        <v>202</v>
      </c>
      <c r="E87" s="21" t="s">
        <v>272</v>
      </c>
      <c r="F87" s="22">
        <v>0.0</v>
      </c>
      <c r="G87" s="23">
        <v>8.035E7</v>
      </c>
      <c r="H87" s="24">
        <v>2.07584125E8</v>
      </c>
      <c r="I87" s="24" t="str">
        <f>IFERROR(__xludf.DUMMYFUNCTION("REGEXEXTRACT(E87, ""ک\s(\d{16})"")"),"#N/A")</f>
        <v>#N/A</v>
      </c>
      <c r="J87" s="25" t="s">
        <v>204</v>
      </c>
      <c r="K87" s="20" t="s">
        <v>273</v>
      </c>
      <c r="L87" s="26" t="s">
        <v>39</v>
      </c>
      <c r="M87" s="26" t="s">
        <v>40</v>
      </c>
      <c r="N87" s="27" t="s">
        <v>40</v>
      </c>
      <c r="O87" s="27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ht="25.5" customHeight="1">
      <c r="A88" s="19">
        <v>80.0</v>
      </c>
      <c r="B88" s="19" t="s">
        <v>262</v>
      </c>
      <c r="C88" s="20" t="s">
        <v>271</v>
      </c>
      <c r="D88" s="21" t="s">
        <v>206</v>
      </c>
      <c r="E88" s="21" t="s">
        <v>207</v>
      </c>
      <c r="F88" s="22">
        <v>0.0</v>
      </c>
      <c r="G88" s="23">
        <v>16070.0</v>
      </c>
      <c r="H88" s="24">
        <v>2.07568055E8</v>
      </c>
      <c r="I88" s="24" t="str">
        <f>IFERROR(__xludf.DUMMYFUNCTION("REGEXEXTRACT(E88, ""ک\s(\d{16})"")"),"#N/A")</f>
        <v>#N/A</v>
      </c>
      <c r="J88" s="25" t="s">
        <v>204</v>
      </c>
      <c r="K88" s="20" t="s">
        <v>274</v>
      </c>
      <c r="L88" s="26" t="s">
        <v>39</v>
      </c>
      <c r="M88" s="26" t="s">
        <v>40</v>
      </c>
      <c r="N88" s="27" t="s">
        <v>40</v>
      </c>
      <c r="O88" s="27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ht="25.5" customHeight="1">
      <c r="A89" s="19">
        <v>81.0</v>
      </c>
      <c r="B89" s="19" t="s">
        <v>262</v>
      </c>
      <c r="C89" s="20" t="s">
        <v>275</v>
      </c>
      <c r="D89" s="21" t="s">
        <v>202</v>
      </c>
      <c r="E89" s="21" t="s">
        <v>276</v>
      </c>
      <c r="F89" s="22">
        <v>0.0</v>
      </c>
      <c r="G89" s="23">
        <v>5.0E7</v>
      </c>
      <c r="H89" s="24">
        <v>1.57568055E8</v>
      </c>
      <c r="I89" s="24" t="str">
        <f>IFERROR(__xludf.DUMMYFUNCTION("REGEXEXTRACT(E89, ""ک\s(\d{16})"")"),"#N/A")</f>
        <v>#N/A</v>
      </c>
      <c r="J89" s="25" t="s">
        <v>204</v>
      </c>
      <c r="K89" s="20" t="s">
        <v>277</v>
      </c>
      <c r="L89" s="26" t="s">
        <v>39</v>
      </c>
      <c r="M89" s="26" t="s">
        <v>40</v>
      </c>
      <c r="N89" s="27" t="s">
        <v>40</v>
      </c>
      <c r="O89" s="27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ht="25.5" customHeight="1">
      <c r="A90" s="19">
        <v>82.0</v>
      </c>
      <c r="B90" s="19" t="s">
        <v>262</v>
      </c>
      <c r="C90" s="20" t="s">
        <v>275</v>
      </c>
      <c r="D90" s="21" t="s">
        <v>206</v>
      </c>
      <c r="E90" s="21" t="s">
        <v>207</v>
      </c>
      <c r="F90" s="22">
        <v>0.0</v>
      </c>
      <c r="G90" s="23">
        <v>10000.0</v>
      </c>
      <c r="H90" s="24">
        <v>1.57558055E8</v>
      </c>
      <c r="I90" s="24" t="str">
        <f>IFERROR(__xludf.DUMMYFUNCTION("REGEXEXTRACT(E90, ""ک\s(\d{16})"")"),"#N/A")</f>
        <v>#N/A</v>
      </c>
      <c r="J90" s="25" t="s">
        <v>204</v>
      </c>
      <c r="K90" s="20" t="s">
        <v>278</v>
      </c>
      <c r="L90" s="26" t="s">
        <v>39</v>
      </c>
      <c r="M90" s="26" t="s">
        <v>40</v>
      </c>
      <c r="N90" s="27" t="s">
        <v>40</v>
      </c>
      <c r="O90" s="27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ht="25.5" customHeight="1">
      <c r="A91" s="19">
        <v>83.0</v>
      </c>
      <c r="B91" s="19" t="s">
        <v>262</v>
      </c>
      <c r="C91" s="20" t="s">
        <v>279</v>
      </c>
      <c r="D91" s="21" t="s">
        <v>52</v>
      </c>
      <c r="E91" s="21" t="s">
        <v>280</v>
      </c>
      <c r="F91" s="22">
        <v>0.0</v>
      </c>
      <c r="G91" s="23">
        <v>1.56E7</v>
      </c>
      <c r="H91" s="24">
        <v>1.41958055E8</v>
      </c>
      <c r="I91" s="24" t="str">
        <f>IFERROR(__xludf.DUMMYFUNCTION("REGEXEXTRACT(E91, ""ک\s(\d{16})"")"),"6037697600840968")</f>
        <v>6037697600840968</v>
      </c>
      <c r="J91" s="25" t="s">
        <v>49</v>
      </c>
      <c r="K91" s="20" t="s">
        <v>281</v>
      </c>
      <c r="L91" s="26" t="s">
        <v>39</v>
      </c>
      <c r="M91" s="26" t="s">
        <v>40</v>
      </c>
      <c r="N91" s="27" t="s">
        <v>40</v>
      </c>
      <c r="O91" s="27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ht="25.5" customHeight="1">
      <c r="A92" s="19">
        <v>84.0</v>
      </c>
      <c r="B92" s="19" t="s">
        <v>262</v>
      </c>
      <c r="C92" s="20" t="s">
        <v>279</v>
      </c>
      <c r="D92" s="21" t="s">
        <v>52</v>
      </c>
      <c r="E92" s="21" t="s">
        <v>282</v>
      </c>
      <c r="F92" s="22">
        <v>0.0</v>
      </c>
      <c r="G92" s="23">
        <v>12200.0</v>
      </c>
      <c r="H92" s="24">
        <v>1.41945855E8</v>
      </c>
      <c r="I92" s="24" t="str">
        <f>IFERROR(__xludf.DUMMYFUNCTION("REGEXEXTRACT(E92, ""ک\s(\d{16})"")"),"6219861085979838")</f>
        <v>6219861085979838</v>
      </c>
      <c r="J92" s="25" t="s">
        <v>49</v>
      </c>
      <c r="K92" s="20" t="s">
        <v>281</v>
      </c>
      <c r="L92" s="26" t="s">
        <v>39</v>
      </c>
      <c r="M92" s="26" t="s">
        <v>40</v>
      </c>
      <c r="N92" s="27" t="s">
        <v>40</v>
      </c>
      <c r="O92" s="27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ht="25.5" customHeight="1">
      <c r="A93" s="19">
        <v>85.0</v>
      </c>
      <c r="B93" s="19" t="s">
        <v>283</v>
      </c>
      <c r="C93" s="20" t="s">
        <v>284</v>
      </c>
      <c r="D93" s="21" t="s">
        <v>35</v>
      </c>
      <c r="E93" s="21" t="s">
        <v>285</v>
      </c>
      <c r="F93" s="22">
        <v>6.1E7</v>
      </c>
      <c r="G93" s="23">
        <v>0.0</v>
      </c>
      <c r="H93" s="24">
        <v>2.02945855E8</v>
      </c>
      <c r="I93" s="24" t="str">
        <f>IFERROR(__xludf.DUMMYFUNCTION("REGEXEXTRACT(E93, ""ک\s(\d{16})"")"),"#N/A")</f>
        <v>#N/A</v>
      </c>
      <c r="J93" s="25" t="s">
        <v>37</v>
      </c>
      <c r="K93" s="20" t="s">
        <v>286</v>
      </c>
      <c r="L93" s="26" t="s">
        <v>39</v>
      </c>
      <c r="M93" s="26" t="s">
        <v>40</v>
      </c>
      <c r="N93" s="27" t="s">
        <v>40</v>
      </c>
      <c r="O93" s="27" t="s">
        <v>287</v>
      </c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ht="25.5" customHeight="1">
      <c r="A94" s="19">
        <v>86.0</v>
      </c>
      <c r="B94" s="19" t="s">
        <v>283</v>
      </c>
      <c r="C94" s="20" t="s">
        <v>288</v>
      </c>
      <c r="D94" s="21" t="s">
        <v>35</v>
      </c>
      <c r="E94" s="21" t="s">
        <v>289</v>
      </c>
      <c r="F94" s="22">
        <v>3.3E7</v>
      </c>
      <c r="G94" s="23">
        <v>0.0</v>
      </c>
      <c r="H94" s="24">
        <v>2.35945855E8</v>
      </c>
      <c r="I94" s="24" t="str">
        <f>IFERROR(__xludf.DUMMYFUNCTION("REGEXEXTRACT(E94, ""ک\s(\d{16})"")"),"#N/A")</f>
        <v>#N/A</v>
      </c>
      <c r="J94" s="25" t="s">
        <v>37</v>
      </c>
      <c r="K94" s="20" t="s">
        <v>290</v>
      </c>
      <c r="L94" s="26" t="s">
        <v>39</v>
      </c>
      <c r="M94" s="26" t="s">
        <v>40</v>
      </c>
      <c r="N94" s="27" t="s">
        <v>40</v>
      </c>
      <c r="O94" s="27" t="s">
        <v>291</v>
      </c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ht="25.5" customHeight="1">
      <c r="A95" s="19">
        <v>87.0</v>
      </c>
      <c r="B95" s="19" t="s">
        <v>283</v>
      </c>
      <c r="C95" s="20" t="s">
        <v>292</v>
      </c>
      <c r="D95" s="21" t="s">
        <v>202</v>
      </c>
      <c r="E95" s="21" t="s">
        <v>293</v>
      </c>
      <c r="F95" s="22">
        <v>0.0</v>
      </c>
      <c r="G95" s="23">
        <v>1.2E8</v>
      </c>
      <c r="H95" s="24">
        <v>1.15945855E8</v>
      </c>
      <c r="I95" s="24" t="str">
        <f>IFERROR(__xludf.DUMMYFUNCTION("REGEXEXTRACT(E95, ""ک\s(\d{16})"")"),"#N/A")</f>
        <v>#N/A</v>
      </c>
      <c r="J95" s="25" t="s">
        <v>204</v>
      </c>
      <c r="K95" s="20" t="s">
        <v>294</v>
      </c>
      <c r="L95" s="26" t="s">
        <v>39</v>
      </c>
      <c r="M95" s="26" t="s">
        <v>40</v>
      </c>
      <c r="N95" s="29" t="s">
        <v>295</v>
      </c>
      <c r="O95" s="27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ht="25.5" customHeight="1">
      <c r="A96" s="19">
        <v>88.0</v>
      </c>
      <c r="B96" s="19" t="s">
        <v>283</v>
      </c>
      <c r="C96" s="20" t="s">
        <v>292</v>
      </c>
      <c r="D96" s="21" t="s">
        <v>206</v>
      </c>
      <c r="E96" s="21" t="s">
        <v>207</v>
      </c>
      <c r="F96" s="22">
        <v>0.0</v>
      </c>
      <c r="G96" s="23">
        <v>24000.0</v>
      </c>
      <c r="H96" s="24">
        <v>1.15921855E8</v>
      </c>
      <c r="I96" s="24" t="str">
        <f>IFERROR(__xludf.DUMMYFUNCTION("REGEXEXTRACT(E96, ""ک\s(\d{16})"")"),"#N/A")</f>
        <v>#N/A</v>
      </c>
      <c r="J96" s="25" t="s">
        <v>204</v>
      </c>
      <c r="K96" s="20" t="s">
        <v>296</v>
      </c>
      <c r="L96" s="26" t="s">
        <v>39</v>
      </c>
      <c r="M96" s="26" t="s">
        <v>40</v>
      </c>
      <c r="N96" s="27" t="s">
        <v>40</v>
      </c>
      <c r="O96" s="27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ht="25.5" customHeight="1">
      <c r="A97" s="19">
        <v>89.0</v>
      </c>
      <c r="B97" s="19" t="s">
        <v>283</v>
      </c>
      <c r="C97" s="20" t="s">
        <v>297</v>
      </c>
      <c r="D97" s="21" t="s">
        <v>52</v>
      </c>
      <c r="E97" s="21" t="s">
        <v>298</v>
      </c>
      <c r="F97" s="22">
        <v>0.0</v>
      </c>
      <c r="G97" s="23">
        <v>5.0E7</v>
      </c>
      <c r="H97" s="24">
        <v>6.5921855E7</v>
      </c>
      <c r="I97" s="24" t="str">
        <f>IFERROR(__xludf.DUMMYFUNCTION("REGEXEXTRACT(E97, ""ک\s(\d{16})"")"),"6104338981389121")</f>
        <v>6104338981389121</v>
      </c>
      <c r="J97" s="25" t="s">
        <v>49</v>
      </c>
      <c r="K97" s="20" t="s">
        <v>299</v>
      </c>
      <c r="L97" s="26" t="s">
        <v>39</v>
      </c>
      <c r="M97" s="26" t="s">
        <v>40</v>
      </c>
      <c r="N97" s="27" t="s">
        <v>40</v>
      </c>
      <c r="O97" s="27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ht="25.5" customHeight="1">
      <c r="A98" s="19">
        <v>90.0</v>
      </c>
      <c r="B98" s="19" t="s">
        <v>283</v>
      </c>
      <c r="C98" s="20" t="s">
        <v>297</v>
      </c>
      <c r="D98" s="21" t="s">
        <v>52</v>
      </c>
      <c r="E98" s="21" t="s">
        <v>300</v>
      </c>
      <c r="F98" s="22">
        <v>0.0</v>
      </c>
      <c r="G98" s="23">
        <v>21800.0</v>
      </c>
      <c r="H98" s="24">
        <v>6.5900055E7</v>
      </c>
      <c r="I98" s="24" t="str">
        <f>IFERROR(__xludf.DUMMYFUNCTION("REGEXEXTRACT(E98, ""ک\s(\d{16})"")"),"6219861085979838")</f>
        <v>6219861085979838</v>
      </c>
      <c r="J98" s="25" t="s">
        <v>49</v>
      </c>
      <c r="K98" s="20" t="s">
        <v>299</v>
      </c>
      <c r="L98" s="26" t="s">
        <v>39</v>
      </c>
      <c r="M98" s="26" t="s">
        <v>40</v>
      </c>
      <c r="N98" s="27" t="s">
        <v>40</v>
      </c>
      <c r="O98" s="27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ht="25.5" customHeight="1">
      <c r="A99" s="19">
        <v>91.0</v>
      </c>
      <c r="B99" s="19" t="s">
        <v>283</v>
      </c>
      <c r="C99" s="20" t="s">
        <v>301</v>
      </c>
      <c r="D99" s="21" t="s">
        <v>65</v>
      </c>
      <c r="E99" s="21" t="s">
        <v>302</v>
      </c>
      <c r="F99" s="22">
        <v>0.0</v>
      </c>
      <c r="G99" s="23">
        <v>1800.0</v>
      </c>
      <c r="H99" s="24">
        <v>6.5898255E7</v>
      </c>
      <c r="I99" s="24" t="str">
        <f>IFERROR(__xludf.DUMMYFUNCTION("REGEXEXTRACT(E99, ""ک\s(\d{16})"")"),"6219861085979838")</f>
        <v>6219861085979838</v>
      </c>
      <c r="J99" s="25" t="s">
        <v>49</v>
      </c>
      <c r="K99" s="20" t="s">
        <v>303</v>
      </c>
      <c r="L99" s="26" t="s">
        <v>39</v>
      </c>
      <c r="M99" s="26" t="s">
        <v>40</v>
      </c>
      <c r="N99" s="27" t="s">
        <v>40</v>
      </c>
      <c r="O99" s="27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ht="25.5" customHeight="1">
      <c r="A100" s="19">
        <v>92.0</v>
      </c>
      <c r="B100" s="19" t="s">
        <v>283</v>
      </c>
      <c r="C100" s="20" t="s">
        <v>304</v>
      </c>
      <c r="D100" s="21" t="s">
        <v>65</v>
      </c>
      <c r="E100" s="21" t="s">
        <v>305</v>
      </c>
      <c r="F100" s="22">
        <v>0.0</v>
      </c>
      <c r="G100" s="23">
        <v>1800.0</v>
      </c>
      <c r="H100" s="24">
        <v>6.5896455E7</v>
      </c>
      <c r="I100" s="24" t="str">
        <f>IFERROR(__xludf.DUMMYFUNCTION("REGEXEXTRACT(E100, ""ک\s(\d{16})"")"),"6219861085979838")</f>
        <v>6219861085979838</v>
      </c>
      <c r="J100" s="25" t="s">
        <v>49</v>
      </c>
      <c r="K100" s="20" t="s">
        <v>306</v>
      </c>
      <c r="L100" s="26" t="s">
        <v>39</v>
      </c>
      <c r="M100" s="26" t="s">
        <v>40</v>
      </c>
      <c r="N100" s="27" t="s">
        <v>40</v>
      </c>
      <c r="O100" s="27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ht="25.5" customHeight="1">
      <c r="A101" s="19">
        <v>93.0</v>
      </c>
      <c r="B101" s="19" t="s">
        <v>283</v>
      </c>
      <c r="C101" s="20" t="s">
        <v>307</v>
      </c>
      <c r="D101" s="21" t="s">
        <v>52</v>
      </c>
      <c r="E101" s="21" t="s">
        <v>308</v>
      </c>
      <c r="F101" s="22">
        <v>0.0</v>
      </c>
      <c r="G101" s="23">
        <v>4.06582E7</v>
      </c>
      <c r="H101" s="24">
        <v>2.5238255E7</v>
      </c>
      <c r="I101" s="24" t="str">
        <f>IFERROR(__xludf.DUMMYFUNCTION("REGEXEXTRACT(E101, ""ک\s(\d{16})"")"),"6104338738476148")</f>
        <v>6104338738476148</v>
      </c>
      <c r="J101" s="25" t="s">
        <v>49</v>
      </c>
      <c r="K101" s="20" t="s">
        <v>309</v>
      </c>
      <c r="L101" s="26" t="s">
        <v>39</v>
      </c>
      <c r="M101" s="26" t="s">
        <v>40</v>
      </c>
      <c r="N101" s="27" t="s">
        <v>40</v>
      </c>
      <c r="O101" s="27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ht="25.5" customHeight="1">
      <c r="A102" s="19">
        <v>94.0</v>
      </c>
      <c r="B102" s="19" t="s">
        <v>283</v>
      </c>
      <c r="C102" s="20" t="s">
        <v>307</v>
      </c>
      <c r="D102" s="21" t="s">
        <v>52</v>
      </c>
      <c r="E102" s="21" t="s">
        <v>310</v>
      </c>
      <c r="F102" s="22">
        <v>0.0</v>
      </c>
      <c r="G102" s="23">
        <v>21800.0</v>
      </c>
      <c r="H102" s="24">
        <v>2.5216455E7</v>
      </c>
      <c r="I102" s="24" t="str">
        <f>IFERROR(__xludf.DUMMYFUNCTION("REGEXEXTRACT(E102, ""ک\s(\d{16})"")"),"6219861085979838")</f>
        <v>6219861085979838</v>
      </c>
      <c r="J102" s="25" t="s">
        <v>49</v>
      </c>
      <c r="K102" s="20" t="s">
        <v>309</v>
      </c>
      <c r="L102" s="26" t="s">
        <v>39</v>
      </c>
      <c r="M102" s="26" t="s">
        <v>40</v>
      </c>
      <c r="N102" s="27" t="s">
        <v>40</v>
      </c>
      <c r="O102" s="27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ht="25.5" customHeight="1">
      <c r="A103" s="19">
        <v>95.0</v>
      </c>
      <c r="B103" s="19" t="s">
        <v>283</v>
      </c>
      <c r="C103" s="20" t="s">
        <v>311</v>
      </c>
      <c r="D103" s="21" t="s">
        <v>47</v>
      </c>
      <c r="E103" s="21" t="s">
        <v>312</v>
      </c>
      <c r="F103" s="22">
        <v>0.0</v>
      </c>
      <c r="G103" s="23">
        <v>2.44E7</v>
      </c>
      <c r="H103" s="24">
        <v>816455.0</v>
      </c>
      <c r="I103" s="24" t="str">
        <f>IFERROR(__xludf.DUMMYFUNCTION("REGEXEXTRACT(E103, ""ک\s(\d{16})"")"),"6219861085979838")</f>
        <v>6219861085979838</v>
      </c>
      <c r="J103" s="25" t="s">
        <v>49</v>
      </c>
      <c r="K103" s="20" t="s">
        <v>313</v>
      </c>
      <c r="L103" s="26" t="s">
        <v>39</v>
      </c>
      <c r="M103" s="26" t="s">
        <v>40</v>
      </c>
      <c r="N103" s="27" t="s">
        <v>40</v>
      </c>
      <c r="O103" s="27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ht="25.5" customHeight="1">
      <c r="A104" s="19">
        <v>96.0</v>
      </c>
      <c r="B104" s="19" t="s">
        <v>314</v>
      </c>
      <c r="C104" s="20" t="s">
        <v>315</v>
      </c>
      <c r="D104" s="21" t="s">
        <v>35</v>
      </c>
      <c r="E104" s="21" t="s">
        <v>316</v>
      </c>
      <c r="F104" s="22">
        <v>9.9E7</v>
      </c>
      <c r="G104" s="23">
        <v>0.0</v>
      </c>
      <c r="H104" s="24">
        <v>9.9816455E7</v>
      </c>
      <c r="I104" s="24" t="str">
        <f>IFERROR(__xludf.DUMMYFUNCTION("REGEXEXTRACT(E104, ""ک\s(\d{16})"")"),"#N/A")</f>
        <v>#N/A</v>
      </c>
      <c r="J104" s="25" t="s">
        <v>37</v>
      </c>
      <c r="K104" s="20" t="s">
        <v>317</v>
      </c>
      <c r="L104" s="26" t="s">
        <v>39</v>
      </c>
      <c r="M104" s="26" t="s">
        <v>40</v>
      </c>
      <c r="N104" s="27" t="s">
        <v>40</v>
      </c>
      <c r="O104" s="27" t="s">
        <v>318</v>
      </c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ht="25.5" customHeight="1">
      <c r="A105" s="19">
        <v>97.0</v>
      </c>
      <c r="B105" s="19" t="s">
        <v>319</v>
      </c>
      <c r="C105" s="20" t="s">
        <v>320</v>
      </c>
      <c r="D105" s="21" t="s">
        <v>47</v>
      </c>
      <c r="E105" s="21" t="s">
        <v>321</v>
      </c>
      <c r="F105" s="22">
        <v>0.0</v>
      </c>
      <c r="G105" s="23">
        <v>1.6E7</v>
      </c>
      <c r="H105" s="24">
        <v>8.3816455E7</v>
      </c>
      <c r="I105" s="24" t="str">
        <f>IFERROR(__xludf.DUMMYFUNCTION("REGEXEXTRACT(E105, ""ک\s(\d{16})"")"),"6219861085979838")</f>
        <v>6219861085979838</v>
      </c>
      <c r="J105" s="25" t="s">
        <v>49</v>
      </c>
      <c r="K105" s="20" t="s">
        <v>322</v>
      </c>
      <c r="L105" s="26" t="s">
        <v>39</v>
      </c>
      <c r="M105" s="26" t="s">
        <v>40</v>
      </c>
      <c r="N105" s="27" t="s">
        <v>40</v>
      </c>
      <c r="O105" s="27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ht="25.5" customHeight="1">
      <c r="A106" s="19">
        <v>98.0</v>
      </c>
      <c r="B106" s="19" t="s">
        <v>319</v>
      </c>
      <c r="C106" s="20" t="s">
        <v>323</v>
      </c>
      <c r="D106" s="21" t="s">
        <v>65</v>
      </c>
      <c r="E106" s="21" t="s">
        <v>324</v>
      </c>
      <c r="F106" s="22">
        <v>0.0</v>
      </c>
      <c r="G106" s="23">
        <v>1800.0</v>
      </c>
      <c r="H106" s="24">
        <v>8.3814655E7</v>
      </c>
      <c r="I106" s="24" t="str">
        <f>IFERROR(__xludf.DUMMYFUNCTION("REGEXEXTRACT(E106, ""ک\s(\d{16})"")"),"6219861085979838")</f>
        <v>6219861085979838</v>
      </c>
      <c r="J106" s="25" t="s">
        <v>49</v>
      </c>
      <c r="K106" s="20" t="s">
        <v>325</v>
      </c>
      <c r="L106" s="26" t="s">
        <v>39</v>
      </c>
      <c r="M106" s="26" t="s">
        <v>40</v>
      </c>
      <c r="N106" s="27" t="s">
        <v>40</v>
      </c>
      <c r="O106" s="27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ht="25.5" customHeight="1">
      <c r="A107" s="19">
        <v>99.0</v>
      </c>
      <c r="B107" s="19" t="s">
        <v>319</v>
      </c>
      <c r="C107" s="20" t="s">
        <v>326</v>
      </c>
      <c r="D107" s="21" t="s">
        <v>52</v>
      </c>
      <c r="E107" s="21" t="s">
        <v>327</v>
      </c>
      <c r="F107" s="22">
        <v>0.0</v>
      </c>
      <c r="G107" s="23">
        <v>1.65E7</v>
      </c>
      <c r="H107" s="24">
        <v>6.7314655E7</v>
      </c>
      <c r="I107" s="24" t="str">
        <f>IFERROR(__xludf.DUMMYFUNCTION("REGEXEXTRACT(E107, ""ک\s(\d{16})"")"),"6037701642636788")</f>
        <v>6037701642636788</v>
      </c>
      <c r="J107" s="25" t="s">
        <v>49</v>
      </c>
      <c r="K107" s="20" t="s">
        <v>328</v>
      </c>
      <c r="L107" s="26" t="s">
        <v>39</v>
      </c>
      <c r="M107" s="26" t="s">
        <v>40</v>
      </c>
      <c r="N107" s="27" t="s">
        <v>40</v>
      </c>
      <c r="O107" s="27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ht="25.5" customHeight="1">
      <c r="A108" s="19">
        <v>100.0</v>
      </c>
      <c r="B108" s="19" t="s">
        <v>319</v>
      </c>
      <c r="C108" s="20" t="s">
        <v>326</v>
      </c>
      <c r="D108" s="21" t="s">
        <v>52</v>
      </c>
      <c r="E108" s="21" t="s">
        <v>329</v>
      </c>
      <c r="F108" s="22">
        <v>0.0</v>
      </c>
      <c r="G108" s="23">
        <v>12200.0</v>
      </c>
      <c r="H108" s="24">
        <v>6.7302455E7</v>
      </c>
      <c r="I108" s="24" t="str">
        <f>IFERROR(__xludf.DUMMYFUNCTION("REGEXEXTRACT(E108, ""ک\s(\d{16})"")"),"6219861085979838")</f>
        <v>6219861085979838</v>
      </c>
      <c r="J108" s="25" t="s">
        <v>49</v>
      </c>
      <c r="K108" s="20" t="s">
        <v>328</v>
      </c>
      <c r="L108" s="26" t="s">
        <v>39</v>
      </c>
      <c r="M108" s="26" t="s">
        <v>40</v>
      </c>
      <c r="N108" s="27" t="s">
        <v>40</v>
      </c>
      <c r="O108" s="27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ht="25.5" customHeight="1">
      <c r="A109" s="19">
        <v>101.0</v>
      </c>
      <c r="B109" s="19" t="s">
        <v>319</v>
      </c>
      <c r="C109" s="20" t="s">
        <v>330</v>
      </c>
      <c r="D109" s="21" t="s">
        <v>65</v>
      </c>
      <c r="E109" s="21" t="s">
        <v>331</v>
      </c>
      <c r="F109" s="22">
        <v>0.0</v>
      </c>
      <c r="G109" s="23">
        <v>1800.0</v>
      </c>
      <c r="H109" s="24">
        <v>6.7300655E7</v>
      </c>
      <c r="I109" s="24" t="str">
        <f>IFERROR(__xludf.DUMMYFUNCTION("REGEXEXTRACT(E109, ""ک\s(\d{16})"")"),"6219861085979838")</f>
        <v>6219861085979838</v>
      </c>
      <c r="J109" s="25" t="s">
        <v>49</v>
      </c>
      <c r="K109" s="20" t="s">
        <v>332</v>
      </c>
      <c r="L109" s="26" t="s">
        <v>39</v>
      </c>
      <c r="M109" s="26" t="s">
        <v>40</v>
      </c>
      <c r="N109" s="27" t="s">
        <v>40</v>
      </c>
      <c r="O109" s="27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ht="25.5" customHeight="1">
      <c r="A110" s="19">
        <v>102.0</v>
      </c>
      <c r="B110" s="19" t="s">
        <v>333</v>
      </c>
      <c r="C110" s="20" t="s">
        <v>334</v>
      </c>
      <c r="D110" s="21" t="s">
        <v>35</v>
      </c>
      <c r="E110" s="21" t="s">
        <v>335</v>
      </c>
      <c r="F110" s="22">
        <v>4.8E7</v>
      </c>
      <c r="G110" s="23">
        <v>0.0</v>
      </c>
      <c r="H110" s="24">
        <v>1.15300655E8</v>
      </c>
      <c r="I110" s="24" t="str">
        <f>IFERROR(__xludf.DUMMYFUNCTION("REGEXEXTRACT(E110, ""ک\s(\d{16})"")"),"#N/A")</f>
        <v>#N/A</v>
      </c>
      <c r="J110" s="25" t="s">
        <v>37</v>
      </c>
      <c r="K110" s="20" t="s">
        <v>336</v>
      </c>
      <c r="L110" s="26" t="s">
        <v>39</v>
      </c>
      <c r="M110" s="26" t="s">
        <v>40</v>
      </c>
      <c r="N110" s="27" t="s">
        <v>40</v>
      </c>
      <c r="O110" s="27" t="s">
        <v>337</v>
      </c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ht="25.5" customHeight="1">
      <c r="A111" s="19">
        <v>103.0</v>
      </c>
      <c r="B111" s="19" t="s">
        <v>333</v>
      </c>
      <c r="C111" s="20" t="s">
        <v>338</v>
      </c>
      <c r="D111" s="21" t="s">
        <v>35</v>
      </c>
      <c r="E111" s="21" t="s">
        <v>339</v>
      </c>
      <c r="F111" s="22">
        <v>4.6E7</v>
      </c>
      <c r="G111" s="23">
        <v>0.0</v>
      </c>
      <c r="H111" s="24">
        <v>1.61300655E8</v>
      </c>
      <c r="I111" s="24" t="str">
        <f>IFERROR(__xludf.DUMMYFUNCTION("REGEXEXTRACT(E111, ""ک\s(\d{16})"")"),"#N/A")</f>
        <v>#N/A</v>
      </c>
      <c r="J111" s="25" t="s">
        <v>37</v>
      </c>
      <c r="K111" s="20" t="s">
        <v>340</v>
      </c>
      <c r="L111" s="26" t="s">
        <v>39</v>
      </c>
      <c r="M111" s="26" t="s">
        <v>40</v>
      </c>
      <c r="N111" s="27" t="s">
        <v>40</v>
      </c>
      <c r="O111" s="27" t="s">
        <v>341</v>
      </c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ht="25.5" customHeight="1">
      <c r="A112" s="19">
        <v>104.0</v>
      </c>
      <c r="B112" s="19" t="s">
        <v>333</v>
      </c>
      <c r="C112" s="20" t="s">
        <v>342</v>
      </c>
      <c r="D112" s="21" t="s">
        <v>35</v>
      </c>
      <c r="E112" s="21" t="s">
        <v>343</v>
      </c>
      <c r="F112" s="22">
        <v>0.0</v>
      </c>
      <c r="G112" s="23">
        <v>1.05E8</v>
      </c>
      <c r="H112" s="24">
        <v>5.6300655E7</v>
      </c>
      <c r="I112" s="24" t="str">
        <f>IFERROR(__xludf.DUMMYFUNCTION("REGEXEXTRACT(E112, ""ک\s(\d{16})"")"),"#N/A")</f>
        <v>#N/A</v>
      </c>
      <c r="J112" s="25" t="s">
        <v>37</v>
      </c>
      <c r="K112" s="20" t="s">
        <v>344</v>
      </c>
      <c r="L112" s="26" t="s">
        <v>39</v>
      </c>
      <c r="M112" s="26" t="s">
        <v>40</v>
      </c>
      <c r="N112" s="27" t="s">
        <v>40</v>
      </c>
      <c r="O112" s="27" t="s">
        <v>345</v>
      </c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ht="25.5" customHeight="1">
      <c r="A113" s="19">
        <v>105.0</v>
      </c>
      <c r="B113" s="19" t="s">
        <v>333</v>
      </c>
      <c r="C113" s="20" t="s">
        <v>346</v>
      </c>
      <c r="D113" s="21" t="s">
        <v>52</v>
      </c>
      <c r="E113" s="21" t="s">
        <v>347</v>
      </c>
      <c r="F113" s="22">
        <v>0.0</v>
      </c>
      <c r="G113" s="23">
        <v>1.65E7</v>
      </c>
      <c r="H113" s="24">
        <v>3.9800655E7</v>
      </c>
      <c r="I113" s="24" t="str">
        <f>IFERROR(__xludf.DUMMYFUNCTION("REGEXEXTRACT(E113, ""ک\s(\d{16})"")"),"6037697600840968")</f>
        <v>6037697600840968</v>
      </c>
      <c r="J113" s="25" t="s">
        <v>49</v>
      </c>
      <c r="K113" s="20" t="s">
        <v>348</v>
      </c>
      <c r="L113" s="26" t="s">
        <v>39</v>
      </c>
      <c r="M113" s="26" t="s">
        <v>40</v>
      </c>
      <c r="N113" s="27" t="s">
        <v>40</v>
      </c>
      <c r="O113" s="27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ht="25.5" customHeight="1">
      <c r="A114" s="19">
        <v>106.0</v>
      </c>
      <c r="B114" s="19" t="s">
        <v>333</v>
      </c>
      <c r="C114" s="20" t="s">
        <v>346</v>
      </c>
      <c r="D114" s="21" t="s">
        <v>52</v>
      </c>
      <c r="E114" s="21" t="s">
        <v>349</v>
      </c>
      <c r="F114" s="22">
        <v>0.0</v>
      </c>
      <c r="G114" s="23">
        <v>12200.0</v>
      </c>
      <c r="H114" s="24">
        <v>3.9788455E7</v>
      </c>
      <c r="I114" s="24" t="str">
        <f>IFERROR(__xludf.DUMMYFUNCTION("REGEXEXTRACT(E114, ""ک\s(\d{16})"")"),"6219861085979838")</f>
        <v>6219861085979838</v>
      </c>
      <c r="J114" s="25" t="s">
        <v>49</v>
      </c>
      <c r="K114" s="20" t="s">
        <v>348</v>
      </c>
      <c r="L114" s="26" t="s">
        <v>39</v>
      </c>
      <c r="M114" s="26" t="s">
        <v>40</v>
      </c>
      <c r="N114" s="27" t="s">
        <v>40</v>
      </c>
      <c r="O114" s="27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ht="25.5" customHeight="1">
      <c r="A115" s="19">
        <v>107.0</v>
      </c>
      <c r="B115" s="19" t="s">
        <v>333</v>
      </c>
      <c r="C115" s="20" t="s">
        <v>350</v>
      </c>
      <c r="D115" s="21" t="s">
        <v>65</v>
      </c>
      <c r="E115" s="21" t="s">
        <v>351</v>
      </c>
      <c r="F115" s="22">
        <v>0.0</v>
      </c>
      <c r="G115" s="23">
        <v>1800.0</v>
      </c>
      <c r="H115" s="24">
        <v>3.9786655E7</v>
      </c>
      <c r="I115" s="24" t="str">
        <f>IFERROR(__xludf.DUMMYFUNCTION("REGEXEXTRACT(E115, ""ک\s(\d{16})"")"),"6219861085979838")</f>
        <v>6219861085979838</v>
      </c>
      <c r="J115" s="25" t="s">
        <v>49</v>
      </c>
      <c r="K115" s="20" t="s">
        <v>352</v>
      </c>
      <c r="L115" s="26" t="s">
        <v>39</v>
      </c>
      <c r="M115" s="26" t="s">
        <v>40</v>
      </c>
      <c r="N115" s="27" t="s">
        <v>40</v>
      </c>
      <c r="O115" s="27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ht="25.5" customHeight="1">
      <c r="A116" s="19">
        <v>108.0</v>
      </c>
      <c r="B116" s="19" t="s">
        <v>333</v>
      </c>
      <c r="C116" s="20" t="s">
        <v>353</v>
      </c>
      <c r="D116" s="21" t="s">
        <v>52</v>
      </c>
      <c r="E116" s="21" t="s">
        <v>354</v>
      </c>
      <c r="F116" s="22">
        <v>500000.0</v>
      </c>
      <c r="G116" s="23">
        <v>0.0</v>
      </c>
      <c r="H116" s="24">
        <v>4.0286655E7</v>
      </c>
      <c r="I116" s="24" t="str">
        <f>IFERROR(__xludf.DUMMYFUNCTION("REGEXEXTRACT(E116, ""ک\s(\d{16})"")"),"6037697681149024")</f>
        <v>6037697681149024</v>
      </c>
      <c r="J116" s="25" t="s">
        <v>49</v>
      </c>
      <c r="K116" s="20" t="s">
        <v>355</v>
      </c>
      <c r="L116" s="26" t="s">
        <v>39</v>
      </c>
      <c r="M116" s="26" t="s">
        <v>40</v>
      </c>
      <c r="N116" s="27" t="s">
        <v>40</v>
      </c>
      <c r="O116" s="27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ht="25.5" customHeight="1">
      <c r="A117" s="19">
        <v>109.0</v>
      </c>
      <c r="B117" s="19" t="s">
        <v>333</v>
      </c>
      <c r="C117" s="20" t="s">
        <v>356</v>
      </c>
      <c r="D117" s="21" t="s">
        <v>52</v>
      </c>
      <c r="E117" s="21" t="s">
        <v>357</v>
      </c>
      <c r="F117" s="22">
        <v>0.0</v>
      </c>
      <c r="G117" s="23">
        <v>2.835E7</v>
      </c>
      <c r="H117" s="24">
        <v>1.1936655E7</v>
      </c>
      <c r="I117" s="24" t="str">
        <f>IFERROR(__xludf.DUMMYFUNCTION("REGEXEXTRACT(E117, ""ک\s(\d{16})"")"),"6274121208660688")</f>
        <v>6274121208660688</v>
      </c>
      <c r="J117" s="25" t="s">
        <v>49</v>
      </c>
      <c r="K117" s="20" t="s">
        <v>358</v>
      </c>
      <c r="L117" s="26" t="s">
        <v>39</v>
      </c>
      <c r="M117" s="26" t="s">
        <v>40</v>
      </c>
      <c r="N117" s="27" t="s">
        <v>40</v>
      </c>
      <c r="O117" s="27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ht="25.5" customHeight="1">
      <c r="A118" s="19">
        <v>110.0</v>
      </c>
      <c r="B118" s="19" t="s">
        <v>333</v>
      </c>
      <c r="C118" s="20" t="s">
        <v>356</v>
      </c>
      <c r="D118" s="21" t="s">
        <v>52</v>
      </c>
      <c r="E118" s="21" t="s">
        <v>359</v>
      </c>
      <c r="F118" s="22">
        <v>0.0</v>
      </c>
      <c r="G118" s="23">
        <v>15400.0</v>
      </c>
      <c r="H118" s="24">
        <v>1.1921255E7</v>
      </c>
      <c r="I118" s="24" t="str">
        <f>IFERROR(__xludf.DUMMYFUNCTION("REGEXEXTRACT(E118, ""ک\s(\d{16})"")"),"6219861085979838")</f>
        <v>6219861085979838</v>
      </c>
      <c r="J118" s="25" t="s">
        <v>49</v>
      </c>
      <c r="K118" s="20" t="s">
        <v>358</v>
      </c>
      <c r="L118" s="26" t="s">
        <v>39</v>
      </c>
      <c r="M118" s="26" t="s">
        <v>40</v>
      </c>
      <c r="N118" s="27" t="s">
        <v>40</v>
      </c>
      <c r="O118" s="27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ht="25.5" customHeight="1">
      <c r="A119" s="19">
        <v>111.0</v>
      </c>
      <c r="B119" s="19" t="s">
        <v>360</v>
      </c>
      <c r="C119" s="20" t="s">
        <v>361</v>
      </c>
      <c r="D119" s="21" t="s">
        <v>35</v>
      </c>
      <c r="E119" s="21" t="s">
        <v>362</v>
      </c>
      <c r="F119" s="22">
        <v>5.25E7</v>
      </c>
      <c r="G119" s="23">
        <v>0.0</v>
      </c>
      <c r="H119" s="24">
        <v>6.4421255E7</v>
      </c>
      <c r="I119" s="24" t="str">
        <f>IFERROR(__xludf.DUMMYFUNCTION("REGEXEXTRACT(E119, ""ک\s(\d{16})"")"),"#N/A")</f>
        <v>#N/A</v>
      </c>
      <c r="J119" s="25" t="s">
        <v>37</v>
      </c>
      <c r="K119" s="20" t="s">
        <v>363</v>
      </c>
      <c r="L119" s="26" t="s">
        <v>39</v>
      </c>
      <c r="M119" s="26" t="s">
        <v>40</v>
      </c>
      <c r="N119" s="27" t="s">
        <v>40</v>
      </c>
      <c r="O119" s="27" t="s">
        <v>364</v>
      </c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ht="25.5" customHeight="1">
      <c r="A120" s="19">
        <v>112.0</v>
      </c>
      <c r="B120" s="19" t="s">
        <v>360</v>
      </c>
      <c r="C120" s="20" t="s">
        <v>365</v>
      </c>
      <c r="D120" s="21" t="s">
        <v>65</v>
      </c>
      <c r="E120" s="21" t="s">
        <v>366</v>
      </c>
      <c r="F120" s="22">
        <v>0.0</v>
      </c>
      <c r="G120" s="23">
        <v>1800.0</v>
      </c>
      <c r="H120" s="24">
        <v>6.4419455E7</v>
      </c>
      <c r="I120" s="24" t="str">
        <f>IFERROR(__xludf.DUMMYFUNCTION("REGEXEXTRACT(E120, ""ک\s(\d{16})"")"),"6219861085979838")</f>
        <v>6219861085979838</v>
      </c>
      <c r="J120" s="25" t="s">
        <v>49</v>
      </c>
      <c r="K120" s="20" t="s">
        <v>367</v>
      </c>
      <c r="L120" s="26" t="s">
        <v>39</v>
      </c>
      <c r="M120" s="26" t="s">
        <v>40</v>
      </c>
      <c r="N120" s="27" t="s">
        <v>40</v>
      </c>
      <c r="O120" s="27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ht="25.5" customHeight="1">
      <c r="A121" s="19">
        <v>113.0</v>
      </c>
      <c r="B121" s="19" t="s">
        <v>360</v>
      </c>
      <c r="C121" s="20" t="s">
        <v>368</v>
      </c>
      <c r="D121" s="21" t="s">
        <v>52</v>
      </c>
      <c r="E121" s="21" t="s">
        <v>369</v>
      </c>
      <c r="F121" s="22">
        <v>0.0</v>
      </c>
      <c r="G121" s="23">
        <v>4.557E7</v>
      </c>
      <c r="H121" s="24">
        <v>1.8849455E7</v>
      </c>
      <c r="I121" s="24" t="str">
        <f>IFERROR(__xludf.DUMMYFUNCTION("REGEXEXTRACT(E121, ""ک\s(\d{16})"")"),"6274121208660688")</f>
        <v>6274121208660688</v>
      </c>
      <c r="J121" s="25" t="s">
        <v>49</v>
      </c>
      <c r="K121" s="20" t="s">
        <v>370</v>
      </c>
      <c r="L121" s="26" t="s">
        <v>39</v>
      </c>
      <c r="M121" s="26" t="s">
        <v>40</v>
      </c>
      <c r="N121" s="27" t="s">
        <v>40</v>
      </c>
      <c r="O121" s="27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ht="25.5" customHeight="1">
      <c r="A122" s="19">
        <v>114.0</v>
      </c>
      <c r="B122" s="19" t="s">
        <v>360</v>
      </c>
      <c r="C122" s="20" t="s">
        <v>368</v>
      </c>
      <c r="D122" s="21" t="s">
        <v>52</v>
      </c>
      <c r="E122" s="21" t="s">
        <v>371</v>
      </c>
      <c r="F122" s="22">
        <v>0.0</v>
      </c>
      <c r="G122" s="23">
        <v>21800.0</v>
      </c>
      <c r="H122" s="24">
        <v>1.8827655E7</v>
      </c>
      <c r="I122" s="24" t="str">
        <f>IFERROR(__xludf.DUMMYFUNCTION("REGEXEXTRACT(E122, ""ک\s(\d{16})"")"),"6219861085979838")</f>
        <v>6219861085979838</v>
      </c>
      <c r="J122" s="25" t="s">
        <v>49</v>
      </c>
      <c r="K122" s="20" t="s">
        <v>370</v>
      </c>
      <c r="L122" s="26" t="s">
        <v>39</v>
      </c>
      <c r="M122" s="26" t="s">
        <v>40</v>
      </c>
      <c r="N122" s="27" t="s">
        <v>40</v>
      </c>
      <c r="O122" s="27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ht="25.5" customHeight="1">
      <c r="A123" s="19">
        <v>115.0</v>
      </c>
      <c r="B123" s="19" t="s">
        <v>360</v>
      </c>
      <c r="C123" s="20" t="s">
        <v>372</v>
      </c>
      <c r="D123" s="21" t="s">
        <v>52</v>
      </c>
      <c r="E123" s="21" t="s">
        <v>373</v>
      </c>
      <c r="F123" s="22">
        <v>0.0</v>
      </c>
      <c r="G123" s="23">
        <v>1.718E7</v>
      </c>
      <c r="H123" s="24">
        <v>1647655.0</v>
      </c>
      <c r="I123" s="24" t="str">
        <f>IFERROR(__xludf.DUMMYFUNCTION("REGEXEXTRACT(E123, ""ک\s(\d{16})"")"),"5894631178646402")</f>
        <v>5894631178646402</v>
      </c>
      <c r="J123" s="25" t="s">
        <v>49</v>
      </c>
      <c r="K123" s="20" t="s">
        <v>374</v>
      </c>
      <c r="L123" s="26" t="s">
        <v>39</v>
      </c>
      <c r="M123" s="26" t="s">
        <v>40</v>
      </c>
      <c r="N123" s="27" t="s">
        <v>40</v>
      </c>
      <c r="O123" s="27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ht="25.5" customHeight="1">
      <c r="A124" s="19">
        <v>116.0</v>
      </c>
      <c r="B124" s="19" t="s">
        <v>360</v>
      </c>
      <c r="C124" s="20" t="s">
        <v>372</v>
      </c>
      <c r="D124" s="21" t="s">
        <v>52</v>
      </c>
      <c r="E124" s="21" t="s">
        <v>375</v>
      </c>
      <c r="F124" s="22">
        <v>0.0</v>
      </c>
      <c r="G124" s="23">
        <v>12200.0</v>
      </c>
      <c r="H124" s="24">
        <v>1635455.0</v>
      </c>
      <c r="I124" s="24" t="str">
        <f>IFERROR(__xludf.DUMMYFUNCTION("REGEXEXTRACT(E124, ""ک\s(\d{16})"")"),"6219861085979838")</f>
        <v>6219861085979838</v>
      </c>
      <c r="J124" s="25" t="s">
        <v>49</v>
      </c>
      <c r="K124" s="20" t="s">
        <v>374</v>
      </c>
      <c r="L124" s="26" t="s">
        <v>39</v>
      </c>
      <c r="M124" s="26" t="s">
        <v>40</v>
      </c>
      <c r="N124" s="27" t="s">
        <v>40</v>
      </c>
      <c r="O124" s="27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ht="25.5" customHeight="1">
      <c r="A125" s="19">
        <v>117.0</v>
      </c>
      <c r="B125" s="19" t="s">
        <v>360</v>
      </c>
      <c r="C125" s="20" t="s">
        <v>376</v>
      </c>
      <c r="D125" s="21" t="s">
        <v>65</v>
      </c>
      <c r="E125" s="21" t="s">
        <v>377</v>
      </c>
      <c r="F125" s="22">
        <v>0.0</v>
      </c>
      <c r="G125" s="23">
        <v>1800.0</v>
      </c>
      <c r="H125" s="24">
        <v>1633655.0</v>
      </c>
      <c r="I125" s="24" t="str">
        <f>IFERROR(__xludf.DUMMYFUNCTION("REGEXEXTRACT(E125, ""ک\s(\d{16})"")"),"6219861085979838")</f>
        <v>6219861085979838</v>
      </c>
      <c r="J125" s="25" t="s">
        <v>49</v>
      </c>
      <c r="K125" s="20" t="s">
        <v>378</v>
      </c>
      <c r="L125" s="26" t="s">
        <v>39</v>
      </c>
      <c r="M125" s="26" t="s">
        <v>40</v>
      </c>
      <c r="N125" s="27" t="s">
        <v>40</v>
      </c>
      <c r="O125" s="27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ht="25.5" customHeight="1">
      <c r="A126" s="19">
        <v>118.0</v>
      </c>
      <c r="B126" s="19" t="s">
        <v>360</v>
      </c>
      <c r="C126" s="20" t="s">
        <v>379</v>
      </c>
      <c r="D126" s="21" t="s">
        <v>52</v>
      </c>
      <c r="E126" s="21" t="s">
        <v>380</v>
      </c>
      <c r="F126" s="22">
        <v>1900000.0</v>
      </c>
      <c r="G126" s="23">
        <v>0.0</v>
      </c>
      <c r="H126" s="24">
        <v>3533655.0</v>
      </c>
      <c r="I126" s="24" t="str">
        <f>IFERROR(__xludf.DUMMYFUNCTION("REGEXEXTRACT(E126, ""ک\s(\d{16})"")"),"5859831809511503")</f>
        <v>5859831809511503</v>
      </c>
      <c r="J126" s="25" t="s">
        <v>49</v>
      </c>
      <c r="K126" s="20" t="s">
        <v>381</v>
      </c>
      <c r="L126" s="26" t="s">
        <v>39</v>
      </c>
      <c r="M126" s="26" t="s">
        <v>40</v>
      </c>
      <c r="N126" s="27" t="s">
        <v>40</v>
      </c>
      <c r="O126" s="27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ht="25.5" customHeight="1">
      <c r="A127" s="19">
        <v>119.0</v>
      </c>
      <c r="B127" s="19" t="s">
        <v>360</v>
      </c>
      <c r="C127" s="20" t="s">
        <v>382</v>
      </c>
      <c r="D127" s="21" t="s">
        <v>52</v>
      </c>
      <c r="E127" s="21" t="s">
        <v>383</v>
      </c>
      <c r="F127" s="22">
        <v>1800000.0</v>
      </c>
      <c r="G127" s="23">
        <v>0.0</v>
      </c>
      <c r="H127" s="24">
        <v>5333655.0</v>
      </c>
      <c r="I127" s="24" t="str">
        <f>IFERROR(__xludf.DUMMYFUNCTION("REGEXEXTRACT(E127, ""ک\s(\d{16})"")"),"6037991543784585")</f>
        <v>6037991543784585</v>
      </c>
      <c r="J127" s="25" t="s">
        <v>49</v>
      </c>
      <c r="K127" s="20" t="s">
        <v>384</v>
      </c>
      <c r="L127" s="26" t="s">
        <v>39</v>
      </c>
      <c r="M127" s="26" t="s">
        <v>40</v>
      </c>
      <c r="N127" s="27" t="s">
        <v>40</v>
      </c>
      <c r="O127" s="27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ht="25.5" customHeight="1">
      <c r="A128" s="19">
        <v>120.0</v>
      </c>
      <c r="B128" s="19" t="s">
        <v>385</v>
      </c>
      <c r="C128" s="20" t="s">
        <v>386</v>
      </c>
      <c r="D128" s="21" t="s">
        <v>35</v>
      </c>
      <c r="E128" s="21" t="s">
        <v>387</v>
      </c>
      <c r="F128" s="22">
        <v>8.1E7</v>
      </c>
      <c r="G128" s="23">
        <v>0.0</v>
      </c>
      <c r="H128" s="24">
        <v>8.6333655E7</v>
      </c>
      <c r="I128" s="24" t="str">
        <f>IFERROR(__xludf.DUMMYFUNCTION("REGEXEXTRACT(E128, ""ک\s(\d{16})"")"),"#N/A")</f>
        <v>#N/A</v>
      </c>
      <c r="J128" s="25" t="s">
        <v>37</v>
      </c>
      <c r="K128" s="20" t="s">
        <v>388</v>
      </c>
      <c r="L128" s="26" t="s">
        <v>39</v>
      </c>
      <c r="M128" s="26" t="s">
        <v>40</v>
      </c>
      <c r="N128" s="27" t="s">
        <v>40</v>
      </c>
      <c r="O128" s="27" t="s">
        <v>389</v>
      </c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ht="25.5" customHeight="1">
      <c r="A129" s="19">
        <v>121.0</v>
      </c>
      <c r="B129" s="19" t="s">
        <v>385</v>
      </c>
      <c r="C129" s="20" t="s">
        <v>390</v>
      </c>
      <c r="D129" s="21" t="s">
        <v>52</v>
      </c>
      <c r="E129" s="21" t="s">
        <v>391</v>
      </c>
      <c r="F129" s="22">
        <v>0.0</v>
      </c>
      <c r="G129" s="23">
        <v>1.71E7</v>
      </c>
      <c r="H129" s="24">
        <v>6.9233655E7</v>
      </c>
      <c r="I129" s="24" t="str">
        <f>IFERROR(__xludf.DUMMYFUNCTION("REGEXEXTRACT(E129, ""ک\s(\d{16})"")"),"6037701642636788")</f>
        <v>6037701642636788</v>
      </c>
      <c r="J129" s="25" t="s">
        <v>49</v>
      </c>
      <c r="K129" s="20" t="s">
        <v>392</v>
      </c>
      <c r="L129" s="26" t="s">
        <v>39</v>
      </c>
      <c r="M129" s="26" t="s">
        <v>40</v>
      </c>
      <c r="N129" s="27" t="s">
        <v>40</v>
      </c>
      <c r="O129" s="27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ht="25.5" customHeight="1">
      <c r="A130" s="19">
        <v>122.0</v>
      </c>
      <c r="B130" s="19" t="s">
        <v>385</v>
      </c>
      <c r="C130" s="20" t="s">
        <v>390</v>
      </c>
      <c r="D130" s="21" t="s">
        <v>52</v>
      </c>
      <c r="E130" s="21" t="s">
        <v>393</v>
      </c>
      <c r="F130" s="22">
        <v>0.0</v>
      </c>
      <c r="G130" s="23">
        <v>12200.0</v>
      </c>
      <c r="H130" s="24">
        <v>6.9221455E7</v>
      </c>
      <c r="I130" s="24" t="str">
        <f>IFERROR(__xludf.DUMMYFUNCTION("REGEXEXTRACT(E130, ""ک\s(\d{16})"")"),"6219861085979838")</f>
        <v>6219861085979838</v>
      </c>
      <c r="J130" s="25" t="s">
        <v>49</v>
      </c>
      <c r="K130" s="20" t="s">
        <v>392</v>
      </c>
      <c r="L130" s="26" t="s">
        <v>39</v>
      </c>
      <c r="M130" s="26" t="s">
        <v>40</v>
      </c>
      <c r="N130" s="27" t="s">
        <v>40</v>
      </c>
      <c r="O130" s="27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ht="25.5" customHeight="1">
      <c r="A131" s="19">
        <v>123.0</v>
      </c>
      <c r="B131" s="19" t="s">
        <v>385</v>
      </c>
      <c r="C131" s="20" t="s">
        <v>394</v>
      </c>
      <c r="D131" s="21" t="s">
        <v>47</v>
      </c>
      <c r="E131" s="21" t="s">
        <v>395</v>
      </c>
      <c r="F131" s="22">
        <v>0.0</v>
      </c>
      <c r="G131" s="23">
        <v>1.47E7</v>
      </c>
      <c r="H131" s="24">
        <v>5.4521455E7</v>
      </c>
      <c r="I131" s="24" t="str">
        <f>IFERROR(__xludf.DUMMYFUNCTION("REGEXEXTRACT(E131, ""ک\s(\d{16})"")"),"6219861085979838")</f>
        <v>6219861085979838</v>
      </c>
      <c r="J131" s="25" t="s">
        <v>49</v>
      </c>
      <c r="K131" s="20" t="s">
        <v>396</v>
      </c>
      <c r="L131" s="26" t="s">
        <v>39</v>
      </c>
      <c r="M131" s="26" t="s">
        <v>40</v>
      </c>
      <c r="N131" s="27" t="s">
        <v>40</v>
      </c>
      <c r="O131" s="27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ht="25.5" customHeight="1">
      <c r="A132" s="19">
        <v>124.0</v>
      </c>
      <c r="B132" s="19" t="s">
        <v>385</v>
      </c>
      <c r="C132" s="20" t="s">
        <v>397</v>
      </c>
      <c r="D132" s="21" t="s">
        <v>65</v>
      </c>
      <c r="E132" s="21" t="s">
        <v>398</v>
      </c>
      <c r="F132" s="22">
        <v>0.0</v>
      </c>
      <c r="G132" s="23">
        <v>1800.0</v>
      </c>
      <c r="H132" s="24">
        <v>5.4519655E7</v>
      </c>
      <c r="I132" s="24" t="str">
        <f>IFERROR(__xludf.DUMMYFUNCTION("REGEXEXTRACT(E132, ""ک\s(\d{16})"")"),"6219861085979838")</f>
        <v>6219861085979838</v>
      </c>
      <c r="J132" s="25" t="s">
        <v>49</v>
      </c>
      <c r="K132" s="20" t="s">
        <v>399</v>
      </c>
      <c r="L132" s="26" t="s">
        <v>39</v>
      </c>
      <c r="M132" s="26" t="s">
        <v>40</v>
      </c>
      <c r="N132" s="27" t="s">
        <v>40</v>
      </c>
      <c r="O132" s="27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ht="25.5" customHeight="1">
      <c r="A133" s="19">
        <v>125.0</v>
      </c>
      <c r="B133" s="19" t="s">
        <v>385</v>
      </c>
      <c r="C133" s="20" t="s">
        <v>400</v>
      </c>
      <c r="D133" s="21" t="s">
        <v>65</v>
      </c>
      <c r="E133" s="21" t="s">
        <v>401</v>
      </c>
      <c r="F133" s="22">
        <v>0.0</v>
      </c>
      <c r="G133" s="23">
        <v>1800.0</v>
      </c>
      <c r="H133" s="24">
        <v>5.4517855E7</v>
      </c>
      <c r="I133" s="24" t="str">
        <f>IFERROR(__xludf.DUMMYFUNCTION("REGEXEXTRACT(E133, ""ک\s(\d{16})"")"),"6219861085979838")</f>
        <v>6219861085979838</v>
      </c>
      <c r="J133" s="25" t="s">
        <v>49</v>
      </c>
      <c r="K133" s="20" t="s">
        <v>402</v>
      </c>
      <c r="L133" s="26" t="s">
        <v>39</v>
      </c>
      <c r="M133" s="26" t="s">
        <v>40</v>
      </c>
      <c r="N133" s="27" t="s">
        <v>40</v>
      </c>
      <c r="O133" s="27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ht="25.5" customHeight="1">
      <c r="A134" s="19">
        <v>126.0</v>
      </c>
      <c r="B134" s="19" t="s">
        <v>385</v>
      </c>
      <c r="C134" s="20" t="s">
        <v>403</v>
      </c>
      <c r="D134" s="21" t="s">
        <v>47</v>
      </c>
      <c r="E134" s="21" t="s">
        <v>404</v>
      </c>
      <c r="F134" s="22">
        <v>0.0</v>
      </c>
      <c r="G134" s="23">
        <v>1.68E7</v>
      </c>
      <c r="H134" s="24">
        <v>3.7717855E7</v>
      </c>
      <c r="I134" s="24" t="str">
        <f>IFERROR(__xludf.DUMMYFUNCTION("REGEXEXTRACT(E134, ""ک\s(\d{16})"")"),"6219861085979838")</f>
        <v>6219861085979838</v>
      </c>
      <c r="J134" s="25" t="s">
        <v>49</v>
      </c>
      <c r="K134" s="20" t="s">
        <v>405</v>
      </c>
      <c r="L134" s="26" t="s">
        <v>39</v>
      </c>
      <c r="M134" s="26" t="s">
        <v>40</v>
      </c>
      <c r="N134" s="27" t="s">
        <v>40</v>
      </c>
      <c r="O134" s="27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ht="25.5" customHeight="1">
      <c r="A135" s="19">
        <v>127.0</v>
      </c>
      <c r="B135" s="19" t="s">
        <v>385</v>
      </c>
      <c r="C135" s="20" t="s">
        <v>406</v>
      </c>
      <c r="D135" s="21" t="s">
        <v>52</v>
      </c>
      <c r="E135" s="21" t="s">
        <v>407</v>
      </c>
      <c r="F135" s="22">
        <v>0.0</v>
      </c>
      <c r="G135" s="23">
        <v>2.196E7</v>
      </c>
      <c r="H135" s="24">
        <v>1.5757855E7</v>
      </c>
      <c r="I135" s="24" t="str">
        <f>IFERROR(__xludf.DUMMYFUNCTION("REGEXEXTRACT(E135, ""ک\s(\d{16})"")"),"6104338738476148")</f>
        <v>6104338738476148</v>
      </c>
      <c r="J135" s="25" t="s">
        <v>49</v>
      </c>
      <c r="K135" s="20" t="s">
        <v>408</v>
      </c>
      <c r="L135" s="26" t="s">
        <v>39</v>
      </c>
      <c r="M135" s="26" t="s">
        <v>40</v>
      </c>
      <c r="N135" s="27" t="s">
        <v>40</v>
      </c>
      <c r="O135" s="27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ht="25.5" customHeight="1">
      <c r="A136" s="19">
        <v>128.0</v>
      </c>
      <c r="B136" s="19" t="s">
        <v>385</v>
      </c>
      <c r="C136" s="20" t="s">
        <v>406</v>
      </c>
      <c r="D136" s="21" t="s">
        <v>52</v>
      </c>
      <c r="E136" s="21" t="s">
        <v>409</v>
      </c>
      <c r="F136" s="22">
        <v>0.0</v>
      </c>
      <c r="G136" s="23">
        <v>15400.0</v>
      </c>
      <c r="H136" s="24">
        <v>1.5742455E7</v>
      </c>
      <c r="I136" s="24" t="str">
        <f>IFERROR(__xludf.DUMMYFUNCTION("REGEXEXTRACT(E136, ""ک\s(\d{16})"")"),"6219861085979838")</f>
        <v>6219861085979838</v>
      </c>
      <c r="J136" s="25" t="s">
        <v>49</v>
      </c>
      <c r="K136" s="20" t="s">
        <v>408</v>
      </c>
      <c r="L136" s="26" t="s">
        <v>39</v>
      </c>
      <c r="M136" s="26" t="s">
        <v>40</v>
      </c>
      <c r="N136" s="27" t="s">
        <v>40</v>
      </c>
      <c r="O136" s="27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ht="25.5" customHeight="1">
      <c r="A137" s="19">
        <v>129.0</v>
      </c>
      <c r="B137" s="19" t="s">
        <v>385</v>
      </c>
      <c r="C137" s="20" t="s">
        <v>410</v>
      </c>
      <c r="D137" s="21" t="s">
        <v>52</v>
      </c>
      <c r="E137" s="21" t="s">
        <v>411</v>
      </c>
      <c r="F137" s="22">
        <v>0.0</v>
      </c>
      <c r="G137" s="23">
        <v>1.555E7</v>
      </c>
      <c r="H137" s="24">
        <v>192455.0</v>
      </c>
      <c r="I137" s="24" t="str">
        <f>IFERROR(__xludf.DUMMYFUNCTION("REGEXEXTRACT(E137, ""ک\s(\d{16})"")"),"6274121208660688")</f>
        <v>6274121208660688</v>
      </c>
      <c r="J137" s="25" t="s">
        <v>49</v>
      </c>
      <c r="K137" s="20" t="s">
        <v>412</v>
      </c>
      <c r="L137" s="26" t="s">
        <v>39</v>
      </c>
      <c r="M137" s="26" t="s">
        <v>40</v>
      </c>
      <c r="N137" s="27" t="s">
        <v>40</v>
      </c>
      <c r="O137" s="27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ht="25.5" customHeight="1">
      <c r="A138" s="19">
        <v>130.0</v>
      </c>
      <c r="B138" s="19" t="s">
        <v>385</v>
      </c>
      <c r="C138" s="20" t="s">
        <v>410</v>
      </c>
      <c r="D138" s="21" t="s">
        <v>52</v>
      </c>
      <c r="E138" s="21" t="s">
        <v>413</v>
      </c>
      <c r="F138" s="22">
        <v>0.0</v>
      </c>
      <c r="G138" s="23">
        <v>12200.0</v>
      </c>
      <c r="H138" s="24">
        <v>180255.0</v>
      </c>
      <c r="I138" s="24" t="str">
        <f>IFERROR(__xludf.DUMMYFUNCTION("REGEXEXTRACT(E138, ""ک\s(\d{16})"")"),"6219861085979838")</f>
        <v>6219861085979838</v>
      </c>
      <c r="J138" s="25" t="s">
        <v>49</v>
      </c>
      <c r="K138" s="20" t="s">
        <v>412</v>
      </c>
      <c r="L138" s="26" t="s">
        <v>39</v>
      </c>
      <c r="M138" s="26" t="s">
        <v>40</v>
      </c>
      <c r="N138" s="27" t="s">
        <v>40</v>
      </c>
      <c r="O138" s="27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ht="25.5" customHeight="1">
      <c r="A139" s="19">
        <v>131.0</v>
      </c>
      <c r="B139" s="19" t="s">
        <v>385</v>
      </c>
      <c r="C139" s="20" t="s">
        <v>414</v>
      </c>
      <c r="D139" s="21" t="s">
        <v>65</v>
      </c>
      <c r="E139" s="21" t="s">
        <v>415</v>
      </c>
      <c r="F139" s="22">
        <v>0.0</v>
      </c>
      <c r="G139" s="23">
        <v>1800.0</v>
      </c>
      <c r="H139" s="24">
        <v>178455.0</v>
      </c>
      <c r="I139" s="24" t="str">
        <f>IFERROR(__xludf.DUMMYFUNCTION("REGEXEXTRACT(E139, ""ک\s(\d{16})"")"),"6219861085979838")</f>
        <v>6219861085979838</v>
      </c>
      <c r="J139" s="25" t="s">
        <v>49</v>
      </c>
      <c r="K139" s="20" t="s">
        <v>416</v>
      </c>
      <c r="L139" s="26" t="s">
        <v>39</v>
      </c>
      <c r="M139" s="26" t="s">
        <v>40</v>
      </c>
      <c r="N139" s="27" t="s">
        <v>40</v>
      </c>
      <c r="O139" s="27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ht="25.5" customHeight="1">
      <c r="A140" s="19">
        <v>132.0</v>
      </c>
      <c r="B140" s="19" t="s">
        <v>417</v>
      </c>
      <c r="C140" s="20" t="s">
        <v>418</v>
      </c>
      <c r="D140" s="21" t="s">
        <v>35</v>
      </c>
      <c r="E140" s="21" t="s">
        <v>419</v>
      </c>
      <c r="F140" s="22">
        <v>5.0E7</v>
      </c>
      <c r="G140" s="23">
        <v>0.0</v>
      </c>
      <c r="H140" s="24">
        <v>5.0178455E7</v>
      </c>
      <c r="I140" s="24" t="str">
        <f>IFERROR(__xludf.DUMMYFUNCTION("REGEXEXTRACT(E140, ""ک\s(\d{16})"")"),"#N/A")</f>
        <v>#N/A</v>
      </c>
      <c r="J140" s="25" t="s">
        <v>37</v>
      </c>
      <c r="K140" s="20" t="s">
        <v>420</v>
      </c>
      <c r="L140" s="26" t="s">
        <v>39</v>
      </c>
      <c r="M140" s="26" t="s">
        <v>40</v>
      </c>
      <c r="N140" s="27" t="s">
        <v>40</v>
      </c>
      <c r="O140" s="27" t="s">
        <v>421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ht="25.5" customHeight="1">
      <c r="A141" s="19">
        <v>133.0</v>
      </c>
      <c r="B141" s="19" t="s">
        <v>417</v>
      </c>
      <c r="C141" s="20" t="s">
        <v>422</v>
      </c>
      <c r="D141" s="21" t="s">
        <v>52</v>
      </c>
      <c r="E141" s="21" t="s">
        <v>423</v>
      </c>
      <c r="F141" s="22">
        <v>1500000.0</v>
      </c>
      <c r="G141" s="23">
        <v>0.0</v>
      </c>
      <c r="H141" s="24">
        <v>5.1678455E7</v>
      </c>
      <c r="I141" s="24" t="str">
        <f>IFERROR(__xludf.DUMMYFUNCTION("REGEXEXTRACT(E141, ""ک\s(\d{16})"")"),"6274121910048420")</f>
        <v>6274121910048420</v>
      </c>
      <c r="J141" s="25" t="s">
        <v>49</v>
      </c>
      <c r="K141" s="20" t="s">
        <v>424</v>
      </c>
      <c r="L141" s="26" t="s">
        <v>39</v>
      </c>
      <c r="M141" s="26" t="s">
        <v>40</v>
      </c>
      <c r="N141" s="27" t="s">
        <v>40</v>
      </c>
      <c r="O141" s="27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ht="25.5" customHeight="1">
      <c r="A142" s="19">
        <v>134.0</v>
      </c>
      <c r="B142" s="19" t="s">
        <v>417</v>
      </c>
      <c r="C142" s="20" t="s">
        <v>425</v>
      </c>
      <c r="D142" s="21" t="s">
        <v>47</v>
      </c>
      <c r="E142" s="21" t="s">
        <v>426</v>
      </c>
      <c r="F142" s="22">
        <v>0.0</v>
      </c>
      <c r="G142" s="23">
        <v>9100000.0</v>
      </c>
      <c r="H142" s="24">
        <v>4.2578455E7</v>
      </c>
      <c r="I142" s="24" t="str">
        <f>IFERROR(__xludf.DUMMYFUNCTION("REGEXEXTRACT(E142, ""ک\s(\d{16})"")"),"6219861085979838")</f>
        <v>6219861085979838</v>
      </c>
      <c r="J142" s="25" t="s">
        <v>49</v>
      </c>
      <c r="K142" s="20" t="s">
        <v>427</v>
      </c>
      <c r="L142" s="26" t="s">
        <v>39</v>
      </c>
      <c r="M142" s="26" t="s">
        <v>40</v>
      </c>
      <c r="N142" s="27" t="s">
        <v>40</v>
      </c>
      <c r="O142" s="27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ht="25.5" customHeight="1">
      <c r="A143" s="19">
        <v>135.0</v>
      </c>
      <c r="B143" s="19" t="s">
        <v>417</v>
      </c>
      <c r="C143" s="20" t="s">
        <v>428</v>
      </c>
      <c r="D143" s="21" t="s">
        <v>52</v>
      </c>
      <c r="E143" s="21" t="s">
        <v>429</v>
      </c>
      <c r="F143" s="22">
        <v>0.0</v>
      </c>
      <c r="G143" s="23">
        <v>4000000.0</v>
      </c>
      <c r="H143" s="24">
        <v>3.8578455E7</v>
      </c>
      <c r="I143" s="24" t="str">
        <f>IFERROR(__xludf.DUMMYFUNCTION("REGEXEXTRACT(E143, ""ک\s(\d{16})"")"),"5859831103338371")</f>
        <v>5859831103338371</v>
      </c>
      <c r="J143" s="25" t="s">
        <v>49</v>
      </c>
      <c r="K143" s="20" t="s">
        <v>430</v>
      </c>
      <c r="L143" s="26" t="s">
        <v>39</v>
      </c>
      <c r="M143" s="26" t="s">
        <v>40</v>
      </c>
      <c r="N143" s="27" t="s">
        <v>40</v>
      </c>
      <c r="O143" s="27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ht="25.5" customHeight="1">
      <c r="A144" s="19">
        <v>136.0</v>
      </c>
      <c r="B144" s="19" t="s">
        <v>417</v>
      </c>
      <c r="C144" s="20" t="s">
        <v>428</v>
      </c>
      <c r="D144" s="21" t="s">
        <v>52</v>
      </c>
      <c r="E144" s="21" t="s">
        <v>431</v>
      </c>
      <c r="F144" s="22">
        <v>0.0</v>
      </c>
      <c r="G144" s="23">
        <v>9000.0</v>
      </c>
      <c r="H144" s="24">
        <v>3.8569455E7</v>
      </c>
      <c r="I144" s="24" t="str">
        <f>IFERROR(__xludf.DUMMYFUNCTION("REGEXEXTRACT(E144, ""ک\s(\d{16})"")"),"6219861085979838")</f>
        <v>6219861085979838</v>
      </c>
      <c r="J144" s="25" t="s">
        <v>49</v>
      </c>
      <c r="K144" s="20" t="s">
        <v>430</v>
      </c>
      <c r="L144" s="26" t="s">
        <v>39</v>
      </c>
      <c r="M144" s="26" t="s">
        <v>40</v>
      </c>
      <c r="N144" s="27" t="s">
        <v>40</v>
      </c>
      <c r="O144" s="27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ht="25.5" customHeight="1">
      <c r="A145" s="19">
        <v>137.0</v>
      </c>
      <c r="B145" s="19" t="s">
        <v>417</v>
      </c>
      <c r="C145" s="20" t="s">
        <v>432</v>
      </c>
      <c r="D145" s="21" t="s">
        <v>52</v>
      </c>
      <c r="E145" s="21" t="s">
        <v>433</v>
      </c>
      <c r="F145" s="22">
        <v>0.0</v>
      </c>
      <c r="G145" s="23">
        <v>4000000.0</v>
      </c>
      <c r="H145" s="24">
        <v>3.4569455E7</v>
      </c>
      <c r="I145" s="24" t="str">
        <f>IFERROR(__xludf.DUMMYFUNCTION("REGEXEXTRACT(E145, ""ک\s(\d{16})"")"),"5029081028402846")</f>
        <v>5029081028402846</v>
      </c>
      <c r="J145" s="25" t="s">
        <v>49</v>
      </c>
      <c r="K145" s="20" t="s">
        <v>434</v>
      </c>
      <c r="L145" s="26" t="s">
        <v>39</v>
      </c>
      <c r="M145" s="26" t="s">
        <v>40</v>
      </c>
      <c r="N145" s="27" t="s">
        <v>40</v>
      </c>
      <c r="O145" s="27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ht="25.5" customHeight="1">
      <c r="A146" s="19">
        <v>138.0</v>
      </c>
      <c r="B146" s="19" t="s">
        <v>417</v>
      </c>
      <c r="C146" s="20" t="s">
        <v>432</v>
      </c>
      <c r="D146" s="21" t="s">
        <v>52</v>
      </c>
      <c r="E146" s="21" t="s">
        <v>435</v>
      </c>
      <c r="F146" s="22">
        <v>0.0</v>
      </c>
      <c r="G146" s="23">
        <v>9000.0</v>
      </c>
      <c r="H146" s="24">
        <v>3.4560455E7</v>
      </c>
      <c r="I146" s="24" t="str">
        <f>IFERROR(__xludf.DUMMYFUNCTION("REGEXEXTRACT(E146, ""ک\s(\d{16})"")"),"6219861085979838")</f>
        <v>6219861085979838</v>
      </c>
      <c r="J146" s="25" t="s">
        <v>49</v>
      </c>
      <c r="K146" s="20" t="s">
        <v>434</v>
      </c>
      <c r="L146" s="26" t="s">
        <v>39</v>
      </c>
      <c r="M146" s="26" t="s">
        <v>40</v>
      </c>
      <c r="N146" s="27" t="s">
        <v>40</v>
      </c>
      <c r="O146" s="27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ht="25.5" customHeight="1">
      <c r="A147" s="19">
        <v>139.0</v>
      </c>
      <c r="B147" s="19" t="s">
        <v>436</v>
      </c>
      <c r="C147" s="20" t="s">
        <v>437</v>
      </c>
      <c r="D147" s="21" t="s">
        <v>35</v>
      </c>
      <c r="E147" s="21" t="s">
        <v>438</v>
      </c>
      <c r="F147" s="22">
        <v>5.9E7</v>
      </c>
      <c r="G147" s="23">
        <v>0.0</v>
      </c>
      <c r="H147" s="24">
        <v>9.3560455E7</v>
      </c>
      <c r="I147" s="24" t="str">
        <f>IFERROR(__xludf.DUMMYFUNCTION("REGEXEXTRACT(E147, ""ک\s(\d{16})"")"),"#N/A")</f>
        <v>#N/A</v>
      </c>
      <c r="J147" s="25" t="s">
        <v>37</v>
      </c>
      <c r="K147" s="20" t="s">
        <v>439</v>
      </c>
      <c r="L147" s="26" t="s">
        <v>39</v>
      </c>
      <c r="M147" s="26" t="s">
        <v>40</v>
      </c>
      <c r="N147" s="27" t="s">
        <v>40</v>
      </c>
      <c r="O147" s="27" t="s">
        <v>440</v>
      </c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ht="25.5" customHeight="1">
      <c r="A148" s="19">
        <v>140.0</v>
      </c>
      <c r="B148" s="19" t="s">
        <v>436</v>
      </c>
      <c r="C148" s="20" t="s">
        <v>441</v>
      </c>
      <c r="D148" s="21" t="s">
        <v>52</v>
      </c>
      <c r="E148" s="21" t="s">
        <v>442</v>
      </c>
      <c r="F148" s="22">
        <v>1600000.0</v>
      </c>
      <c r="G148" s="23">
        <v>0.0</v>
      </c>
      <c r="H148" s="24">
        <v>9.5160455E7</v>
      </c>
      <c r="I148" s="24" t="str">
        <f>IFERROR(__xludf.DUMMYFUNCTION("REGEXEXTRACT(E148, ""ک\s(\d{16})"")"),"5859831822631080")</f>
        <v>5859831822631080</v>
      </c>
      <c r="J148" s="25" t="s">
        <v>49</v>
      </c>
      <c r="K148" s="20" t="s">
        <v>443</v>
      </c>
      <c r="L148" s="26" t="s">
        <v>39</v>
      </c>
      <c r="M148" s="26" t="s">
        <v>40</v>
      </c>
      <c r="N148" s="27" t="s">
        <v>40</v>
      </c>
      <c r="O148" s="27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ht="25.5" customHeight="1">
      <c r="A149" s="19">
        <v>141.0</v>
      </c>
      <c r="B149" s="19" t="s">
        <v>436</v>
      </c>
      <c r="C149" s="20" t="s">
        <v>444</v>
      </c>
      <c r="D149" s="21" t="s">
        <v>202</v>
      </c>
      <c r="E149" s="21" t="s">
        <v>445</v>
      </c>
      <c r="F149" s="22">
        <v>0.0</v>
      </c>
      <c r="G149" s="23">
        <v>5.0E7</v>
      </c>
      <c r="H149" s="24">
        <v>4.5160455E7</v>
      </c>
      <c r="I149" s="24" t="str">
        <f>IFERROR(__xludf.DUMMYFUNCTION("REGEXEXTRACT(E149, ""ک\s(\d{16})"")"),"#N/A")</f>
        <v>#N/A</v>
      </c>
      <c r="J149" s="25" t="s">
        <v>204</v>
      </c>
      <c r="K149" s="20" t="s">
        <v>446</v>
      </c>
      <c r="L149" s="26" t="s">
        <v>39</v>
      </c>
      <c r="M149" s="26" t="s">
        <v>40</v>
      </c>
      <c r="N149" s="29" t="s">
        <v>447</v>
      </c>
      <c r="O149" s="27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ht="25.5" customHeight="1">
      <c r="A150" s="19">
        <v>142.0</v>
      </c>
      <c r="B150" s="19" t="s">
        <v>436</v>
      </c>
      <c r="C150" s="20" t="s">
        <v>444</v>
      </c>
      <c r="D150" s="21" t="s">
        <v>206</v>
      </c>
      <c r="E150" s="21" t="s">
        <v>207</v>
      </c>
      <c r="F150" s="22">
        <v>0.0</v>
      </c>
      <c r="G150" s="23">
        <v>10000.0</v>
      </c>
      <c r="H150" s="24">
        <v>4.5150455E7</v>
      </c>
      <c r="I150" s="24" t="str">
        <f>IFERROR(__xludf.DUMMYFUNCTION("REGEXEXTRACT(E150, ""ک\s(\d{16})"")"),"#N/A")</f>
        <v>#N/A</v>
      </c>
      <c r="J150" s="25" t="s">
        <v>204</v>
      </c>
      <c r="K150" s="20" t="s">
        <v>448</v>
      </c>
      <c r="L150" s="26" t="s">
        <v>39</v>
      </c>
      <c r="M150" s="26" t="s">
        <v>40</v>
      </c>
      <c r="N150" s="27" t="s">
        <v>40</v>
      </c>
      <c r="O150" s="27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ht="25.5" customHeight="1">
      <c r="A151" s="19">
        <v>143.0</v>
      </c>
      <c r="B151" s="19" t="s">
        <v>436</v>
      </c>
      <c r="C151" s="20" t="s">
        <v>449</v>
      </c>
      <c r="D151" s="21" t="s">
        <v>35</v>
      </c>
      <c r="E151" s="21" t="s">
        <v>450</v>
      </c>
      <c r="F151" s="22">
        <v>0.0</v>
      </c>
      <c r="G151" s="23">
        <v>2.529E7</v>
      </c>
      <c r="H151" s="24">
        <v>1.9860455E7</v>
      </c>
      <c r="I151" s="24" t="str">
        <f>IFERROR(__xludf.DUMMYFUNCTION("REGEXEXTRACT(E151, ""ک\s(\d{16})"")"),"#N/A")</f>
        <v>#N/A</v>
      </c>
      <c r="J151" s="25" t="s">
        <v>37</v>
      </c>
      <c r="K151" s="20" t="s">
        <v>451</v>
      </c>
      <c r="L151" s="26" t="s">
        <v>39</v>
      </c>
      <c r="M151" s="26" t="s">
        <v>40</v>
      </c>
      <c r="N151" s="29" t="s">
        <v>452</v>
      </c>
      <c r="O151" s="27" t="s">
        <v>453</v>
      </c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ht="25.5" customHeight="1">
      <c r="A152" s="19">
        <v>144.0</v>
      </c>
      <c r="B152" s="19" t="s">
        <v>436</v>
      </c>
      <c r="C152" s="20" t="s">
        <v>454</v>
      </c>
      <c r="D152" s="21" t="s">
        <v>52</v>
      </c>
      <c r="E152" s="21" t="s">
        <v>455</v>
      </c>
      <c r="F152" s="22">
        <v>1100000.0</v>
      </c>
      <c r="G152" s="23">
        <v>0.0</v>
      </c>
      <c r="H152" s="24">
        <v>2.0960455E7</v>
      </c>
      <c r="I152" s="24" t="str">
        <f>IFERROR(__xludf.DUMMYFUNCTION("REGEXEXTRACT(E152, ""ک\s(\d{16})"")"),"5894631181865635")</f>
        <v>5894631181865635</v>
      </c>
      <c r="J152" s="25" t="s">
        <v>49</v>
      </c>
      <c r="K152" s="20" t="s">
        <v>456</v>
      </c>
      <c r="L152" s="26" t="s">
        <v>39</v>
      </c>
      <c r="M152" s="26" t="s">
        <v>40</v>
      </c>
      <c r="N152" s="27" t="s">
        <v>40</v>
      </c>
      <c r="O152" s="27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ht="25.5" customHeight="1">
      <c r="A153" s="19">
        <v>145.0</v>
      </c>
      <c r="B153" s="19" t="s">
        <v>436</v>
      </c>
      <c r="C153" s="20" t="s">
        <v>457</v>
      </c>
      <c r="D153" s="21" t="s">
        <v>65</v>
      </c>
      <c r="E153" s="21" t="s">
        <v>458</v>
      </c>
      <c r="F153" s="22">
        <v>0.0</v>
      </c>
      <c r="G153" s="23">
        <v>1800.0</v>
      </c>
      <c r="H153" s="24">
        <v>2.0958655E7</v>
      </c>
      <c r="I153" s="24" t="str">
        <f>IFERROR(__xludf.DUMMYFUNCTION("REGEXEXTRACT(E153, ""ک\s(\d{16})"")"),"6219861085979838")</f>
        <v>6219861085979838</v>
      </c>
      <c r="J153" s="25" t="s">
        <v>49</v>
      </c>
      <c r="K153" s="20" t="s">
        <v>459</v>
      </c>
      <c r="L153" s="26" t="s">
        <v>39</v>
      </c>
      <c r="M153" s="26" t="s">
        <v>40</v>
      </c>
      <c r="N153" s="27" t="s">
        <v>40</v>
      </c>
      <c r="O153" s="27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ht="25.5" customHeight="1">
      <c r="A154" s="19">
        <v>146.0</v>
      </c>
      <c r="B154" s="19" t="s">
        <v>436</v>
      </c>
      <c r="C154" s="20" t="s">
        <v>460</v>
      </c>
      <c r="D154" s="21" t="s">
        <v>96</v>
      </c>
      <c r="E154" s="21" t="s">
        <v>461</v>
      </c>
      <c r="F154" s="22">
        <v>900000.0</v>
      </c>
      <c r="G154" s="23">
        <v>0.0</v>
      </c>
      <c r="H154" s="24">
        <v>2.1858655E7</v>
      </c>
      <c r="I154" s="24" t="str">
        <f>IFERROR(__xludf.DUMMYFUNCTION("REGEXEXTRACT(E154, ""ک\s(\d{16})"")"),"#N/A")</f>
        <v>#N/A</v>
      </c>
      <c r="J154" s="25" t="s">
        <v>98</v>
      </c>
      <c r="K154" s="20" t="s">
        <v>462</v>
      </c>
      <c r="L154" s="26" t="s">
        <v>39</v>
      </c>
      <c r="M154" s="26" t="s">
        <v>40</v>
      </c>
      <c r="N154" s="27" t="s">
        <v>40</v>
      </c>
      <c r="O154" s="27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ht="25.5" customHeight="1">
      <c r="A155" s="19">
        <v>147.0</v>
      </c>
      <c r="B155" s="19" t="s">
        <v>436</v>
      </c>
      <c r="C155" s="20" t="s">
        <v>463</v>
      </c>
      <c r="D155" s="21" t="s">
        <v>464</v>
      </c>
      <c r="E155" s="21" t="s">
        <v>465</v>
      </c>
      <c r="F155" s="22">
        <v>0.0</v>
      </c>
      <c r="G155" s="23">
        <v>200000.0</v>
      </c>
      <c r="H155" s="24">
        <v>2.1658655E7</v>
      </c>
      <c r="I155" s="24" t="str">
        <f>IFERROR(__xludf.DUMMYFUNCTION("REGEXEXTRACT(E155, ""ک\s(\d{16})"")"),"6219861085979838")</f>
        <v>6219861085979838</v>
      </c>
      <c r="J155" s="25" t="s">
        <v>49</v>
      </c>
      <c r="K155" s="20" t="s">
        <v>466</v>
      </c>
      <c r="L155" s="26" t="s">
        <v>39</v>
      </c>
      <c r="M155" s="26" t="s">
        <v>40</v>
      </c>
      <c r="N155" s="27" t="s">
        <v>40</v>
      </c>
      <c r="O155" s="27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ht="25.5" customHeight="1">
      <c r="A156" s="19">
        <v>148.0</v>
      </c>
      <c r="B156" s="19" t="s">
        <v>436</v>
      </c>
      <c r="C156" s="20" t="s">
        <v>467</v>
      </c>
      <c r="D156" s="21" t="s">
        <v>47</v>
      </c>
      <c r="E156" s="21" t="s">
        <v>468</v>
      </c>
      <c r="F156" s="22">
        <v>0.0</v>
      </c>
      <c r="G156" s="23">
        <v>400000.0</v>
      </c>
      <c r="H156" s="24">
        <v>2.1258655E7</v>
      </c>
      <c r="I156" s="24" t="str">
        <f>IFERROR(__xludf.DUMMYFUNCTION("REGEXEXTRACT(E156, ""ک\s(\d{16})"")"),"6219861085979838")</f>
        <v>6219861085979838</v>
      </c>
      <c r="J156" s="25" t="s">
        <v>49</v>
      </c>
      <c r="K156" s="20" t="s">
        <v>469</v>
      </c>
      <c r="L156" s="26" t="s">
        <v>39</v>
      </c>
      <c r="M156" s="26" t="s">
        <v>40</v>
      </c>
      <c r="N156" s="27" t="s">
        <v>40</v>
      </c>
      <c r="O156" s="27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ht="25.5" customHeight="1">
      <c r="A157" s="19">
        <v>149.0</v>
      </c>
      <c r="B157" s="19" t="s">
        <v>436</v>
      </c>
      <c r="C157" s="20" t="s">
        <v>470</v>
      </c>
      <c r="D157" s="21" t="s">
        <v>52</v>
      </c>
      <c r="E157" s="21" t="s">
        <v>471</v>
      </c>
      <c r="F157" s="22">
        <v>450000.0</v>
      </c>
      <c r="G157" s="23">
        <v>0.0</v>
      </c>
      <c r="H157" s="24">
        <v>2.1708655E7</v>
      </c>
      <c r="I157" s="24" t="str">
        <f>IFERROR(__xludf.DUMMYFUNCTION("REGEXEXTRACT(E157, ""ک\s(\d{16})"")"),"5859831809022071")</f>
        <v>5859831809022071</v>
      </c>
      <c r="J157" s="25" t="s">
        <v>49</v>
      </c>
      <c r="K157" s="20" t="s">
        <v>472</v>
      </c>
      <c r="L157" s="26" t="s">
        <v>39</v>
      </c>
      <c r="M157" s="26" t="s">
        <v>40</v>
      </c>
      <c r="N157" s="27" t="s">
        <v>40</v>
      </c>
      <c r="O157" s="27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ht="25.5" customHeight="1">
      <c r="A158" s="19">
        <v>150.0</v>
      </c>
      <c r="B158" s="19" t="s">
        <v>436</v>
      </c>
      <c r="C158" s="20" t="s">
        <v>473</v>
      </c>
      <c r="D158" s="21" t="s">
        <v>65</v>
      </c>
      <c r="E158" s="21" t="s">
        <v>474</v>
      </c>
      <c r="F158" s="22">
        <v>0.0</v>
      </c>
      <c r="G158" s="23">
        <v>1800.0</v>
      </c>
      <c r="H158" s="24">
        <v>2.1706855E7</v>
      </c>
      <c r="I158" s="24" t="str">
        <f>IFERROR(__xludf.DUMMYFUNCTION("REGEXEXTRACT(E158, ""ک\s(\d{16})"")"),"6219861085979838")</f>
        <v>6219861085979838</v>
      </c>
      <c r="J158" s="25" t="s">
        <v>49</v>
      </c>
      <c r="K158" s="20" t="s">
        <v>475</v>
      </c>
      <c r="L158" s="26" t="s">
        <v>39</v>
      </c>
      <c r="M158" s="26" t="s">
        <v>40</v>
      </c>
      <c r="N158" s="27" t="s">
        <v>40</v>
      </c>
      <c r="O158" s="27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ht="25.5" customHeight="1">
      <c r="A159" s="19">
        <v>151.0</v>
      </c>
      <c r="B159" s="19" t="s">
        <v>436</v>
      </c>
      <c r="C159" s="20" t="s">
        <v>476</v>
      </c>
      <c r="D159" s="21" t="s">
        <v>52</v>
      </c>
      <c r="E159" s="21" t="s">
        <v>477</v>
      </c>
      <c r="F159" s="22">
        <v>0.0</v>
      </c>
      <c r="G159" s="23">
        <v>1.55E7</v>
      </c>
      <c r="H159" s="24">
        <v>6206855.0</v>
      </c>
      <c r="I159" s="24" t="str">
        <f>IFERROR(__xludf.DUMMYFUNCTION("REGEXEXTRACT(E159, ""ک\s(\d{16})"")"),"6037697600840968")</f>
        <v>6037697600840968</v>
      </c>
      <c r="J159" s="25" t="s">
        <v>49</v>
      </c>
      <c r="K159" s="20" t="s">
        <v>478</v>
      </c>
      <c r="L159" s="26" t="s">
        <v>39</v>
      </c>
      <c r="M159" s="26" t="s">
        <v>40</v>
      </c>
      <c r="N159" s="27" t="s">
        <v>40</v>
      </c>
      <c r="O159" s="27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ht="25.5" customHeight="1">
      <c r="A160" s="19">
        <v>152.0</v>
      </c>
      <c r="B160" s="19" t="s">
        <v>436</v>
      </c>
      <c r="C160" s="20" t="s">
        <v>476</v>
      </c>
      <c r="D160" s="21" t="s">
        <v>52</v>
      </c>
      <c r="E160" s="21" t="s">
        <v>479</v>
      </c>
      <c r="F160" s="22">
        <v>0.0</v>
      </c>
      <c r="G160" s="23">
        <v>12200.0</v>
      </c>
      <c r="H160" s="24">
        <v>6194655.0</v>
      </c>
      <c r="I160" s="24" t="str">
        <f>IFERROR(__xludf.DUMMYFUNCTION("REGEXEXTRACT(E160, ""ک\s(\d{16})"")"),"6219861085979838")</f>
        <v>6219861085979838</v>
      </c>
      <c r="J160" s="25" t="s">
        <v>49</v>
      </c>
      <c r="K160" s="20" t="s">
        <v>478</v>
      </c>
      <c r="L160" s="26" t="s">
        <v>39</v>
      </c>
      <c r="M160" s="26" t="s">
        <v>40</v>
      </c>
      <c r="N160" s="27" t="s">
        <v>40</v>
      </c>
      <c r="O160" s="27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ht="25.5" customHeight="1">
      <c r="A161" s="19">
        <v>153.0</v>
      </c>
      <c r="B161" s="19" t="s">
        <v>436</v>
      </c>
      <c r="C161" s="20" t="s">
        <v>480</v>
      </c>
      <c r="D161" s="21" t="s">
        <v>52</v>
      </c>
      <c r="E161" s="21" t="s">
        <v>481</v>
      </c>
      <c r="F161" s="22">
        <v>2800000.0</v>
      </c>
      <c r="G161" s="23">
        <v>0.0</v>
      </c>
      <c r="H161" s="24">
        <v>8994655.0</v>
      </c>
      <c r="I161" s="24" t="str">
        <f>IFERROR(__xludf.DUMMYFUNCTION("REGEXEXTRACT(E161, ""ک\s(\d{16})"")"),"6037998250354395")</f>
        <v>6037998250354395</v>
      </c>
      <c r="J161" s="25" t="s">
        <v>49</v>
      </c>
      <c r="K161" s="20" t="s">
        <v>482</v>
      </c>
      <c r="L161" s="26" t="s">
        <v>39</v>
      </c>
      <c r="M161" s="26" t="s">
        <v>40</v>
      </c>
      <c r="N161" s="27" t="s">
        <v>40</v>
      </c>
      <c r="O161" s="27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ht="25.5" customHeight="1">
      <c r="A162" s="19">
        <v>154.0</v>
      </c>
      <c r="B162" s="19" t="s">
        <v>436</v>
      </c>
      <c r="C162" s="20" t="s">
        <v>483</v>
      </c>
      <c r="D162" s="21" t="s">
        <v>65</v>
      </c>
      <c r="E162" s="21" t="s">
        <v>484</v>
      </c>
      <c r="F162" s="22">
        <v>0.0</v>
      </c>
      <c r="G162" s="23">
        <v>1800.0</v>
      </c>
      <c r="H162" s="24">
        <v>8992855.0</v>
      </c>
      <c r="I162" s="24" t="str">
        <f>IFERROR(__xludf.DUMMYFUNCTION("REGEXEXTRACT(E162, ""ک\s(\d{16})"")"),"6219861085979838")</f>
        <v>6219861085979838</v>
      </c>
      <c r="J162" s="25" t="s">
        <v>49</v>
      </c>
      <c r="K162" s="20" t="s">
        <v>485</v>
      </c>
      <c r="L162" s="26" t="s">
        <v>39</v>
      </c>
      <c r="M162" s="26" t="s">
        <v>40</v>
      </c>
      <c r="N162" s="27" t="s">
        <v>40</v>
      </c>
      <c r="O162" s="27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ht="25.5" customHeight="1">
      <c r="A163" s="19">
        <v>155.0</v>
      </c>
      <c r="B163" s="19" t="s">
        <v>436</v>
      </c>
      <c r="C163" s="20" t="s">
        <v>486</v>
      </c>
      <c r="D163" s="21" t="s">
        <v>47</v>
      </c>
      <c r="E163" s="21" t="s">
        <v>487</v>
      </c>
      <c r="F163" s="22">
        <v>0.0</v>
      </c>
      <c r="G163" s="23">
        <v>7900000.0</v>
      </c>
      <c r="H163" s="24">
        <v>1092855.0</v>
      </c>
      <c r="I163" s="24" t="str">
        <f>IFERROR(__xludf.DUMMYFUNCTION("REGEXEXTRACT(E163, ""ک\s(\d{16})"")"),"6219861085979838")</f>
        <v>6219861085979838</v>
      </c>
      <c r="J163" s="25" t="s">
        <v>49</v>
      </c>
      <c r="K163" s="20" t="s">
        <v>488</v>
      </c>
      <c r="L163" s="26" t="s">
        <v>39</v>
      </c>
      <c r="M163" s="26" t="s">
        <v>40</v>
      </c>
      <c r="N163" s="27" t="s">
        <v>40</v>
      </c>
      <c r="O163" s="27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ht="25.5" customHeight="1">
      <c r="A164" s="19">
        <v>156.0</v>
      </c>
      <c r="B164" s="19" t="s">
        <v>489</v>
      </c>
      <c r="C164" s="20" t="s">
        <v>490</v>
      </c>
      <c r="D164" s="21" t="s">
        <v>35</v>
      </c>
      <c r="E164" s="21" t="s">
        <v>491</v>
      </c>
      <c r="F164" s="22">
        <v>1.24E8</v>
      </c>
      <c r="G164" s="23">
        <v>0.0</v>
      </c>
      <c r="H164" s="24">
        <v>1.25092855E8</v>
      </c>
      <c r="I164" s="24" t="str">
        <f>IFERROR(__xludf.DUMMYFUNCTION("REGEXEXTRACT(E164, ""ک\s(\d{16})"")"),"#N/A")</f>
        <v>#N/A</v>
      </c>
      <c r="J164" s="25" t="s">
        <v>37</v>
      </c>
      <c r="K164" s="20" t="s">
        <v>492</v>
      </c>
      <c r="L164" s="26" t="s">
        <v>39</v>
      </c>
      <c r="M164" s="26" t="s">
        <v>40</v>
      </c>
      <c r="N164" s="27" t="s">
        <v>40</v>
      </c>
      <c r="O164" s="27" t="s">
        <v>493</v>
      </c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ht="25.5" customHeight="1">
      <c r="A165" s="19">
        <v>157.0</v>
      </c>
      <c r="B165" s="19" t="s">
        <v>494</v>
      </c>
      <c r="C165" s="20" t="s">
        <v>495</v>
      </c>
      <c r="D165" s="21" t="s">
        <v>47</v>
      </c>
      <c r="E165" s="21" t="s">
        <v>496</v>
      </c>
      <c r="F165" s="22">
        <v>0.0</v>
      </c>
      <c r="G165" s="23">
        <v>100000.0</v>
      </c>
      <c r="H165" s="24">
        <v>1.24992855E8</v>
      </c>
      <c r="I165" s="24" t="str">
        <f>IFERROR(__xludf.DUMMYFUNCTION("REGEXEXTRACT(E165, ""ک\s(\d{16})"")"),"6219861085979838")</f>
        <v>6219861085979838</v>
      </c>
      <c r="J165" s="25" t="s">
        <v>49</v>
      </c>
      <c r="K165" s="20" t="s">
        <v>497</v>
      </c>
      <c r="L165" s="26" t="s">
        <v>39</v>
      </c>
      <c r="M165" s="26" t="s">
        <v>40</v>
      </c>
      <c r="N165" s="27" t="s">
        <v>40</v>
      </c>
      <c r="O165" s="27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ht="25.5" customHeight="1">
      <c r="A166" s="19">
        <v>158.0</v>
      </c>
      <c r="B166" s="19" t="s">
        <v>494</v>
      </c>
      <c r="C166" s="20" t="s">
        <v>498</v>
      </c>
      <c r="D166" s="21" t="s">
        <v>52</v>
      </c>
      <c r="E166" s="21" t="s">
        <v>499</v>
      </c>
      <c r="F166" s="22">
        <v>0.0</v>
      </c>
      <c r="G166" s="23">
        <v>1.16E7</v>
      </c>
      <c r="H166" s="24">
        <v>1.13392855E8</v>
      </c>
      <c r="I166" s="24" t="str">
        <f>IFERROR(__xludf.DUMMYFUNCTION("REGEXEXTRACT(E166, ""ک\s(\d{16})"")"),"5041721027695767")</f>
        <v>5041721027695767</v>
      </c>
      <c r="J166" s="25" t="s">
        <v>49</v>
      </c>
      <c r="K166" s="20" t="s">
        <v>500</v>
      </c>
      <c r="L166" s="26" t="s">
        <v>39</v>
      </c>
      <c r="M166" s="26" t="s">
        <v>40</v>
      </c>
      <c r="N166" s="27" t="s">
        <v>40</v>
      </c>
      <c r="O166" s="27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ht="25.5" customHeight="1">
      <c r="A167" s="19">
        <v>159.0</v>
      </c>
      <c r="B167" s="19" t="s">
        <v>494</v>
      </c>
      <c r="C167" s="20" t="s">
        <v>498</v>
      </c>
      <c r="D167" s="21" t="s">
        <v>52</v>
      </c>
      <c r="E167" s="21" t="s">
        <v>501</v>
      </c>
      <c r="F167" s="22">
        <v>0.0</v>
      </c>
      <c r="G167" s="23">
        <v>12200.0</v>
      </c>
      <c r="H167" s="24">
        <v>1.13380655E8</v>
      </c>
      <c r="I167" s="24" t="str">
        <f>IFERROR(__xludf.DUMMYFUNCTION("REGEXEXTRACT(E167, ""ک\s(\d{16})"")"),"6219861085979838")</f>
        <v>6219861085979838</v>
      </c>
      <c r="J167" s="25" t="s">
        <v>49</v>
      </c>
      <c r="K167" s="20" t="s">
        <v>500</v>
      </c>
      <c r="L167" s="26" t="s">
        <v>39</v>
      </c>
      <c r="M167" s="26" t="s">
        <v>40</v>
      </c>
      <c r="N167" s="27" t="s">
        <v>40</v>
      </c>
      <c r="O167" s="27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ht="25.5" customHeight="1">
      <c r="A168" s="19">
        <v>160.0</v>
      </c>
      <c r="B168" s="19" t="s">
        <v>494</v>
      </c>
      <c r="C168" s="20" t="s">
        <v>502</v>
      </c>
      <c r="D168" s="21" t="s">
        <v>52</v>
      </c>
      <c r="E168" s="21" t="s">
        <v>503</v>
      </c>
      <c r="F168" s="22">
        <v>0.0</v>
      </c>
      <c r="G168" s="23">
        <v>1.26E7</v>
      </c>
      <c r="H168" s="24">
        <v>1.00780655E8</v>
      </c>
      <c r="I168" s="24" t="str">
        <f>IFERROR(__xludf.DUMMYFUNCTION("REGEXEXTRACT(E168, ""ک\s(\d{16})"")"),"6037997452281877")</f>
        <v>6037997452281877</v>
      </c>
      <c r="J168" s="25" t="s">
        <v>49</v>
      </c>
      <c r="K168" s="20" t="s">
        <v>504</v>
      </c>
      <c r="L168" s="26" t="s">
        <v>39</v>
      </c>
      <c r="M168" s="26" t="s">
        <v>40</v>
      </c>
      <c r="N168" s="27" t="s">
        <v>40</v>
      </c>
      <c r="O168" s="27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ht="25.5" customHeight="1">
      <c r="A169" s="19">
        <v>161.0</v>
      </c>
      <c r="B169" s="19" t="s">
        <v>494</v>
      </c>
      <c r="C169" s="20" t="s">
        <v>502</v>
      </c>
      <c r="D169" s="21" t="s">
        <v>52</v>
      </c>
      <c r="E169" s="21" t="s">
        <v>505</v>
      </c>
      <c r="F169" s="22">
        <v>0.0</v>
      </c>
      <c r="G169" s="23">
        <v>12200.0</v>
      </c>
      <c r="H169" s="24">
        <v>1.00768455E8</v>
      </c>
      <c r="I169" s="24" t="str">
        <f>IFERROR(__xludf.DUMMYFUNCTION("REGEXEXTRACT(E169, ""ک\s(\d{16})"")"),"6219861085979838")</f>
        <v>6219861085979838</v>
      </c>
      <c r="J169" s="25" t="s">
        <v>49</v>
      </c>
      <c r="K169" s="20" t="s">
        <v>504</v>
      </c>
      <c r="L169" s="26" t="s">
        <v>39</v>
      </c>
      <c r="M169" s="26" t="s">
        <v>40</v>
      </c>
      <c r="N169" s="27" t="s">
        <v>40</v>
      </c>
      <c r="O169" s="27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ht="25.5" customHeight="1">
      <c r="A170" s="19">
        <v>162.0</v>
      </c>
      <c r="B170" s="19" t="s">
        <v>494</v>
      </c>
      <c r="C170" s="20" t="s">
        <v>506</v>
      </c>
      <c r="D170" s="21" t="s">
        <v>52</v>
      </c>
      <c r="E170" s="21" t="s">
        <v>507</v>
      </c>
      <c r="F170" s="22">
        <v>0.0</v>
      </c>
      <c r="G170" s="23">
        <v>2.65E7</v>
      </c>
      <c r="H170" s="24">
        <v>7.4268455E7</v>
      </c>
      <c r="I170" s="24" t="str">
        <f>IFERROR(__xludf.DUMMYFUNCTION("REGEXEXTRACT(E170, ""ک\s(\d{16})"")"),"6037701642636788")</f>
        <v>6037701642636788</v>
      </c>
      <c r="J170" s="25" t="s">
        <v>49</v>
      </c>
      <c r="K170" s="20" t="s">
        <v>508</v>
      </c>
      <c r="L170" s="26" t="s">
        <v>39</v>
      </c>
      <c r="M170" s="26" t="s">
        <v>40</v>
      </c>
      <c r="N170" s="27" t="s">
        <v>40</v>
      </c>
      <c r="O170" s="27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ht="25.5" customHeight="1">
      <c r="A171" s="19">
        <v>163.0</v>
      </c>
      <c r="B171" s="19" t="s">
        <v>494</v>
      </c>
      <c r="C171" s="20" t="s">
        <v>506</v>
      </c>
      <c r="D171" s="21" t="s">
        <v>52</v>
      </c>
      <c r="E171" s="21" t="s">
        <v>509</v>
      </c>
      <c r="F171" s="22">
        <v>0.0</v>
      </c>
      <c r="G171" s="23">
        <v>15400.0</v>
      </c>
      <c r="H171" s="24">
        <v>7.4253055E7</v>
      </c>
      <c r="I171" s="24" t="str">
        <f>IFERROR(__xludf.DUMMYFUNCTION("REGEXEXTRACT(E171, ""ک\s(\d{16})"")"),"6219861085979838")</f>
        <v>6219861085979838</v>
      </c>
      <c r="J171" s="25" t="s">
        <v>49</v>
      </c>
      <c r="K171" s="20" t="s">
        <v>508</v>
      </c>
      <c r="L171" s="26" t="s">
        <v>39</v>
      </c>
      <c r="M171" s="26" t="s">
        <v>40</v>
      </c>
      <c r="N171" s="27" t="s">
        <v>40</v>
      </c>
      <c r="O171" s="27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ht="25.5" customHeight="1">
      <c r="A172" s="19">
        <v>164.0</v>
      </c>
      <c r="B172" s="19" t="s">
        <v>494</v>
      </c>
      <c r="C172" s="20" t="s">
        <v>510</v>
      </c>
      <c r="D172" s="21" t="s">
        <v>52</v>
      </c>
      <c r="E172" s="21" t="s">
        <v>511</v>
      </c>
      <c r="F172" s="22">
        <v>0.0</v>
      </c>
      <c r="G172" s="23">
        <v>1.711E7</v>
      </c>
      <c r="H172" s="24">
        <v>5.7143055E7</v>
      </c>
      <c r="I172" s="24" t="str">
        <f>IFERROR(__xludf.DUMMYFUNCTION("REGEXEXTRACT(E172, ""ک\s(\d{16})"")"),"5894631178646402")</f>
        <v>5894631178646402</v>
      </c>
      <c r="J172" s="25" t="s">
        <v>49</v>
      </c>
      <c r="K172" s="20" t="s">
        <v>512</v>
      </c>
      <c r="L172" s="26" t="s">
        <v>39</v>
      </c>
      <c r="M172" s="26" t="s">
        <v>40</v>
      </c>
      <c r="N172" s="27" t="s">
        <v>40</v>
      </c>
      <c r="O172" s="27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ht="25.5" customHeight="1">
      <c r="A173" s="19">
        <v>165.0</v>
      </c>
      <c r="B173" s="19" t="s">
        <v>494</v>
      </c>
      <c r="C173" s="20" t="s">
        <v>510</v>
      </c>
      <c r="D173" s="21" t="s">
        <v>52</v>
      </c>
      <c r="E173" s="21" t="s">
        <v>513</v>
      </c>
      <c r="F173" s="22">
        <v>0.0</v>
      </c>
      <c r="G173" s="23">
        <v>12200.0</v>
      </c>
      <c r="H173" s="24">
        <v>5.7130855E7</v>
      </c>
      <c r="I173" s="24" t="str">
        <f>IFERROR(__xludf.DUMMYFUNCTION("REGEXEXTRACT(E173, ""ک\s(\d{16})"")"),"6219861085979838")</f>
        <v>6219861085979838</v>
      </c>
      <c r="J173" s="25" t="s">
        <v>49</v>
      </c>
      <c r="K173" s="20" t="s">
        <v>512</v>
      </c>
      <c r="L173" s="26" t="s">
        <v>39</v>
      </c>
      <c r="M173" s="26" t="s">
        <v>40</v>
      </c>
      <c r="N173" s="27" t="s">
        <v>40</v>
      </c>
      <c r="O173" s="27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ht="25.5" customHeight="1">
      <c r="A174" s="19">
        <v>166.0</v>
      </c>
      <c r="B174" s="19" t="s">
        <v>494</v>
      </c>
      <c r="C174" s="20" t="s">
        <v>514</v>
      </c>
      <c r="D174" s="21" t="s">
        <v>65</v>
      </c>
      <c r="E174" s="21" t="s">
        <v>515</v>
      </c>
      <c r="F174" s="22">
        <v>0.0</v>
      </c>
      <c r="G174" s="23">
        <v>1800.0</v>
      </c>
      <c r="H174" s="24">
        <v>5.7129055E7</v>
      </c>
      <c r="I174" s="24" t="str">
        <f>IFERROR(__xludf.DUMMYFUNCTION("REGEXEXTRACT(E174, ""ک\s(\d{16})"")"),"6219861085979838")</f>
        <v>6219861085979838</v>
      </c>
      <c r="J174" s="25" t="s">
        <v>49</v>
      </c>
      <c r="K174" s="20" t="s">
        <v>516</v>
      </c>
      <c r="L174" s="26" t="s">
        <v>39</v>
      </c>
      <c r="M174" s="26" t="s">
        <v>40</v>
      </c>
      <c r="N174" s="27" t="s">
        <v>40</v>
      </c>
      <c r="O174" s="27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ht="25.5" customHeight="1">
      <c r="A175" s="19">
        <v>167.0</v>
      </c>
      <c r="B175" s="19" t="s">
        <v>494</v>
      </c>
      <c r="C175" s="20" t="s">
        <v>517</v>
      </c>
      <c r="D175" s="21" t="s">
        <v>47</v>
      </c>
      <c r="E175" s="21" t="s">
        <v>518</v>
      </c>
      <c r="F175" s="22">
        <v>0.0</v>
      </c>
      <c r="G175" s="23">
        <v>1400000.0</v>
      </c>
      <c r="H175" s="24">
        <v>5.5729055E7</v>
      </c>
      <c r="I175" s="24" t="str">
        <f>IFERROR(__xludf.DUMMYFUNCTION("REGEXEXTRACT(E175, ""ک\s(\d{16})"")"),"6219861085979838")</f>
        <v>6219861085979838</v>
      </c>
      <c r="J175" s="25" t="s">
        <v>49</v>
      </c>
      <c r="K175" s="20" t="s">
        <v>519</v>
      </c>
      <c r="L175" s="26" t="s">
        <v>39</v>
      </c>
      <c r="M175" s="26" t="s">
        <v>40</v>
      </c>
      <c r="N175" s="27" t="s">
        <v>40</v>
      </c>
      <c r="O175" s="27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ht="25.5" customHeight="1">
      <c r="A176" s="19">
        <v>168.0</v>
      </c>
      <c r="B176" s="19" t="s">
        <v>494</v>
      </c>
      <c r="C176" s="20" t="s">
        <v>520</v>
      </c>
      <c r="D176" s="21" t="s">
        <v>47</v>
      </c>
      <c r="E176" s="21" t="s">
        <v>521</v>
      </c>
      <c r="F176" s="22">
        <v>0.0</v>
      </c>
      <c r="G176" s="23">
        <v>5100000.0</v>
      </c>
      <c r="H176" s="24">
        <v>5.0629055E7</v>
      </c>
      <c r="I176" s="24" t="str">
        <f>IFERROR(__xludf.DUMMYFUNCTION("REGEXEXTRACT(E176, ""ک\s(\d{16})"")"),"6219861085979838")</f>
        <v>6219861085979838</v>
      </c>
      <c r="J176" s="25" t="s">
        <v>49</v>
      </c>
      <c r="K176" s="20" t="s">
        <v>522</v>
      </c>
      <c r="L176" s="26" t="s">
        <v>39</v>
      </c>
      <c r="M176" s="26" t="s">
        <v>40</v>
      </c>
      <c r="N176" s="27" t="s">
        <v>40</v>
      </c>
      <c r="O176" s="27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ht="25.5" customHeight="1">
      <c r="A177" s="19">
        <v>169.0</v>
      </c>
      <c r="B177" s="19" t="s">
        <v>494</v>
      </c>
      <c r="C177" s="20" t="s">
        <v>523</v>
      </c>
      <c r="D177" s="21" t="s">
        <v>65</v>
      </c>
      <c r="E177" s="21" t="s">
        <v>524</v>
      </c>
      <c r="F177" s="22">
        <v>0.0</v>
      </c>
      <c r="G177" s="23">
        <v>1800.0</v>
      </c>
      <c r="H177" s="24">
        <v>5.0627255E7</v>
      </c>
      <c r="I177" s="24" t="str">
        <f>IFERROR(__xludf.DUMMYFUNCTION("REGEXEXTRACT(E177, ""ک\s(\d{16})"")"),"6219861085979838")</f>
        <v>6219861085979838</v>
      </c>
      <c r="J177" s="25" t="s">
        <v>49</v>
      </c>
      <c r="K177" s="20" t="s">
        <v>525</v>
      </c>
      <c r="L177" s="26" t="s">
        <v>39</v>
      </c>
      <c r="M177" s="26" t="s">
        <v>40</v>
      </c>
      <c r="N177" s="27" t="s">
        <v>40</v>
      </c>
      <c r="O177" s="27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ht="25.5" customHeight="1">
      <c r="A178" s="19">
        <v>170.0</v>
      </c>
      <c r="B178" s="19" t="s">
        <v>494</v>
      </c>
      <c r="C178" s="20" t="s">
        <v>526</v>
      </c>
      <c r="D178" s="21" t="s">
        <v>52</v>
      </c>
      <c r="E178" s="21" t="s">
        <v>527</v>
      </c>
      <c r="F178" s="22">
        <v>1100000.0</v>
      </c>
      <c r="G178" s="23">
        <v>0.0</v>
      </c>
      <c r="H178" s="24">
        <v>5.1727255E7</v>
      </c>
      <c r="I178" s="24" t="str">
        <f>IFERROR(__xludf.DUMMYFUNCTION("REGEXEXTRACT(E178, ""ک\s(\d{16})"")"),"5892101574644916")</f>
        <v>5892101574644916</v>
      </c>
      <c r="J178" s="25" t="s">
        <v>49</v>
      </c>
      <c r="K178" s="20" t="s">
        <v>528</v>
      </c>
      <c r="L178" s="26" t="s">
        <v>39</v>
      </c>
      <c r="M178" s="26" t="s">
        <v>40</v>
      </c>
      <c r="N178" s="27" t="s">
        <v>40</v>
      </c>
      <c r="O178" s="27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ht="25.5" customHeight="1">
      <c r="A179" s="19">
        <v>171.0</v>
      </c>
      <c r="B179" s="19" t="s">
        <v>529</v>
      </c>
      <c r="C179" s="20" t="s">
        <v>530</v>
      </c>
      <c r="D179" s="21" t="s">
        <v>35</v>
      </c>
      <c r="E179" s="21" t="s">
        <v>531</v>
      </c>
      <c r="F179" s="22">
        <v>8.0E7</v>
      </c>
      <c r="G179" s="23">
        <v>0.0</v>
      </c>
      <c r="H179" s="24">
        <v>1.31727255E8</v>
      </c>
      <c r="I179" s="24" t="str">
        <f>IFERROR(__xludf.DUMMYFUNCTION("REGEXEXTRACT(E179, ""ک\s(\d{16})"")"),"#N/A")</f>
        <v>#N/A</v>
      </c>
      <c r="J179" s="25" t="s">
        <v>37</v>
      </c>
      <c r="K179" s="20" t="s">
        <v>532</v>
      </c>
      <c r="L179" s="26" t="s">
        <v>39</v>
      </c>
      <c r="M179" s="26" t="s">
        <v>40</v>
      </c>
      <c r="N179" s="27" t="s">
        <v>40</v>
      </c>
      <c r="O179" s="27" t="s">
        <v>533</v>
      </c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ht="25.5" customHeight="1">
      <c r="A180" s="19">
        <v>172.0</v>
      </c>
      <c r="B180" s="19" t="s">
        <v>529</v>
      </c>
      <c r="C180" s="20" t="s">
        <v>534</v>
      </c>
      <c r="D180" s="21" t="s">
        <v>47</v>
      </c>
      <c r="E180" s="21" t="s">
        <v>535</v>
      </c>
      <c r="F180" s="22">
        <v>0.0</v>
      </c>
      <c r="G180" s="23">
        <v>1.55E7</v>
      </c>
      <c r="H180" s="24">
        <v>1.16227255E8</v>
      </c>
      <c r="I180" s="24" t="str">
        <f>IFERROR(__xludf.DUMMYFUNCTION("REGEXEXTRACT(E180, ""ک\s(\d{16})"")"),"6219861085979838")</f>
        <v>6219861085979838</v>
      </c>
      <c r="J180" s="25" t="s">
        <v>49</v>
      </c>
      <c r="K180" s="20" t="s">
        <v>536</v>
      </c>
      <c r="L180" s="26" t="s">
        <v>39</v>
      </c>
      <c r="M180" s="26" t="s">
        <v>40</v>
      </c>
      <c r="N180" s="27" t="s">
        <v>40</v>
      </c>
      <c r="O180" s="27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ht="25.5" customHeight="1">
      <c r="A181" s="19">
        <v>173.0</v>
      </c>
      <c r="B181" s="19" t="s">
        <v>529</v>
      </c>
      <c r="C181" s="20" t="s">
        <v>537</v>
      </c>
      <c r="D181" s="21" t="s">
        <v>65</v>
      </c>
      <c r="E181" s="21" t="s">
        <v>538</v>
      </c>
      <c r="F181" s="22">
        <v>0.0</v>
      </c>
      <c r="G181" s="23">
        <v>1800.0</v>
      </c>
      <c r="H181" s="24">
        <v>1.16225455E8</v>
      </c>
      <c r="I181" s="24" t="str">
        <f>IFERROR(__xludf.DUMMYFUNCTION("REGEXEXTRACT(E181, ""ک\s(\d{16})"")"),"6219861085979838")</f>
        <v>6219861085979838</v>
      </c>
      <c r="J181" s="25" t="s">
        <v>49</v>
      </c>
      <c r="K181" s="20" t="s">
        <v>539</v>
      </c>
      <c r="L181" s="26" t="s">
        <v>39</v>
      </c>
      <c r="M181" s="26" t="s">
        <v>40</v>
      </c>
      <c r="N181" s="27" t="s">
        <v>40</v>
      </c>
      <c r="O181" s="27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ht="25.5" customHeight="1">
      <c r="A182" s="19">
        <v>174.0</v>
      </c>
      <c r="B182" s="19" t="s">
        <v>529</v>
      </c>
      <c r="C182" s="20" t="s">
        <v>540</v>
      </c>
      <c r="D182" s="21" t="s">
        <v>52</v>
      </c>
      <c r="E182" s="21" t="s">
        <v>541</v>
      </c>
      <c r="F182" s="22">
        <v>0.0</v>
      </c>
      <c r="G182" s="23">
        <v>2.83E7</v>
      </c>
      <c r="H182" s="24">
        <v>8.7925455E7</v>
      </c>
      <c r="I182" s="24" t="str">
        <f>IFERROR(__xludf.DUMMYFUNCTION("REGEXEXTRACT(E182, ""ک\s(\d{16})"")"),"6037701642636788")</f>
        <v>6037701642636788</v>
      </c>
      <c r="J182" s="25" t="s">
        <v>49</v>
      </c>
      <c r="K182" s="20" t="s">
        <v>542</v>
      </c>
      <c r="L182" s="26" t="s">
        <v>39</v>
      </c>
      <c r="M182" s="26" t="s">
        <v>40</v>
      </c>
      <c r="N182" s="27" t="s">
        <v>40</v>
      </c>
      <c r="O182" s="27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ht="25.5" customHeight="1">
      <c r="A183" s="19">
        <v>175.0</v>
      </c>
      <c r="B183" s="19" t="s">
        <v>529</v>
      </c>
      <c r="C183" s="20" t="s">
        <v>540</v>
      </c>
      <c r="D183" s="21" t="s">
        <v>52</v>
      </c>
      <c r="E183" s="21" t="s">
        <v>543</v>
      </c>
      <c r="F183" s="22">
        <v>0.0</v>
      </c>
      <c r="G183" s="23">
        <v>15400.0</v>
      </c>
      <c r="H183" s="24">
        <v>8.7910055E7</v>
      </c>
      <c r="I183" s="24" t="str">
        <f>IFERROR(__xludf.DUMMYFUNCTION("REGEXEXTRACT(E183, ""ک\s(\d{16})"")"),"6219861085979838")</f>
        <v>6219861085979838</v>
      </c>
      <c r="J183" s="25" t="s">
        <v>49</v>
      </c>
      <c r="K183" s="20" t="s">
        <v>542</v>
      </c>
      <c r="L183" s="26" t="s">
        <v>39</v>
      </c>
      <c r="M183" s="26" t="s">
        <v>40</v>
      </c>
      <c r="N183" s="27" t="s">
        <v>40</v>
      </c>
      <c r="O183" s="27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ht="25.5" customHeight="1">
      <c r="A184" s="19">
        <v>176.0</v>
      </c>
      <c r="B184" s="19" t="s">
        <v>529</v>
      </c>
      <c r="C184" s="20" t="s">
        <v>544</v>
      </c>
      <c r="D184" s="21" t="s">
        <v>52</v>
      </c>
      <c r="E184" s="21" t="s">
        <v>545</v>
      </c>
      <c r="F184" s="22">
        <v>0.0</v>
      </c>
      <c r="G184" s="23">
        <v>1.474E7</v>
      </c>
      <c r="H184" s="24">
        <v>7.3170055E7</v>
      </c>
      <c r="I184" s="24" t="str">
        <f>IFERROR(__xludf.DUMMYFUNCTION("REGEXEXTRACT(E184, ""ک\s(\d{16})"")"),"6037997452281877")</f>
        <v>6037997452281877</v>
      </c>
      <c r="J184" s="25" t="s">
        <v>49</v>
      </c>
      <c r="K184" s="20" t="s">
        <v>546</v>
      </c>
      <c r="L184" s="26" t="s">
        <v>39</v>
      </c>
      <c r="M184" s="26" t="s">
        <v>40</v>
      </c>
      <c r="N184" s="27" t="s">
        <v>40</v>
      </c>
      <c r="O184" s="27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ht="25.5" customHeight="1">
      <c r="A185" s="19">
        <v>177.0</v>
      </c>
      <c r="B185" s="19" t="s">
        <v>529</v>
      </c>
      <c r="C185" s="20" t="s">
        <v>544</v>
      </c>
      <c r="D185" s="21" t="s">
        <v>52</v>
      </c>
      <c r="E185" s="21" t="s">
        <v>547</v>
      </c>
      <c r="F185" s="22">
        <v>0.0</v>
      </c>
      <c r="G185" s="23">
        <v>12200.0</v>
      </c>
      <c r="H185" s="24">
        <v>7.3157855E7</v>
      </c>
      <c r="I185" s="24" t="str">
        <f>IFERROR(__xludf.DUMMYFUNCTION("REGEXEXTRACT(E185, ""ک\s(\d{16})"")"),"6219861085979838")</f>
        <v>6219861085979838</v>
      </c>
      <c r="J185" s="25" t="s">
        <v>49</v>
      </c>
      <c r="K185" s="20" t="s">
        <v>546</v>
      </c>
      <c r="L185" s="26" t="s">
        <v>39</v>
      </c>
      <c r="M185" s="26" t="s">
        <v>40</v>
      </c>
      <c r="N185" s="27" t="s">
        <v>40</v>
      </c>
      <c r="O185" s="27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ht="25.5" customHeight="1">
      <c r="A186" s="19">
        <v>178.0</v>
      </c>
      <c r="B186" s="19" t="s">
        <v>529</v>
      </c>
      <c r="C186" s="20" t="s">
        <v>548</v>
      </c>
      <c r="D186" s="21" t="s">
        <v>52</v>
      </c>
      <c r="E186" s="21" t="s">
        <v>549</v>
      </c>
      <c r="F186" s="22">
        <v>0.0</v>
      </c>
      <c r="G186" s="23">
        <v>3.0E7</v>
      </c>
      <c r="H186" s="24">
        <v>4.3157855E7</v>
      </c>
      <c r="I186" s="24" t="str">
        <f>IFERROR(__xludf.DUMMYFUNCTION("REGEXEXTRACT(E186, ""ک\s(\d{16})"")"),"6037701575716284")</f>
        <v>6037701575716284</v>
      </c>
      <c r="J186" s="25" t="s">
        <v>49</v>
      </c>
      <c r="K186" s="20" t="s">
        <v>550</v>
      </c>
      <c r="L186" s="26" t="s">
        <v>39</v>
      </c>
      <c r="M186" s="26" t="s">
        <v>40</v>
      </c>
      <c r="N186" s="27" t="s">
        <v>40</v>
      </c>
      <c r="O186" s="27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ht="25.5" customHeight="1">
      <c r="A187" s="19">
        <v>179.0</v>
      </c>
      <c r="B187" s="19" t="s">
        <v>529</v>
      </c>
      <c r="C187" s="20" t="s">
        <v>548</v>
      </c>
      <c r="D187" s="21" t="s">
        <v>52</v>
      </c>
      <c r="E187" s="21" t="s">
        <v>551</v>
      </c>
      <c r="F187" s="22">
        <v>0.0</v>
      </c>
      <c r="G187" s="23">
        <v>15400.0</v>
      </c>
      <c r="H187" s="24">
        <v>4.3142455E7</v>
      </c>
      <c r="I187" s="24" t="str">
        <f>IFERROR(__xludf.DUMMYFUNCTION("REGEXEXTRACT(E187, ""ک\s(\d{16})"")"),"6219861085979838")</f>
        <v>6219861085979838</v>
      </c>
      <c r="J187" s="25" t="s">
        <v>49</v>
      </c>
      <c r="K187" s="20" t="s">
        <v>550</v>
      </c>
      <c r="L187" s="26" t="s">
        <v>39</v>
      </c>
      <c r="M187" s="26" t="s">
        <v>40</v>
      </c>
      <c r="N187" s="27" t="s">
        <v>40</v>
      </c>
      <c r="O187" s="27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ht="25.5" customHeight="1">
      <c r="A188" s="19">
        <v>180.0</v>
      </c>
      <c r="B188" s="19" t="s">
        <v>529</v>
      </c>
      <c r="C188" s="20" t="s">
        <v>552</v>
      </c>
      <c r="D188" s="21" t="s">
        <v>52</v>
      </c>
      <c r="E188" s="21" t="s">
        <v>553</v>
      </c>
      <c r="F188" s="22">
        <v>0.0</v>
      </c>
      <c r="G188" s="23">
        <v>2.6E7</v>
      </c>
      <c r="H188" s="24">
        <v>1.7142455E7</v>
      </c>
      <c r="I188" s="24" t="str">
        <f>IFERROR(__xludf.DUMMYFUNCTION("REGEXEXTRACT(E188, ""ک\s(\d{16})"")"),"6274121208660688")</f>
        <v>6274121208660688</v>
      </c>
      <c r="J188" s="25" t="s">
        <v>49</v>
      </c>
      <c r="K188" s="20" t="s">
        <v>554</v>
      </c>
      <c r="L188" s="26" t="s">
        <v>39</v>
      </c>
      <c r="M188" s="26" t="s">
        <v>40</v>
      </c>
      <c r="N188" s="27" t="s">
        <v>40</v>
      </c>
      <c r="O188" s="27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ht="25.5" customHeight="1">
      <c r="A189" s="19">
        <v>181.0</v>
      </c>
      <c r="B189" s="19" t="s">
        <v>529</v>
      </c>
      <c r="C189" s="20" t="s">
        <v>552</v>
      </c>
      <c r="D189" s="21" t="s">
        <v>52</v>
      </c>
      <c r="E189" s="21" t="s">
        <v>555</v>
      </c>
      <c r="F189" s="22">
        <v>0.0</v>
      </c>
      <c r="G189" s="23">
        <v>15400.0</v>
      </c>
      <c r="H189" s="24">
        <v>1.7127055E7</v>
      </c>
      <c r="I189" s="24" t="str">
        <f>IFERROR(__xludf.DUMMYFUNCTION("REGEXEXTRACT(E189, ""ک\s(\d{16})"")"),"6219861085979838")</f>
        <v>6219861085979838</v>
      </c>
      <c r="J189" s="25" t="s">
        <v>49</v>
      </c>
      <c r="K189" s="20" t="s">
        <v>554</v>
      </c>
      <c r="L189" s="26" t="s">
        <v>39</v>
      </c>
      <c r="M189" s="26" t="s">
        <v>40</v>
      </c>
      <c r="N189" s="27" t="s">
        <v>40</v>
      </c>
      <c r="O189" s="27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ht="25.5" customHeight="1">
      <c r="A190" s="19">
        <v>182.0</v>
      </c>
      <c r="B190" s="19" t="s">
        <v>529</v>
      </c>
      <c r="C190" s="20" t="s">
        <v>556</v>
      </c>
      <c r="D190" s="21" t="s">
        <v>65</v>
      </c>
      <c r="E190" s="21" t="s">
        <v>557</v>
      </c>
      <c r="F190" s="22">
        <v>0.0</v>
      </c>
      <c r="G190" s="23">
        <v>1800.0</v>
      </c>
      <c r="H190" s="24">
        <v>1.7125255E7</v>
      </c>
      <c r="I190" s="24" t="str">
        <f>IFERROR(__xludf.DUMMYFUNCTION("REGEXEXTRACT(E190, ""ک\s(\d{16})"")"),"6219861085979838")</f>
        <v>6219861085979838</v>
      </c>
      <c r="J190" s="25" t="s">
        <v>49</v>
      </c>
      <c r="K190" s="20" t="s">
        <v>558</v>
      </c>
      <c r="L190" s="26" t="s">
        <v>39</v>
      </c>
      <c r="M190" s="26" t="s">
        <v>40</v>
      </c>
      <c r="N190" s="27" t="s">
        <v>40</v>
      </c>
      <c r="O190" s="27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ht="25.5" customHeight="1">
      <c r="A191" s="19">
        <v>183.0</v>
      </c>
      <c r="B191" s="19" t="s">
        <v>529</v>
      </c>
      <c r="C191" s="20" t="s">
        <v>559</v>
      </c>
      <c r="D191" s="21" t="s">
        <v>52</v>
      </c>
      <c r="E191" s="21" t="s">
        <v>560</v>
      </c>
      <c r="F191" s="22">
        <v>1700000.0</v>
      </c>
      <c r="G191" s="23">
        <v>0.0</v>
      </c>
      <c r="H191" s="24">
        <v>1.8825255E7</v>
      </c>
      <c r="I191" s="24" t="str">
        <f>IFERROR(__xludf.DUMMYFUNCTION("REGEXEXTRACT(E191, ""ک\s(\d{16})"")"),"5859831851737154")</f>
        <v>5859831851737154</v>
      </c>
      <c r="J191" s="25" t="s">
        <v>49</v>
      </c>
      <c r="K191" s="20" t="s">
        <v>561</v>
      </c>
      <c r="L191" s="26" t="s">
        <v>39</v>
      </c>
      <c r="M191" s="26" t="s">
        <v>40</v>
      </c>
      <c r="N191" s="27" t="s">
        <v>40</v>
      </c>
      <c r="O191" s="27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ht="25.5" customHeight="1">
      <c r="A192" s="19">
        <v>184.0</v>
      </c>
      <c r="B192" s="19" t="s">
        <v>529</v>
      </c>
      <c r="C192" s="20" t="s">
        <v>562</v>
      </c>
      <c r="D192" s="21" t="s">
        <v>47</v>
      </c>
      <c r="E192" s="21" t="s">
        <v>563</v>
      </c>
      <c r="F192" s="22">
        <v>0.0</v>
      </c>
      <c r="G192" s="23">
        <v>1.0E7</v>
      </c>
      <c r="H192" s="24">
        <v>8825255.0</v>
      </c>
      <c r="I192" s="24" t="str">
        <f>IFERROR(__xludf.DUMMYFUNCTION("REGEXEXTRACT(E192, ""ک\s(\d{16})"")"),"6219861085979838")</f>
        <v>6219861085979838</v>
      </c>
      <c r="J192" s="25" t="s">
        <v>49</v>
      </c>
      <c r="K192" s="20" t="s">
        <v>564</v>
      </c>
      <c r="L192" s="26" t="s">
        <v>39</v>
      </c>
      <c r="M192" s="26" t="s">
        <v>40</v>
      </c>
      <c r="N192" s="27" t="s">
        <v>40</v>
      </c>
      <c r="O192" s="27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ht="25.5" customHeight="1">
      <c r="A193" s="19">
        <v>185.0</v>
      </c>
      <c r="B193" s="19" t="s">
        <v>529</v>
      </c>
      <c r="C193" s="20" t="s">
        <v>565</v>
      </c>
      <c r="D193" s="21" t="s">
        <v>35</v>
      </c>
      <c r="E193" s="21" t="s">
        <v>566</v>
      </c>
      <c r="F193" s="22">
        <v>2300000.0</v>
      </c>
      <c r="G193" s="23">
        <v>0.0</v>
      </c>
      <c r="H193" s="24">
        <v>1.1125255E7</v>
      </c>
      <c r="I193" s="24" t="str">
        <f>IFERROR(__xludf.DUMMYFUNCTION("REGEXEXTRACT(E193, ""ک\s(\d{16})"")"),"#N/A")</f>
        <v>#N/A</v>
      </c>
      <c r="J193" s="25" t="s">
        <v>37</v>
      </c>
      <c r="K193" s="20" t="s">
        <v>567</v>
      </c>
      <c r="L193" s="26" t="s">
        <v>39</v>
      </c>
      <c r="M193" s="26" t="s">
        <v>40</v>
      </c>
      <c r="N193" s="27" t="s">
        <v>40</v>
      </c>
      <c r="O193" s="27" t="s">
        <v>568</v>
      </c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ht="25.5" customHeight="1">
      <c r="A194" s="19">
        <v>186.0</v>
      </c>
      <c r="B194" s="19" t="s">
        <v>569</v>
      </c>
      <c r="C194" s="20" t="s">
        <v>570</v>
      </c>
      <c r="D194" s="21" t="s">
        <v>35</v>
      </c>
      <c r="E194" s="21" t="s">
        <v>571</v>
      </c>
      <c r="F194" s="22">
        <v>6.0E7</v>
      </c>
      <c r="G194" s="23">
        <v>0.0</v>
      </c>
      <c r="H194" s="24">
        <v>7.1125255E7</v>
      </c>
      <c r="I194" s="24" t="str">
        <f>IFERROR(__xludf.DUMMYFUNCTION("REGEXEXTRACT(E194, ""ک\s(\d{16})"")"),"#N/A")</f>
        <v>#N/A</v>
      </c>
      <c r="J194" s="25" t="s">
        <v>37</v>
      </c>
      <c r="K194" s="20" t="s">
        <v>572</v>
      </c>
      <c r="L194" s="26" t="s">
        <v>39</v>
      </c>
      <c r="M194" s="26" t="s">
        <v>40</v>
      </c>
      <c r="N194" s="27" t="s">
        <v>40</v>
      </c>
      <c r="O194" s="27" t="s">
        <v>573</v>
      </c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ht="25.5" customHeight="1">
      <c r="A195" s="19">
        <v>187.0</v>
      </c>
      <c r="B195" s="19" t="s">
        <v>569</v>
      </c>
      <c r="C195" s="20" t="s">
        <v>574</v>
      </c>
      <c r="D195" s="21" t="s">
        <v>35</v>
      </c>
      <c r="E195" s="21" t="s">
        <v>575</v>
      </c>
      <c r="F195" s="22">
        <v>900000.0</v>
      </c>
      <c r="G195" s="23">
        <v>0.0</v>
      </c>
      <c r="H195" s="24">
        <v>7.2025255E7</v>
      </c>
      <c r="I195" s="24" t="str">
        <f>IFERROR(__xludf.DUMMYFUNCTION("REGEXEXTRACT(E195, ""ک\s(\d{16})"")"),"#N/A")</f>
        <v>#N/A</v>
      </c>
      <c r="J195" s="25" t="s">
        <v>37</v>
      </c>
      <c r="K195" s="20" t="s">
        <v>576</v>
      </c>
      <c r="L195" s="26" t="s">
        <v>39</v>
      </c>
      <c r="M195" s="26" t="s">
        <v>40</v>
      </c>
      <c r="N195" s="27" t="s">
        <v>40</v>
      </c>
      <c r="O195" s="27" t="s">
        <v>577</v>
      </c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ht="25.5" customHeight="1">
      <c r="A196" s="19">
        <v>188.0</v>
      </c>
      <c r="B196" s="19" t="s">
        <v>569</v>
      </c>
      <c r="C196" s="20" t="s">
        <v>578</v>
      </c>
      <c r="D196" s="21" t="s">
        <v>52</v>
      </c>
      <c r="E196" s="21" t="s">
        <v>579</v>
      </c>
      <c r="F196" s="22">
        <v>1700000.0</v>
      </c>
      <c r="G196" s="23">
        <v>0.0</v>
      </c>
      <c r="H196" s="24">
        <v>7.3725255E7</v>
      </c>
      <c r="I196" s="24" t="str">
        <f>IFERROR(__xludf.DUMMYFUNCTION("REGEXEXTRACT(E196, ""ک\s(\d{16})"")"),"6037691636021057")</f>
        <v>6037691636021057</v>
      </c>
      <c r="J196" s="25" t="s">
        <v>49</v>
      </c>
      <c r="K196" s="20" t="s">
        <v>580</v>
      </c>
      <c r="L196" s="26" t="s">
        <v>39</v>
      </c>
      <c r="M196" s="26" t="s">
        <v>40</v>
      </c>
      <c r="N196" s="27" t="s">
        <v>40</v>
      </c>
      <c r="O196" s="27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ht="25.5" customHeight="1">
      <c r="A197" s="19">
        <v>189.0</v>
      </c>
      <c r="B197" s="19" t="s">
        <v>569</v>
      </c>
      <c r="C197" s="20" t="s">
        <v>581</v>
      </c>
      <c r="D197" s="21" t="s">
        <v>65</v>
      </c>
      <c r="E197" s="21" t="s">
        <v>582</v>
      </c>
      <c r="F197" s="22">
        <v>0.0</v>
      </c>
      <c r="G197" s="23">
        <v>1800.0</v>
      </c>
      <c r="H197" s="24">
        <v>7.3723455E7</v>
      </c>
      <c r="I197" s="24" t="str">
        <f>IFERROR(__xludf.DUMMYFUNCTION("REGEXEXTRACT(E197, ""ک\s(\d{16})"")"),"6219861085979838")</f>
        <v>6219861085979838</v>
      </c>
      <c r="J197" s="25" t="s">
        <v>49</v>
      </c>
      <c r="K197" s="20" t="s">
        <v>583</v>
      </c>
      <c r="L197" s="26" t="s">
        <v>39</v>
      </c>
      <c r="M197" s="26" t="s">
        <v>40</v>
      </c>
      <c r="N197" s="27" t="s">
        <v>40</v>
      </c>
      <c r="O197" s="27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ht="25.5" customHeight="1">
      <c r="A198" s="19">
        <v>190.0</v>
      </c>
      <c r="B198" s="19" t="s">
        <v>569</v>
      </c>
      <c r="C198" s="20" t="s">
        <v>584</v>
      </c>
      <c r="D198" s="21" t="s">
        <v>52</v>
      </c>
      <c r="E198" s="21" t="s">
        <v>585</v>
      </c>
      <c r="F198" s="22">
        <v>0.0</v>
      </c>
      <c r="G198" s="23">
        <v>1.584E7</v>
      </c>
      <c r="H198" s="24">
        <v>5.7883455E7</v>
      </c>
      <c r="I198" s="24" t="str">
        <f>IFERROR(__xludf.DUMMYFUNCTION("REGEXEXTRACT(E198, ""ک\s(\d{16})"")"),"6037997452281877")</f>
        <v>6037997452281877</v>
      </c>
      <c r="J198" s="25" t="s">
        <v>49</v>
      </c>
      <c r="K198" s="20" t="s">
        <v>586</v>
      </c>
      <c r="L198" s="26" t="s">
        <v>39</v>
      </c>
      <c r="M198" s="26" t="s">
        <v>40</v>
      </c>
      <c r="N198" s="27" t="s">
        <v>40</v>
      </c>
      <c r="O198" s="27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ht="25.5" customHeight="1">
      <c r="A199" s="19">
        <v>191.0</v>
      </c>
      <c r="B199" s="19" t="s">
        <v>569</v>
      </c>
      <c r="C199" s="20" t="s">
        <v>584</v>
      </c>
      <c r="D199" s="21" t="s">
        <v>52</v>
      </c>
      <c r="E199" s="21" t="s">
        <v>587</v>
      </c>
      <c r="F199" s="22">
        <v>0.0</v>
      </c>
      <c r="G199" s="23">
        <v>12200.0</v>
      </c>
      <c r="H199" s="24">
        <v>5.7871255E7</v>
      </c>
      <c r="I199" s="24" t="str">
        <f>IFERROR(__xludf.DUMMYFUNCTION("REGEXEXTRACT(E199, ""ک\s(\d{16})"")"),"6219861085979838")</f>
        <v>6219861085979838</v>
      </c>
      <c r="J199" s="25" t="s">
        <v>49</v>
      </c>
      <c r="K199" s="20" t="s">
        <v>586</v>
      </c>
      <c r="L199" s="26" t="s">
        <v>39</v>
      </c>
      <c r="M199" s="26" t="s">
        <v>40</v>
      </c>
      <c r="N199" s="27" t="s">
        <v>40</v>
      </c>
      <c r="O199" s="27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ht="25.5" customHeight="1">
      <c r="A200" s="19">
        <v>192.0</v>
      </c>
      <c r="B200" s="19" t="s">
        <v>569</v>
      </c>
      <c r="C200" s="20" t="s">
        <v>588</v>
      </c>
      <c r="D200" s="21" t="s">
        <v>52</v>
      </c>
      <c r="E200" s="21" t="s">
        <v>589</v>
      </c>
      <c r="F200" s="22">
        <v>0.0</v>
      </c>
      <c r="G200" s="23">
        <v>2.1744E7</v>
      </c>
      <c r="H200" s="24">
        <v>3.6127255E7</v>
      </c>
      <c r="I200" s="24" t="str">
        <f>IFERROR(__xludf.DUMMYFUNCTION("REGEXEXTRACT(E200, ""ک\s(\d{16})"")"),"6104338738476148")</f>
        <v>6104338738476148</v>
      </c>
      <c r="J200" s="25" t="s">
        <v>49</v>
      </c>
      <c r="K200" s="20" t="s">
        <v>590</v>
      </c>
      <c r="L200" s="26" t="s">
        <v>39</v>
      </c>
      <c r="M200" s="26" t="s">
        <v>40</v>
      </c>
      <c r="N200" s="27" t="s">
        <v>40</v>
      </c>
      <c r="O200" s="27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ht="25.5" customHeight="1">
      <c r="A201" s="19">
        <v>193.0</v>
      </c>
      <c r="B201" s="19" t="s">
        <v>569</v>
      </c>
      <c r="C201" s="20" t="s">
        <v>588</v>
      </c>
      <c r="D201" s="21" t="s">
        <v>52</v>
      </c>
      <c r="E201" s="21" t="s">
        <v>591</v>
      </c>
      <c r="F201" s="22">
        <v>0.0</v>
      </c>
      <c r="G201" s="23">
        <v>15400.0</v>
      </c>
      <c r="H201" s="24">
        <v>3.6111855E7</v>
      </c>
      <c r="I201" s="24" t="str">
        <f>IFERROR(__xludf.DUMMYFUNCTION("REGEXEXTRACT(E201, ""ک\s(\d{16})"")"),"6219861085979838")</f>
        <v>6219861085979838</v>
      </c>
      <c r="J201" s="25" t="s">
        <v>49</v>
      </c>
      <c r="K201" s="20" t="s">
        <v>590</v>
      </c>
      <c r="L201" s="26" t="s">
        <v>39</v>
      </c>
      <c r="M201" s="26" t="s">
        <v>40</v>
      </c>
      <c r="N201" s="27" t="s">
        <v>40</v>
      </c>
      <c r="O201" s="27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ht="25.5" customHeight="1">
      <c r="A202" s="19">
        <v>194.0</v>
      </c>
      <c r="B202" s="19" t="s">
        <v>569</v>
      </c>
      <c r="C202" s="20" t="s">
        <v>592</v>
      </c>
      <c r="D202" s="21" t="s">
        <v>65</v>
      </c>
      <c r="E202" s="21" t="s">
        <v>593</v>
      </c>
      <c r="F202" s="22">
        <v>0.0</v>
      </c>
      <c r="G202" s="23">
        <v>1800.0</v>
      </c>
      <c r="H202" s="24">
        <v>3.6110055E7</v>
      </c>
      <c r="I202" s="24" t="str">
        <f>IFERROR(__xludf.DUMMYFUNCTION("REGEXEXTRACT(E202, ""ک\s(\d{16})"")"),"6219861085979838")</f>
        <v>6219861085979838</v>
      </c>
      <c r="J202" s="25" t="s">
        <v>49</v>
      </c>
      <c r="K202" s="20" t="s">
        <v>594</v>
      </c>
      <c r="L202" s="26" t="s">
        <v>39</v>
      </c>
      <c r="M202" s="26" t="s">
        <v>40</v>
      </c>
      <c r="N202" s="27" t="s">
        <v>40</v>
      </c>
      <c r="O202" s="27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ht="25.5" customHeight="1">
      <c r="A203" s="19">
        <v>195.0</v>
      </c>
      <c r="B203" s="19" t="s">
        <v>595</v>
      </c>
      <c r="C203" s="20" t="s">
        <v>596</v>
      </c>
      <c r="D203" s="21" t="s">
        <v>35</v>
      </c>
      <c r="E203" s="21" t="s">
        <v>597</v>
      </c>
      <c r="F203" s="22">
        <v>6.7E7</v>
      </c>
      <c r="G203" s="23">
        <v>0.0</v>
      </c>
      <c r="H203" s="24">
        <v>1.03110055E8</v>
      </c>
      <c r="I203" s="24" t="str">
        <f>IFERROR(__xludf.DUMMYFUNCTION("REGEXEXTRACT(E203, ""ک\s(\d{16})"")"),"#N/A")</f>
        <v>#N/A</v>
      </c>
      <c r="J203" s="25" t="s">
        <v>37</v>
      </c>
      <c r="K203" s="20" t="s">
        <v>598</v>
      </c>
      <c r="L203" s="26" t="s">
        <v>39</v>
      </c>
      <c r="M203" s="26" t="s">
        <v>40</v>
      </c>
      <c r="N203" s="27" t="s">
        <v>40</v>
      </c>
      <c r="O203" s="27" t="s">
        <v>599</v>
      </c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ht="25.5" customHeight="1">
      <c r="A204" s="19">
        <v>196.0</v>
      </c>
      <c r="B204" s="19" t="s">
        <v>595</v>
      </c>
      <c r="C204" s="20" t="s">
        <v>600</v>
      </c>
      <c r="D204" s="21" t="s">
        <v>47</v>
      </c>
      <c r="E204" s="21" t="s">
        <v>601</v>
      </c>
      <c r="F204" s="22">
        <v>0.0</v>
      </c>
      <c r="G204" s="23">
        <v>1.55E7</v>
      </c>
      <c r="H204" s="24">
        <v>8.7610055E7</v>
      </c>
      <c r="I204" s="24" t="str">
        <f>IFERROR(__xludf.DUMMYFUNCTION("REGEXEXTRACT(E204, ""ک\s(\d{16})"")"),"6219861085979838")</f>
        <v>6219861085979838</v>
      </c>
      <c r="J204" s="25" t="s">
        <v>49</v>
      </c>
      <c r="K204" s="20" t="s">
        <v>602</v>
      </c>
      <c r="L204" s="26" t="s">
        <v>39</v>
      </c>
      <c r="M204" s="26" t="s">
        <v>40</v>
      </c>
      <c r="N204" s="27" t="s">
        <v>40</v>
      </c>
      <c r="O204" s="27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ht="25.5" customHeight="1">
      <c r="A205" s="19">
        <v>197.0</v>
      </c>
      <c r="B205" s="19" t="s">
        <v>595</v>
      </c>
      <c r="C205" s="20" t="s">
        <v>603</v>
      </c>
      <c r="D205" s="21" t="s">
        <v>47</v>
      </c>
      <c r="E205" s="21" t="s">
        <v>604</v>
      </c>
      <c r="F205" s="22">
        <v>0.0</v>
      </c>
      <c r="G205" s="23">
        <v>6500000.0</v>
      </c>
      <c r="H205" s="24">
        <v>8.1110055E7</v>
      </c>
      <c r="I205" s="24" t="str">
        <f>IFERROR(__xludf.DUMMYFUNCTION("REGEXEXTRACT(E205, ""ک\s(\d{16})"")"),"6219861085979838")</f>
        <v>6219861085979838</v>
      </c>
      <c r="J205" s="25" t="s">
        <v>49</v>
      </c>
      <c r="K205" s="20" t="s">
        <v>605</v>
      </c>
      <c r="L205" s="26" t="s">
        <v>39</v>
      </c>
      <c r="M205" s="26" t="s">
        <v>40</v>
      </c>
      <c r="N205" s="27" t="s">
        <v>40</v>
      </c>
      <c r="O205" s="27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ht="25.5" customHeight="1">
      <c r="A206" s="19">
        <v>198.0</v>
      </c>
      <c r="B206" s="19" t="s">
        <v>595</v>
      </c>
      <c r="C206" s="20" t="s">
        <v>606</v>
      </c>
      <c r="D206" s="21" t="s">
        <v>65</v>
      </c>
      <c r="E206" s="21" t="s">
        <v>607</v>
      </c>
      <c r="F206" s="22">
        <v>0.0</v>
      </c>
      <c r="G206" s="23">
        <v>1800.0</v>
      </c>
      <c r="H206" s="24">
        <v>8.1108255E7</v>
      </c>
      <c r="I206" s="24" t="str">
        <f>IFERROR(__xludf.DUMMYFUNCTION("REGEXEXTRACT(E206, ""ک\s(\d{16})"")"),"6219861085979838")</f>
        <v>6219861085979838</v>
      </c>
      <c r="J206" s="25" t="s">
        <v>49</v>
      </c>
      <c r="K206" s="20" t="s">
        <v>608</v>
      </c>
      <c r="L206" s="26" t="s">
        <v>39</v>
      </c>
      <c r="M206" s="26" t="s">
        <v>40</v>
      </c>
      <c r="N206" s="27" t="s">
        <v>40</v>
      </c>
      <c r="O206" s="27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ht="25.5" customHeight="1">
      <c r="A207" s="19">
        <v>199.0</v>
      </c>
      <c r="B207" s="19" t="s">
        <v>595</v>
      </c>
      <c r="C207" s="20" t="s">
        <v>609</v>
      </c>
      <c r="D207" s="21" t="s">
        <v>52</v>
      </c>
      <c r="E207" s="21" t="s">
        <v>610</v>
      </c>
      <c r="F207" s="22">
        <v>2000000.0</v>
      </c>
      <c r="G207" s="23">
        <v>0.0</v>
      </c>
      <c r="H207" s="24">
        <v>8.3108255E7</v>
      </c>
      <c r="I207" s="24" t="str">
        <f>IFERROR(__xludf.DUMMYFUNCTION("REGEXEXTRACT(E207, ""ک\s(\d{16})"")"),"5859831117767532")</f>
        <v>5859831117767532</v>
      </c>
      <c r="J207" s="25" t="s">
        <v>49</v>
      </c>
      <c r="K207" s="20" t="s">
        <v>611</v>
      </c>
      <c r="L207" s="26" t="s">
        <v>39</v>
      </c>
      <c r="M207" s="26" t="s">
        <v>40</v>
      </c>
      <c r="N207" s="27" t="s">
        <v>40</v>
      </c>
      <c r="O207" s="27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ht="25.5" customHeight="1">
      <c r="A208" s="19">
        <v>200.0</v>
      </c>
      <c r="B208" s="19" t="s">
        <v>595</v>
      </c>
      <c r="C208" s="20" t="s">
        <v>612</v>
      </c>
      <c r="D208" s="21" t="s">
        <v>52</v>
      </c>
      <c r="E208" s="21" t="s">
        <v>613</v>
      </c>
      <c r="F208" s="22">
        <v>0.0</v>
      </c>
      <c r="G208" s="23">
        <v>2.34E7</v>
      </c>
      <c r="H208" s="24">
        <v>5.9708255E7</v>
      </c>
      <c r="I208" s="24" t="str">
        <f>IFERROR(__xludf.DUMMYFUNCTION("REGEXEXTRACT(E208, ""ک\s(\d{16})"")"),"5894631178646402")</f>
        <v>5894631178646402</v>
      </c>
      <c r="J208" s="25" t="s">
        <v>49</v>
      </c>
      <c r="K208" s="20" t="s">
        <v>614</v>
      </c>
      <c r="L208" s="26" t="s">
        <v>39</v>
      </c>
      <c r="M208" s="26" t="s">
        <v>40</v>
      </c>
      <c r="N208" s="27" t="s">
        <v>40</v>
      </c>
      <c r="O208" s="27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ht="25.5" customHeight="1">
      <c r="A209" s="19">
        <v>201.0</v>
      </c>
      <c r="B209" s="19" t="s">
        <v>595</v>
      </c>
      <c r="C209" s="20" t="s">
        <v>612</v>
      </c>
      <c r="D209" s="21" t="s">
        <v>52</v>
      </c>
      <c r="E209" s="21" t="s">
        <v>615</v>
      </c>
      <c r="F209" s="22">
        <v>0.0</v>
      </c>
      <c r="G209" s="23">
        <v>15400.0</v>
      </c>
      <c r="H209" s="24">
        <v>5.9692855E7</v>
      </c>
      <c r="I209" s="24" t="str">
        <f>IFERROR(__xludf.DUMMYFUNCTION("REGEXEXTRACT(E209, ""ک\s(\d{16})"")"),"6219861085979838")</f>
        <v>6219861085979838</v>
      </c>
      <c r="J209" s="25" t="s">
        <v>49</v>
      </c>
      <c r="K209" s="20" t="s">
        <v>614</v>
      </c>
      <c r="L209" s="26" t="s">
        <v>39</v>
      </c>
      <c r="M209" s="26" t="s">
        <v>40</v>
      </c>
      <c r="N209" s="27" t="s">
        <v>40</v>
      </c>
      <c r="O209" s="27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ht="25.5" customHeight="1">
      <c r="A210" s="19">
        <v>202.0</v>
      </c>
      <c r="B210" s="19" t="s">
        <v>595</v>
      </c>
      <c r="C210" s="20" t="s">
        <v>616</v>
      </c>
      <c r="D210" s="21" t="s">
        <v>47</v>
      </c>
      <c r="E210" s="21" t="s">
        <v>617</v>
      </c>
      <c r="F210" s="22">
        <v>0.0</v>
      </c>
      <c r="G210" s="23">
        <v>5650000.0</v>
      </c>
      <c r="H210" s="24">
        <v>5.4042855E7</v>
      </c>
      <c r="I210" s="24" t="str">
        <f>IFERROR(__xludf.DUMMYFUNCTION("REGEXEXTRACT(E210, ""ک\s(\d{16})"")"),"6219861085979838")</f>
        <v>6219861085979838</v>
      </c>
      <c r="J210" s="25" t="s">
        <v>49</v>
      </c>
      <c r="K210" s="20" t="s">
        <v>618</v>
      </c>
      <c r="L210" s="26" t="s">
        <v>39</v>
      </c>
      <c r="M210" s="26" t="s">
        <v>40</v>
      </c>
      <c r="N210" s="27" t="s">
        <v>40</v>
      </c>
      <c r="O210" s="27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ht="25.5" customHeight="1">
      <c r="A211" s="19">
        <v>203.0</v>
      </c>
      <c r="B211" s="19" t="s">
        <v>619</v>
      </c>
      <c r="C211" s="20" t="s">
        <v>620</v>
      </c>
      <c r="D211" s="21" t="s">
        <v>35</v>
      </c>
      <c r="E211" s="21" t="s">
        <v>621</v>
      </c>
      <c r="F211" s="22">
        <v>7.89E7</v>
      </c>
      <c r="G211" s="23">
        <v>0.0</v>
      </c>
      <c r="H211" s="24">
        <v>1.32942855E8</v>
      </c>
      <c r="I211" s="24" t="str">
        <f>IFERROR(__xludf.DUMMYFUNCTION("REGEXEXTRACT(E211, ""ک\s(\d{16})"")"),"#N/A")</f>
        <v>#N/A</v>
      </c>
      <c r="J211" s="25" t="s">
        <v>37</v>
      </c>
      <c r="K211" s="20" t="s">
        <v>622</v>
      </c>
      <c r="L211" s="26" t="s">
        <v>39</v>
      </c>
      <c r="M211" s="26" t="s">
        <v>40</v>
      </c>
      <c r="N211" s="27" t="s">
        <v>40</v>
      </c>
      <c r="O211" s="27" t="s">
        <v>623</v>
      </c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ht="25.5" customHeight="1">
      <c r="A212" s="19">
        <v>204.0</v>
      </c>
      <c r="B212" s="19" t="s">
        <v>619</v>
      </c>
      <c r="C212" s="20" t="s">
        <v>624</v>
      </c>
      <c r="D212" s="21" t="s">
        <v>47</v>
      </c>
      <c r="E212" s="21" t="s">
        <v>625</v>
      </c>
      <c r="F212" s="22">
        <v>0.0</v>
      </c>
      <c r="G212" s="23">
        <v>9300000.0</v>
      </c>
      <c r="H212" s="24">
        <v>1.23642855E8</v>
      </c>
      <c r="I212" s="24" t="str">
        <f>IFERROR(__xludf.DUMMYFUNCTION("REGEXEXTRACT(E212, ""ک\s(\d{16})"")"),"6219861085979838")</f>
        <v>6219861085979838</v>
      </c>
      <c r="J212" s="25" t="s">
        <v>49</v>
      </c>
      <c r="K212" s="20" t="s">
        <v>626</v>
      </c>
      <c r="L212" s="26" t="s">
        <v>39</v>
      </c>
      <c r="M212" s="26" t="s">
        <v>40</v>
      </c>
      <c r="N212" s="27" t="s">
        <v>40</v>
      </c>
      <c r="O212" s="27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ht="25.5" customHeight="1">
      <c r="A213" s="19">
        <v>205.0</v>
      </c>
      <c r="B213" s="19" t="s">
        <v>619</v>
      </c>
      <c r="C213" s="20" t="s">
        <v>627</v>
      </c>
      <c r="D213" s="21" t="s">
        <v>47</v>
      </c>
      <c r="E213" s="21" t="s">
        <v>628</v>
      </c>
      <c r="F213" s="22">
        <v>0.0</v>
      </c>
      <c r="G213" s="23">
        <v>1500000.0</v>
      </c>
      <c r="H213" s="24">
        <v>1.22142855E8</v>
      </c>
      <c r="I213" s="24" t="str">
        <f>IFERROR(__xludf.DUMMYFUNCTION("REGEXEXTRACT(E213, ""ک\s(\d{16})"")"),"6219861085979838")</f>
        <v>6219861085979838</v>
      </c>
      <c r="J213" s="25" t="s">
        <v>49</v>
      </c>
      <c r="K213" s="20" t="s">
        <v>629</v>
      </c>
      <c r="L213" s="26" t="s">
        <v>39</v>
      </c>
      <c r="M213" s="26" t="s">
        <v>40</v>
      </c>
      <c r="N213" s="27" t="s">
        <v>40</v>
      </c>
      <c r="O213" s="27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ht="25.5" customHeight="1">
      <c r="A214" s="19">
        <v>206.0</v>
      </c>
      <c r="B214" s="19" t="s">
        <v>619</v>
      </c>
      <c r="C214" s="20" t="s">
        <v>630</v>
      </c>
      <c r="D214" s="21" t="s">
        <v>47</v>
      </c>
      <c r="E214" s="21" t="s">
        <v>631</v>
      </c>
      <c r="F214" s="22">
        <v>0.0</v>
      </c>
      <c r="G214" s="23">
        <v>1200000.0</v>
      </c>
      <c r="H214" s="24">
        <v>1.20942855E8</v>
      </c>
      <c r="I214" s="24" t="str">
        <f>IFERROR(__xludf.DUMMYFUNCTION("REGEXEXTRACT(E214, ""ک\s(\d{16})"")"),"6219861085979838")</f>
        <v>6219861085979838</v>
      </c>
      <c r="J214" s="25" t="s">
        <v>49</v>
      </c>
      <c r="K214" s="20" t="s">
        <v>632</v>
      </c>
      <c r="L214" s="26" t="s">
        <v>39</v>
      </c>
      <c r="M214" s="26" t="s">
        <v>40</v>
      </c>
      <c r="N214" s="27" t="s">
        <v>40</v>
      </c>
      <c r="O214" s="27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ht="25.5" customHeight="1">
      <c r="A215" s="19">
        <v>207.0</v>
      </c>
      <c r="B215" s="19" t="s">
        <v>619</v>
      </c>
      <c r="C215" s="20" t="s">
        <v>633</v>
      </c>
      <c r="D215" s="21" t="s">
        <v>47</v>
      </c>
      <c r="E215" s="21" t="s">
        <v>634</v>
      </c>
      <c r="F215" s="22">
        <v>0.0</v>
      </c>
      <c r="G215" s="23">
        <v>3.23E7</v>
      </c>
      <c r="H215" s="24">
        <v>8.8642855E7</v>
      </c>
      <c r="I215" s="24" t="str">
        <f>IFERROR(__xludf.DUMMYFUNCTION("REGEXEXTRACT(E215, ""ک\s(\d{16})"")"),"6219861085979838")</f>
        <v>6219861085979838</v>
      </c>
      <c r="J215" s="25" t="s">
        <v>49</v>
      </c>
      <c r="K215" s="20" t="s">
        <v>635</v>
      </c>
      <c r="L215" s="26" t="s">
        <v>39</v>
      </c>
      <c r="M215" s="26" t="s">
        <v>40</v>
      </c>
      <c r="N215" s="27" t="s">
        <v>40</v>
      </c>
      <c r="O215" s="27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ht="25.5" customHeight="1">
      <c r="A216" s="19">
        <v>208.0</v>
      </c>
      <c r="B216" s="19" t="s">
        <v>619</v>
      </c>
      <c r="C216" s="20" t="s">
        <v>636</v>
      </c>
      <c r="D216" s="21" t="s">
        <v>65</v>
      </c>
      <c r="E216" s="21" t="s">
        <v>637</v>
      </c>
      <c r="F216" s="22">
        <v>0.0</v>
      </c>
      <c r="G216" s="23">
        <v>1800.0</v>
      </c>
      <c r="H216" s="24">
        <v>8.8641055E7</v>
      </c>
      <c r="I216" s="24" t="str">
        <f>IFERROR(__xludf.DUMMYFUNCTION("REGEXEXTRACT(E216, ""ک\s(\d{16})"")"),"6219861085979838")</f>
        <v>6219861085979838</v>
      </c>
      <c r="J216" s="25" t="s">
        <v>49</v>
      </c>
      <c r="K216" s="20" t="s">
        <v>638</v>
      </c>
      <c r="L216" s="26" t="s">
        <v>39</v>
      </c>
      <c r="M216" s="26" t="s">
        <v>40</v>
      </c>
      <c r="N216" s="27" t="s">
        <v>40</v>
      </c>
      <c r="O216" s="27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ht="25.5" customHeight="1">
      <c r="A217" s="19">
        <v>209.0</v>
      </c>
      <c r="B217" s="19" t="s">
        <v>619</v>
      </c>
      <c r="C217" s="20" t="s">
        <v>639</v>
      </c>
      <c r="D217" s="21" t="s">
        <v>202</v>
      </c>
      <c r="E217" s="21" t="s">
        <v>640</v>
      </c>
      <c r="F217" s="22">
        <v>0.0</v>
      </c>
      <c r="G217" s="23">
        <v>5.0E7</v>
      </c>
      <c r="H217" s="24">
        <v>3.8641055E7</v>
      </c>
      <c r="I217" s="24" t="str">
        <f>IFERROR(__xludf.DUMMYFUNCTION("REGEXEXTRACT(E217, ""ک\s(\d{16})"")"),"#N/A")</f>
        <v>#N/A</v>
      </c>
      <c r="J217" s="25" t="s">
        <v>204</v>
      </c>
      <c r="K217" s="20" t="s">
        <v>641</v>
      </c>
      <c r="L217" s="26" t="s">
        <v>39</v>
      </c>
      <c r="M217" s="26" t="s">
        <v>40</v>
      </c>
      <c r="N217" s="29" t="s">
        <v>642</v>
      </c>
      <c r="O217" s="27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ht="25.5" customHeight="1">
      <c r="A218" s="19">
        <v>210.0</v>
      </c>
      <c r="B218" s="19" t="s">
        <v>619</v>
      </c>
      <c r="C218" s="20" t="s">
        <v>639</v>
      </c>
      <c r="D218" s="21" t="s">
        <v>206</v>
      </c>
      <c r="E218" s="21" t="s">
        <v>207</v>
      </c>
      <c r="F218" s="22">
        <v>0.0</v>
      </c>
      <c r="G218" s="23">
        <v>10000.0</v>
      </c>
      <c r="H218" s="24">
        <v>3.8631055E7</v>
      </c>
      <c r="I218" s="24" t="str">
        <f>IFERROR(__xludf.DUMMYFUNCTION("REGEXEXTRACT(E218, ""ک\s(\d{16})"")"),"#N/A")</f>
        <v>#N/A</v>
      </c>
      <c r="J218" s="25" t="s">
        <v>204</v>
      </c>
      <c r="K218" s="20" t="s">
        <v>643</v>
      </c>
      <c r="L218" s="26" t="s">
        <v>39</v>
      </c>
      <c r="M218" s="26" t="s">
        <v>40</v>
      </c>
      <c r="N218" s="27" t="s">
        <v>40</v>
      </c>
      <c r="O218" s="27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ht="25.5" customHeight="1">
      <c r="A219" s="19">
        <v>211.0</v>
      </c>
      <c r="B219" s="19" t="s">
        <v>619</v>
      </c>
      <c r="C219" s="20" t="s">
        <v>644</v>
      </c>
      <c r="D219" s="21" t="s">
        <v>52</v>
      </c>
      <c r="E219" s="21" t="s">
        <v>645</v>
      </c>
      <c r="F219" s="22">
        <v>1100000.0</v>
      </c>
      <c r="G219" s="23">
        <v>0.0</v>
      </c>
      <c r="H219" s="24">
        <v>3.9731055E7</v>
      </c>
      <c r="I219" s="24" t="str">
        <f>IFERROR(__xludf.DUMMYFUNCTION("REGEXEXTRACT(E219, ""ک\s(\d{16})"")"),"6037997517594868")</f>
        <v>6037997517594868</v>
      </c>
      <c r="J219" s="25" t="s">
        <v>49</v>
      </c>
      <c r="K219" s="20" t="s">
        <v>646</v>
      </c>
      <c r="L219" s="26" t="s">
        <v>39</v>
      </c>
      <c r="M219" s="26" t="s">
        <v>40</v>
      </c>
      <c r="N219" s="27" t="s">
        <v>40</v>
      </c>
      <c r="O219" s="27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ht="25.5" customHeight="1">
      <c r="A220" s="19">
        <v>212.0</v>
      </c>
      <c r="B220" s="19" t="s">
        <v>619</v>
      </c>
      <c r="C220" s="20" t="s">
        <v>647</v>
      </c>
      <c r="D220" s="21" t="s">
        <v>52</v>
      </c>
      <c r="E220" s="21" t="s">
        <v>648</v>
      </c>
      <c r="F220" s="22">
        <v>1600000.0</v>
      </c>
      <c r="G220" s="23">
        <v>0.0</v>
      </c>
      <c r="H220" s="24">
        <v>4.1331055E7</v>
      </c>
      <c r="I220" s="24" t="str">
        <f>IFERROR(__xludf.DUMMYFUNCTION("REGEXEXTRACT(E220, ""ک\s(\d{16})"")"),"6104337903746574")</f>
        <v>6104337903746574</v>
      </c>
      <c r="J220" s="25" t="s">
        <v>49</v>
      </c>
      <c r="K220" s="20" t="s">
        <v>649</v>
      </c>
      <c r="L220" s="26" t="s">
        <v>39</v>
      </c>
      <c r="M220" s="26" t="s">
        <v>40</v>
      </c>
      <c r="N220" s="27" t="s">
        <v>40</v>
      </c>
      <c r="O220" s="27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ht="25.5" customHeight="1">
      <c r="A221" s="19">
        <v>213.0</v>
      </c>
      <c r="B221" s="19" t="s">
        <v>619</v>
      </c>
      <c r="C221" s="20" t="s">
        <v>650</v>
      </c>
      <c r="D221" s="21" t="s">
        <v>47</v>
      </c>
      <c r="E221" s="21" t="s">
        <v>651</v>
      </c>
      <c r="F221" s="22">
        <v>0.0</v>
      </c>
      <c r="G221" s="23">
        <v>2500000.0</v>
      </c>
      <c r="H221" s="24">
        <v>3.8831055E7</v>
      </c>
      <c r="I221" s="24" t="str">
        <f>IFERROR(__xludf.DUMMYFUNCTION("REGEXEXTRACT(E221, ""ک\s(\d{16})"")"),"6219861085979838")</f>
        <v>6219861085979838</v>
      </c>
      <c r="J221" s="25" t="s">
        <v>49</v>
      </c>
      <c r="K221" s="20" t="s">
        <v>652</v>
      </c>
      <c r="L221" s="26" t="s">
        <v>39</v>
      </c>
      <c r="M221" s="26" t="s">
        <v>40</v>
      </c>
      <c r="N221" s="27" t="s">
        <v>40</v>
      </c>
      <c r="O221" s="27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ht="25.5" customHeight="1">
      <c r="A222" s="19">
        <v>214.0</v>
      </c>
      <c r="B222" s="19" t="s">
        <v>619</v>
      </c>
      <c r="C222" s="20" t="s">
        <v>653</v>
      </c>
      <c r="D222" s="21" t="s">
        <v>47</v>
      </c>
      <c r="E222" s="21" t="s">
        <v>654</v>
      </c>
      <c r="F222" s="22">
        <v>0.0</v>
      </c>
      <c r="G222" s="23">
        <v>4900000.0</v>
      </c>
      <c r="H222" s="24">
        <v>3.3931055E7</v>
      </c>
      <c r="I222" s="24" t="str">
        <f>IFERROR(__xludf.DUMMYFUNCTION("REGEXEXTRACT(E222, ""ک\s(\d{16})"")"),"6219861085979838")</f>
        <v>6219861085979838</v>
      </c>
      <c r="J222" s="25" t="s">
        <v>49</v>
      </c>
      <c r="K222" s="20" t="s">
        <v>655</v>
      </c>
      <c r="L222" s="26" t="s">
        <v>39</v>
      </c>
      <c r="M222" s="26" t="s">
        <v>40</v>
      </c>
      <c r="N222" s="27" t="s">
        <v>40</v>
      </c>
      <c r="O222" s="27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ht="25.5" customHeight="1">
      <c r="A223" s="19">
        <v>215.0</v>
      </c>
      <c r="B223" s="19" t="s">
        <v>619</v>
      </c>
      <c r="C223" s="20" t="s">
        <v>656</v>
      </c>
      <c r="D223" s="21" t="s">
        <v>52</v>
      </c>
      <c r="E223" s="21" t="s">
        <v>657</v>
      </c>
      <c r="F223" s="22">
        <v>1400000.0</v>
      </c>
      <c r="G223" s="23">
        <v>0.0</v>
      </c>
      <c r="H223" s="24">
        <v>3.5331055E7</v>
      </c>
      <c r="I223" s="24" t="str">
        <f>IFERROR(__xludf.DUMMYFUNCTION("REGEXEXTRACT(E223, ""ک\s(\d{16})"")"),"6037991210731638")</f>
        <v>6037991210731638</v>
      </c>
      <c r="J223" s="25" t="s">
        <v>49</v>
      </c>
      <c r="K223" s="20" t="s">
        <v>658</v>
      </c>
      <c r="L223" s="26" t="s">
        <v>39</v>
      </c>
      <c r="M223" s="26" t="s">
        <v>40</v>
      </c>
      <c r="N223" s="27" t="s">
        <v>40</v>
      </c>
      <c r="O223" s="27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ht="25.5" customHeight="1">
      <c r="A224" s="19">
        <v>216.0</v>
      </c>
      <c r="B224" s="19" t="s">
        <v>619</v>
      </c>
      <c r="C224" s="20" t="s">
        <v>659</v>
      </c>
      <c r="D224" s="21" t="s">
        <v>65</v>
      </c>
      <c r="E224" s="21" t="s">
        <v>660</v>
      </c>
      <c r="F224" s="22">
        <v>0.0</v>
      </c>
      <c r="G224" s="23">
        <v>1800.0</v>
      </c>
      <c r="H224" s="24">
        <v>3.5329255E7</v>
      </c>
      <c r="I224" s="24" t="str">
        <f>IFERROR(__xludf.DUMMYFUNCTION("REGEXEXTRACT(E224, ""ک\s(\d{16})"")"),"6219861085979838")</f>
        <v>6219861085979838</v>
      </c>
      <c r="J224" s="25" t="s">
        <v>49</v>
      </c>
      <c r="K224" s="20" t="s">
        <v>661</v>
      </c>
      <c r="L224" s="26" t="s">
        <v>39</v>
      </c>
      <c r="M224" s="26" t="s">
        <v>40</v>
      </c>
      <c r="N224" s="27" t="s">
        <v>40</v>
      </c>
      <c r="O224" s="27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ht="25.5" customHeight="1">
      <c r="A225" s="19">
        <v>217.0</v>
      </c>
      <c r="B225" s="19" t="s">
        <v>619</v>
      </c>
      <c r="C225" s="20" t="s">
        <v>662</v>
      </c>
      <c r="D225" s="21" t="s">
        <v>52</v>
      </c>
      <c r="E225" s="21" t="s">
        <v>663</v>
      </c>
      <c r="F225" s="22">
        <v>600000.0</v>
      </c>
      <c r="G225" s="23">
        <v>0.0</v>
      </c>
      <c r="H225" s="24">
        <v>3.5929255E7</v>
      </c>
      <c r="I225" s="24" t="str">
        <f>IFERROR(__xludf.DUMMYFUNCTION("REGEXEXTRACT(E225, ""ک\s(\d{16})"")"),"6063731254880249")</f>
        <v>6063731254880249</v>
      </c>
      <c r="J225" s="25" t="s">
        <v>49</v>
      </c>
      <c r="K225" s="20" t="s">
        <v>664</v>
      </c>
      <c r="L225" s="26" t="s">
        <v>39</v>
      </c>
      <c r="M225" s="26" t="s">
        <v>40</v>
      </c>
      <c r="N225" s="27" t="s">
        <v>40</v>
      </c>
      <c r="O225" s="27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ht="25.5" customHeight="1">
      <c r="A226" s="19">
        <v>218.0</v>
      </c>
      <c r="B226" s="19" t="s">
        <v>665</v>
      </c>
      <c r="C226" s="20" t="s">
        <v>666</v>
      </c>
      <c r="D226" s="21" t="s">
        <v>35</v>
      </c>
      <c r="E226" s="21" t="s">
        <v>667</v>
      </c>
      <c r="F226" s="22">
        <v>8.6E7</v>
      </c>
      <c r="G226" s="23">
        <v>0.0</v>
      </c>
      <c r="H226" s="24">
        <v>1.21929255E8</v>
      </c>
      <c r="I226" s="24" t="str">
        <f>IFERROR(__xludf.DUMMYFUNCTION("REGEXEXTRACT(E226, ""ک\s(\d{16})"")"),"#N/A")</f>
        <v>#N/A</v>
      </c>
      <c r="J226" s="25" t="s">
        <v>37</v>
      </c>
      <c r="K226" s="20" t="s">
        <v>668</v>
      </c>
      <c r="L226" s="26" t="s">
        <v>39</v>
      </c>
      <c r="M226" s="26" t="s">
        <v>40</v>
      </c>
      <c r="N226" s="27" t="s">
        <v>40</v>
      </c>
      <c r="O226" s="27" t="s">
        <v>669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ht="25.5" customHeight="1">
      <c r="A227" s="19">
        <v>219.0</v>
      </c>
      <c r="B227" s="19" t="s">
        <v>665</v>
      </c>
      <c r="C227" s="20" t="s">
        <v>670</v>
      </c>
      <c r="D227" s="21" t="s">
        <v>35</v>
      </c>
      <c r="E227" s="21" t="s">
        <v>671</v>
      </c>
      <c r="F227" s="22">
        <v>0.0</v>
      </c>
      <c r="G227" s="23">
        <v>1.0E8</v>
      </c>
      <c r="H227" s="24">
        <v>2.1929255E7</v>
      </c>
      <c r="I227" s="24" t="str">
        <f>IFERROR(__xludf.DUMMYFUNCTION("REGEXEXTRACT(E227, ""ک\s(\d{16})"")"),"#N/A")</f>
        <v>#N/A</v>
      </c>
      <c r="J227" s="25" t="s">
        <v>37</v>
      </c>
      <c r="K227" s="20" t="s">
        <v>672</v>
      </c>
      <c r="L227" s="26" t="s">
        <v>39</v>
      </c>
      <c r="M227" s="26" t="s">
        <v>40</v>
      </c>
      <c r="N227" s="27" t="s">
        <v>40</v>
      </c>
      <c r="O227" s="27" t="s">
        <v>673</v>
      </c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ht="25.5" customHeight="1">
      <c r="A228" s="19">
        <v>220.0</v>
      </c>
      <c r="B228" s="19" t="s">
        <v>665</v>
      </c>
      <c r="C228" s="20" t="s">
        <v>674</v>
      </c>
      <c r="D228" s="21" t="s">
        <v>52</v>
      </c>
      <c r="E228" s="21" t="s">
        <v>675</v>
      </c>
      <c r="F228" s="22">
        <v>0.0</v>
      </c>
      <c r="G228" s="23">
        <v>4000000.0</v>
      </c>
      <c r="H228" s="24">
        <v>1.7929255E7</v>
      </c>
      <c r="I228" s="24" t="str">
        <f>IFERROR(__xludf.DUMMYFUNCTION("REGEXEXTRACT(E228, ""ک\s(\d{16})"")"),"5859831103338371")</f>
        <v>5859831103338371</v>
      </c>
      <c r="J228" s="25" t="s">
        <v>49</v>
      </c>
      <c r="K228" s="20" t="s">
        <v>676</v>
      </c>
      <c r="L228" s="26" t="s">
        <v>39</v>
      </c>
      <c r="M228" s="26" t="s">
        <v>40</v>
      </c>
      <c r="N228" s="27" t="s">
        <v>40</v>
      </c>
      <c r="O228" s="27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ht="25.5" customHeight="1">
      <c r="A229" s="19">
        <v>221.0</v>
      </c>
      <c r="B229" s="19" t="s">
        <v>665</v>
      </c>
      <c r="C229" s="20" t="s">
        <v>674</v>
      </c>
      <c r="D229" s="21" t="s">
        <v>52</v>
      </c>
      <c r="E229" s="21" t="s">
        <v>677</v>
      </c>
      <c r="F229" s="22">
        <v>0.0</v>
      </c>
      <c r="G229" s="23">
        <v>9000.0</v>
      </c>
      <c r="H229" s="24">
        <v>1.7920255E7</v>
      </c>
      <c r="I229" s="24" t="str">
        <f>IFERROR(__xludf.DUMMYFUNCTION("REGEXEXTRACT(E229, ""ک\s(\d{16})"")"),"6219861085979838")</f>
        <v>6219861085979838</v>
      </c>
      <c r="J229" s="25" t="s">
        <v>49</v>
      </c>
      <c r="K229" s="20" t="s">
        <v>676</v>
      </c>
      <c r="L229" s="26" t="s">
        <v>39</v>
      </c>
      <c r="M229" s="26" t="s">
        <v>40</v>
      </c>
      <c r="N229" s="27" t="s">
        <v>40</v>
      </c>
      <c r="O229" s="27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ht="25.5" customHeight="1">
      <c r="A230" s="19">
        <v>222.0</v>
      </c>
      <c r="B230" s="19" t="s">
        <v>665</v>
      </c>
      <c r="C230" s="20" t="s">
        <v>678</v>
      </c>
      <c r="D230" s="21" t="s">
        <v>65</v>
      </c>
      <c r="E230" s="21" t="s">
        <v>679</v>
      </c>
      <c r="F230" s="22">
        <v>0.0</v>
      </c>
      <c r="G230" s="23">
        <v>1800.0</v>
      </c>
      <c r="H230" s="24">
        <v>1.7918455E7</v>
      </c>
      <c r="I230" s="24" t="str">
        <f>IFERROR(__xludf.DUMMYFUNCTION("REGEXEXTRACT(E230, ""ک\s(\d{16})"")"),"6219861085979838")</f>
        <v>6219861085979838</v>
      </c>
      <c r="J230" s="25" t="s">
        <v>49</v>
      </c>
      <c r="K230" s="20" t="s">
        <v>680</v>
      </c>
      <c r="L230" s="26" t="s">
        <v>39</v>
      </c>
      <c r="M230" s="26" t="s">
        <v>40</v>
      </c>
      <c r="N230" s="27" t="s">
        <v>40</v>
      </c>
      <c r="O230" s="27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ht="25.5" customHeight="1">
      <c r="A231" s="19">
        <v>223.0</v>
      </c>
      <c r="B231" s="19" t="s">
        <v>665</v>
      </c>
      <c r="C231" s="20" t="s">
        <v>681</v>
      </c>
      <c r="D231" s="21" t="s">
        <v>52</v>
      </c>
      <c r="E231" s="21" t="s">
        <v>682</v>
      </c>
      <c r="F231" s="22">
        <v>1200000.0</v>
      </c>
      <c r="G231" s="23">
        <v>0.0</v>
      </c>
      <c r="H231" s="24">
        <v>1.9118455E7</v>
      </c>
      <c r="I231" s="24" t="str">
        <f>IFERROR(__xludf.DUMMYFUNCTION("REGEXEXTRACT(E231, ""ک\s(\d{16})"")"),"5047061665439127")</f>
        <v>5047061665439127</v>
      </c>
      <c r="J231" s="25" t="s">
        <v>49</v>
      </c>
      <c r="K231" s="20" t="s">
        <v>683</v>
      </c>
      <c r="L231" s="26" t="s">
        <v>39</v>
      </c>
      <c r="M231" s="26" t="s">
        <v>40</v>
      </c>
      <c r="N231" s="27" t="s">
        <v>40</v>
      </c>
      <c r="O231" s="27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ht="25.5" customHeight="1">
      <c r="A232" s="19">
        <v>224.0</v>
      </c>
      <c r="B232" s="19" t="s">
        <v>665</v>
      </c>
      <c r="C232" s="20" t="s">
        <v>684</v>
      </c>
      <c r="D232" s="21" t="s">
        <v>65</v>
      </c>
      <c r="E232" s="21" t="s">
        <v>685</v>
      </c>
      <c r="F232" s="22">
        <v>0.0</v>
      </c>
      <c r="G232" s="23">
        <v>1800.0</v>
      </c>
      <c r="H232" s="24">
        <v>1.9116655E7</v>
      </c>
      <c r="I232" s="24" t="str">
        <f>IFERROR(__xludf.DUMMYFUNCTION("REGEXEXTRACT(E232, ""ک\s(\d{16})"")"),"6219861085979838")</f>
        <v>6219861085979838</v>
      </c>
      <c r="J232" s="25" t="s">
        <v>49</v>
      </c>
      <c r="K232" s="20" t="s">
        <v>686</v>
      </c>
      <c r="L232" s="26" t="s">
        <v>39</v>
      </c>
      <c r="M232" s="26" t="s">
        <v>40</v>
      </c>
      <c r="N232" s="27" t="s">
        <v>40</v>
      </c>
      <c r="O232" s="27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ht="25.5" customHeight="1">
      <c r="A233" s="19">
        <v>225.0</v>
      </c>
      <c r="B233" s="19" t="s">
        <v>687</v>
      </c>
      <c r="C233" s="20" t="s">
        <v>688</v>
      </c>
      <c r="D233" s="21" t="s">
        <v>35</v>
      </c>
      <c r="E233" s="21" t="s">
        <v>689</v>
      </c>
      <c r="F233" s="22">
        <v>7.1E7</v>
      </c>
      <c r="G233" s="23">
        <v>0.0</v>
      </c>
      <c r="H233" s="24">
        <v>9.0116655E7</v>
      </c>
      <c r="I233" s="24" t="str">
        <f>IFERROR(__xludf.DUMMYFUNCTION("REGEXEXTRACT(E233, ""ک\s(\d{16})"")"),"#N/A")</f>
        <v>#N/A</v>
      </c>
      <c r="J233" s="25" t="s">
        <v>37</v>
      </c>
      <c r="K233" s="20" t="s">
        <v>690</v>
      </c>
      <c r="L233" s="26" t="s">
        <v>39</v>
      </c>
      <c r="M233" s="26" t="s">
        <v>40</v>
      </c>
      <c r="N233" s="27" t="s">
        <v>40</v>
      </c>
      <c r="O233" s="27" t="s">
        <v>691</v>
      </c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ht="25.5" customHeight="1">
      <c r="A234" s="19">
        <v>226.0</v>
      </c>
      <c r="B234" s="19" t="s">
        <v>692</v>
      </c>
      <c r="C234" s="20" t="s">
        <v>693</v>
      </c>
      <c r="D234" s="21" t="s">
        <v>65</v>
      </c>
      <c r="E234" s="21" t="s">
        <v>694</v>
      </c>
      <c r="F234" s="22">
        <v>0.0</v>
      </c>
      <c r="G234" s="23">
        <v>1800.0</v>
      </c>
      <c r="H234" s="24">
        <v>9.0114855E7</v>
      </c>
      <c r="I234" s="24" t="str">
        <f>IFERROR(__xludf.DUMMYFUNCTION("REGEXEXTRACT(E234, ""ک\s(\d{16})"")"),"6219861085979838")</f>
        <v>6219861085979838</v>
      </c>
      <c r="J234" s="25" t="s">
        <v>49</v>
      </c>
      <c r="K234" s="20" t="s">
        <v>695</v>
      </c>
      <c r="L234" s="26" t="s">
        <v>39</v>
      </c>
      <c r="M234" s="26" t="s">
        <v>40</v>
      </c>
      <c r="N234" s="27" t="s">
        <v>40</v>
      </c>
      <c r="O234" s="27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ht="25.5" customHeight="1">
      <c r="A235" s="19">
        <v>227.0</v>
      </c>
      <c r="B235" s="19" t="s">
        <v>692</v>
      </c>
      <c r="C235" s="20" t="s">
        <v>696</v>
      </c>
      <c r="D235" s="21" t="s">
        <v>52</v>
      </c>
      <c r="E235" s="21" t="s">
        <v>697</v>
      </c>
      <c r="F235" s="22">
        <v>0.0</v>
      </c>
      <c r="G235" s="23">
        <v>2.1E7</v>
      </c>
      <c r="H235" s="24">
        <v>6.9114855E7</v>
      </c>
      <c r="I235" s="24" t="str">
        <f>IFERROR(__xludf.DUMMYFUNCTION("REGEXEXTRACT(E235, ""ک\s(\d{16})"")"),"6037701642636788")</f>
        <v>6037701642636788</v>
      </c>
      <c r="J235" s="25" t="s">
        <v>49</v>
      </c>
      <c r="K235" s="20" t="s">
        <v>698</v>
      </c>
      <c r="L235" s="26" t="s">
        <v>39</v>
      </c>
      <c r="M235" s="26" t="s">
        <v>40</v>
      </c>
      <c r="N235" s="27" t="s">
        <v>40</v>
      </c>
      <c r="O235" s="27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ht="25.5" customHeight="1">
      <c r="A236" s="19">
        <v>228.0</v>
      </c>
      <c r="B236" s="19" t="s">
        <v>692</v>
      </c>
      <c r="C236" s="20" t="s">
        <v>696</v>
      </c>
      <c r="D236" s="21" t="s">
        <v>52</v>
      </c>
      <c r="E236" s="21" t="s">
        <v>699</v>
      </c>
      <c r="F236" s="22">
        <v>0.0</v>
      </c>
      <c r="G236" s="23">
        <v>15400.0</v>
      </c>
      <c r="H236" s="24">
        <v>6.9099455E7</v>
      </c>
      <c r="I236" s="24" t="str">
        <f>IFERROR(__xludf.DUMMYFUNCTION("REGEXEXTRACT(E236, ""ک\s(\d{16})"")"),"6219861085979838")</f>
        <v>6219861085979838</v>
      </c>
      <c r="J236" s="25" t="s">
        <v>49</v>
      </c>
      <c r="K236" s="20" t="s">
        <v>698</v>
      </c>
      <c r="L236" s="26" t="s">
        <v>39</v>
      </c>
      <c r="M236" s="26" t="s">
        <v>40</v>
      </c>
      <c r="N236" s="27" t="s">
        <v>40</v>
      </c>
      <c r="O236" s="27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ht="25.5" customHeight="1">
      <c r="A237" s="19">
        <v>229.0</v>
      </c>
      <c r="B237" s="19" t="s">
        <v>692</v>
      </c>
      <c r="C237" s="20" t="s">
        <v>700</v>
      </c>
      <c r="D237" s="21" t="s">
        <v>52</v>
      </c>
      <c r="E237" s="21" t="s">
        <v>701</v>
      </c>
      <c r="F237" s="22">
        <v>0.0</v>
      </c>
      <c r="G237" s="23">
        <v>2.1832E7</v>
      </c>
      <c r="H237" s="24">
        <v>4.7267455E7</v>
      </c>
      <c r="I237" s="24" t="str">
        <f>IFERROR(__xludf.DUMMYFUNCTION("REGEXEXTRACT(E237, ""ک\s(\d{16})"")"),"6104338738476148")</f>
        <v>6104338738476148</v>
      </c>
      <c r="J237" s="25" t="s">
        <v>49</v>
      </c>
      <c r="K237" s="20" t="s">
        <v>702</v>
      </c>
      <c r="L237" s="26" t="s">
        <v>39</v>
      </c>
      <c r="M237" s="26" t="s">
        <v>40</v>
      </c>
      <c r="N237" s="27" t="s">
        <v>40</v>
      </c>
      <c r="O237" s="27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ht="25.5" customHeight="1">
      <c r="A238" s="19">
        <v>230.0</v>
      </c>
      <c r="B238" s="19" t="s">
        <v>692</v>
      </c>
      <c r="C238" s="20" t="s">
        <v>700</v>
      </c>
      <c r="D238" s="21" t="s">
        <v>52</v>
      </c>
      <c r="E238" s="21" t="s">
        <v>703</v>
      </c>
      <c r="F238" s="22">
        <v>0.0</v>
      </c>
      <c r="G238" s="23">
        <v>15400.0</v>
      </c>
      <c r="H238" s="24">
        <v>4.7252055E7</v>
      </c>
      <c r="I238" s="24" t="str">
        <f>IFERROR(__xludf.DUMMYFUNCTION("REGEXEXTRACT(E238, ""ک\s(\d{16})"")"),"6219861085979838")</f>
        <v>6219861085979838</v>
      </c>
      <c r="J238" s="25" t="s">
        <v>49</v>
      </c>
      <c r="K238" s="20" t="s">
        <v>702</v>
      </c>
      <c r="L238" s="26" t="s">
        <v>39</v>
      </c>
      <c r="M238" s="26" t="s">
        <v>40</v>
      </c>
      <c r="N238" s="27" t="s">
        <v>40</v>
      </c>
      <c r="O238" s="27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ht="25.5" customHeight="1">
      <c r="A239" s="19">
        <v>231.0</v>
      </c>
      <c r="B239" s="19" t="s">
        <v>692</v>
      </c>
      <c r="C239" s="20" t="s">
        <v>704</v>
      </c>
      <c r="D239" s="21" t="s">
        <v>52</v>
      </c>
      <c r="E239" s="21" t="s">
        <v>705</v>
      </c>
      <c r="F239" s="22">
        <v>0.0</v>
      </c>
      <c r="G239" s="23">
        <v>2.661E7</v>
      </c>
      <c r="H239" s="24">
        <v>2.0642055E7</v>
      </c>
      <c r="I239" s="24" t="str">
        <f>IFERROR(__xludf.DUMMYFUNCTION("REGEXEXTRACT(E239, ""ک\s(\d{16})"")"),"5894631178646402")</f>
        <v>5894631178646402</v>
      </c>
      <c r="J239" s="25" t="s">
        <v>49</v>
      </c>
      <c r="K239" s="20" t="s">
        <v>706</v>
      </c>
      <c r="L239" s="26" t="s">
        <v>39</v>
      </c>
      <c r="M239" s="26" t="s">
        <v>40</v>
      </c>
      <c r="N239" s="27" t="s">
        <v>40</v>
      </c>
      <c r="O239" s="27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ht="25.5" customHeight="1">
      <c r="A240" s="19">
        <v>232.0</v>
      </c>
      <c r="B240" s="19" t="s">
        <v>692</v>
      </c>
      <c r="C240" s="20" t="s">
        <v>704</v>
      </c>
      <c r="D240" s="21" t="s">
        <v>52</v>
      </c>
      <c r="E240" s="21" t="s">
        <v>707</v>
      </c>
      <c r="F240" s="22">
        <v>0.0</v>
      </c>
      <c r="G240" s="23">
        <v>15400.0</v>
      </c>
      <c r="H240" s="24">
        <v>2.0626655E7</v>
      </c>
      <c r="I240" s="24" t="str">
        <f>IFERROR(__xludf.DUMMYFUNCTION("REGEXEXTRACT(E240, ""ک\s(\d{16})"")"),"6219861085979838")</f>
        <v>6219861085979838</v>
      </c>
      <c r="J240" s="25" t="s">
        <v>49</v>
      </c>
      <c r="K240" s="20" t="s">
        <v>706</v>
      </c>
      <c r="L240" s="26" t="s">
        <v>39</v>
      </c>
      <c r="M240" s="26" t="s">
        <v>40</v>
      </c>
      <c r="N240" s="27" t="s">
        <v>40</v>
      </c>
      <c r="O240" s="27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ht="25.5" customHeight="1">
      <c r="A241" s="19">
        <v>233.0</v>
      </c>
      <c r="B241" s="19" t="s">
        <v>692</v>
      </c>
      <c r="C241" s="20" t="s">
        <v>708</v>
      </c>
      <c r="D241" s="21" t="s">
        <v>464</v>
      </c>
      <c r="E241" s="21" t="s">
        <v>709</v>
      </c>
      <c r="F241" s="22">
        <v>0.0</v>
      </c>
      <c r="G241" s="23">
        <v>4118000.0</v>
      </c>
      <c r="H241" s="24">
        <v>1.6508655E7</v>
      </c>
      <c r="I241" s="24" t="str">
        <f>IFERROR(__xludf.DUMMYFUNCTION("REGEXEXTRACT(E241, ""ک\s(\d{16})"")"),"6219861085979838")</f>
        <v>6219861085979838</v>
      </c>
      <c r="J241" s="25" t="s">
        <v>49</v>
      </c>
      <c r="K241" s="20" t="s">
        <v>710</v>
      </c>
      <c r="L241" s="26" t="s">
        <v>39</v>
      </c>
      <c r="M241" s="26" t="s">
        <v>40</v>
      </c>
      <c r="N241" s="27" t="s">
        <v>40</v>
      </c>
      <c r="O241" s="27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ht="25.5" customHeight="1">
      <c r="A242" s="19">
        <v>234.0</v>
      </c>
      <c r="B242" s="19" t="s">
        <v>692</v>
      </c>
      <c r="C242" s="20" t="s">
        <v>711</v>
      </c>
      <c r="D242" s="21" t="s">
        <v>96</v>
      </c>
      <c r="E242" s="21" t="s">
        <v>712</v>
      </c>
      <c r="F242" s="22">
        <v>2500000.0</v>
      </c>
      <c r="G242" s="23">
        <v>0.0</v>
      </c>
      <c r="H242" s="24">
        <v>1.9008655E7</v>
      </c>
      <c r="I242" s="24" t="str">
        <f>IFERROR(__xludf.DUMMYFUNCTION("REGEXEXTRACT(E242, ""ک\s(\d{16})"")"),"#N/A")</f>
        <v>#N/A</v>
      </c>
      <c r="J242" s="25" t="s">
        <v>98</v>
      </c>
      <c r="K242" s="20" t="s">
        <v>713</v>
      </c>
      <c r="L242" s="26" t="s">
        <v>39</v>
      </c>
      <c r="M242" s="26" t="s">
        <v>40</v>
      </c>
      <c r="N242" s="27" t="s">
        <v>40</v>
      </c>
      <c r="O242" s="27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ht="25.5" customHeight="1">
      <c r="A243" s="19">
        <v>235.0</v>
      </c>
      <c r="B243" s="19" t="s">
        <v>714</v>
      </c>
      <c r="C243" s="20" t="s">
        <v>715</v>
      </c>
      <c r="D243" s="21" t="s">
        <v>35</v>
      </c>
      <c r="E243" s="21" t="s">
        <v>716</v>
      </c>
      <c r="F243" s="22">
        <v>4.9E7</v>
      </c>
      <c r="G243" s="23">
        <v>0.0</v>
      </c>
      <c r="H243" s="24">
        <v>6.8008655E7</v>
      </c>
      <c r="I243" s="24" t="str">
        <f>IFERROR(__xludf.DUMMYFUNCTION("REGEXEXTRACT(E243, ""ک\s(\d{16})"")"),"#N/A")</f>
        <v>#N/A</v>
      </c>
      <c r="J243" s="25" t="s">
        <v>37</v>
      </c>
      <c r="K243" s="20" t="s">
        <v>717</v>
      </c>
      <c r="L243" s="26" t="s">
        <v>39</v>
      </c>
      <c r="M243" s="26" t="s">
        <v>40</v>
      </c>
      <c r="N243" s="27" t="s">
        <v>40</v>
      </c>
      <c r="O243" s="27" t="s">
        <v>718</v>
      </c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ht="25.5" customHeight="1">
      <c r="A244" s="19">
        <v>236.0</v>
      </c>
      <c r="B244" s="19" t="s">
        <v>714</v>
      </c>
      <c r="C244" s="20" t="s">
        <v>719</v>
      </c>
      <c r="D244" s="21" t="s">
        <v>47</v>
      </c>
      <c r="E244" s="21" t="s">
        <v>720</v>
      </c>
      <c r="F244" s="22">
        <v>0.0</v>
      </c>
      <c r="G244" s="23">
        <v>1.55E7</v>
      </c>
      <c r="H244" s="24">
        <v>5.2508655E7</v>
      </c>
      <c r="I244" s="24" t="str">
        <f>IFERROR(__xludf.DUMMYFUNCTION("REGEXEXTRACT(E244, ""ک\s(\d{16})"")"),"6219861085979838")</f>
        <v>6219861085979838</v>
      </c>
      <c r="J244" s="25" t="s">
        <v>49</v>
      </c>
      <c r="K244" s="20" t="s">
        <v>721</v>
      </c>
      <c r="L244" s="26" t="s">
        <v>39</v>
      </c>
      <c r="M244" s="26" t="s">
        <v>40</v>
      </c>
      <c r="N244" s="27" t="s">
        <v>40</v>
      </c>
      <c r="O244" s="27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ht="25.5" customHeight="1">
      <c r="A245" s="19">
        <v>237.0</v>
      </c>
      <c r="B245" s="19" t="s">
        <v>714</v>
      </c>
      <c r="C245" s="20" t="s">
        <v>722</v>
      </c>
      <c r="D245" s="21" t="s">
        <v>47</v>
      </c>
      <c r="E245" s="21" t="s">
        <v>723</v>
      </c>
      <c r="F245" s="22">
        <v>0.0</v>
      </c>
      <c r="G245" s="23">
        <v>3700000.0</v>
      </c>
      <c r="H245" s="24">
        <v>4.8808655E7</v>
      </c>
      <c r="I245" s="24" t="str">
        <f>IFERROR(__xludf.DUMMYFUNCTION("REGEXEXTRACT(E245, ""ک\s(\d{16})"")"),"6219861085979838")</f>
        <v>6219861085979838</v>
      </c>
      <c r="J245" s="25" t="s">
        <v>49</v>
      </c>
      <c r="K245" s="20" t="s">
        <v>724</v>
      </c>
      <c r="L245" s="26" t="s">
        <v>39</v>
      </c>
      <c r="M245" s="26" t="s">
        <v>40</v>
      </c>
      <c r="N245" s="27" t="s">
        <v>40</v>
      </c>
      <c r="O245" s="27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ht="25.5" customHeight="1">
      <c r="A246" s="19">
        <v>238.0</v>
      </c>
      <c r="B246" s="19" t="s">
        <v>714</v>
      </c>
      <c r="C246" s="20" t="s">
        <v>725</v>
      </c>
      <c r="D246" s="21" t="s">
        <v>47</v>
      </c>
      <c r="E246" s="21" t="s">
        <v>726</v>
      </c>
      <c r="F246" s="22">
        <v>0.0</v>
      </c>
      <c r="G246" s="23">
        <v>500000.0</v>
      </c>
      <c r="H246" s="24">
        <v>4.8308655E7</v>
      </c>
      <c r="I246" s="24" t="str">
        <f>IFERROR(__xludf.DUMMYFUNCTION("REGEXEXTRACT(E246, ""ک\s(\d{16})"")"),"6219861085979838")</f>
        <v>6219861085979838</v>
      </c>
      <c r="J246" s="25" t="s">
        <v>49</v>
      </c>
      <c r="K246" s="20" t="s">
        <v>727</v>
      </c>
      <c r="L246" s="26" t="s">
        <v>39</v>
      </c>
      <c r="M246" s="26" t="s">
        <v>40</v>
      </c>
      <c r="N246" s="27" t="s">
        <v>40</v>
      </c>
      <c r="O246" s="27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ht="25.5" customHeight="1">
      <c r="A247" s="19">
        <v>239.0</v>
      </c>
      <c r="B247" s="19" t="s">
        <v>714</v>
      </c>
      <c r="C247" s="20" t="s">
        <v>728</v>
      </c>
      <c r="D247" s="21" t="s">
        <v>65</v>
      </c>
      <c r="E247" s="21" t="s">
        <v>729</v>
      </c>
      <c r="F247" s="22">
        <v>0.0</v>
      </c>
      <c r="G247" s="23">
        <v>1800.0</v>
      </c>
      <c r="H247" s="24">
        <v>4.8306855E7</v>
      </c>
      <c r="I247" s="24" t="str">
        <f>IFERROR(__xludf.DUMMYFUNCTION("REGEXEXTRACT(E247, ""ک\s(\d{16})"")"),"6219861085979838")</f>
        <v>6219861085979838</v>
      </c>
      <c r="J247" s="25" t="s">
        <v>49</v>
      </c>
      <c r="K247" s="20" t="s">
        <v>730</v>
      </c>
      <c r="L247" s="26" t="s">
        <v>39</v>
      </c>
      <c r="M247" s="26" t="s">
        <v>40</v>
      </c>
      <c r="N247" s="27" t="s">
        <v>40</v>
      </c>
      <c r="O247" s="27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ht="25.5" customHeight="1">
      <c r="A248" s="19">
        <v>240.0</v>
      </c>
      <c r="B248" s="19" t="s">
        <v>714</v>
      </c>
      <c r="C248" s="20" t="s">
        <v>731</v>
      </c>
      <c r="D248" s="21" t="s">
        <v>52</v>
      </c>
      <c r="E248" s="21" t="s">
        <v>732</v>
      </c>
      <c r="F248" s="22">
        <v>0.0</v>
      </c>
      <c r="G248" s="23">
        <v>3.288E7</v>
      </c>
      <c r="H248" s="24">
        <v>1.5426855E7</v>
      </c>
      <c r="I248" s="24" t="str">
        <f>IFERROR(__xludf.DUMMYFUNCTION("REGEXEXTRACT(E248, ""ک\s(\d{16})"")"),"6037997452281877")</f>
        <v>6037997452281877</v>
      </c>
      <c r="J248" s="25" t="s">
        <v>49</v>
      </c>
      <c r="K248" s="20" t="s">
        <v>733</v>
      </c>
      <c r="L248" s="26" t="s">
        <v>39</v>
      </c>
      <c r="M248" s="26" t="s">
        <v>40</v>
      </c>
      <c r="N248" s="27" t="s">
        <v>40</v>
      </c>
      <c r="O248" s="27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ht="25.5" customHeight="1">
      <c r="A249" s="19">
        <v>241.0</v>
      </c>
      <c r="B249" s="19" t="s">
        <v>714</v>
      </c>
      <c r="C249" s="20" t="s">
        <v>731</v>
      </c>
      <c r="D249" s="21" t="s">
        <v>52</v>
      </c>
      <c r="E249" s="21" t="s">
        <v>734</v>
      </c>
      <c r="F249" s="22">
        <v>0.0</v>
      </c>
      <c r="G249" s="23">
        <v>18600.0</v>
      </c>
      <c r="H249" s="24">
        <v>1.5408255E7</v>
      </c>
      <c r="I249" s="24" t="str">
        <f>IFERROR(__xludf.DUMMYFUNCTION("REGEXEXTRACT(E249, ""ک\s(\d{16})"")"),"6219861085979838")</f>
        <v>6219861085979838</v>
      </c>
      <c r="J249" s="25" t="s">
        <v>49</v>
      </c>
      <c r="K249" s="20" t="s">
        <v>733</v>
      </c>
      <c r="L249" s="26" t="s">
        <v>39</v>
      </c>
      <c r="M249" s="26" t="s">
        <v>40</v>
      </c>
      <c r="N249" s="27" t="s">
        <v>40</v>
      </c>
      <c r="O249" s="27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ht="25.5" customHeight="1">
      <c r="A250" s="19">
        <v>242.0</v>
      </c>
      <c r="B250" s="19" t="s">
        <v>714</v>
      </c>
      <c r="C250" s="20" t="s">
        <v>735</v>
      </c>
      <c r="D250" s="21" t="s">
        <v>47</v>
      </c>
      <c r="E250" s="21" t="s">
        <v>736</v>
      </c>
      <c r="F250" s="22">
        <v>0.0</v>
      </c>
      <c r="G250" s="23">
        <v>4500000.0</v>
      </c>
      <c r="H250" s="24">
        <v>1.0908255E7</v>
      </c>
      <c r="I250" s="24" t="str">
        <f>IFERROR(__xludf.DUMMYFUNCTION("REGEXEXTRACT(E250, ""ک\s(\d{16})"")"),"6219861085979838")</f>
        <v>6219861085979838</v>
      </c>
      <c r="J250" s="25" t="s">
        <v>49</v>
      </c>
      <c r="K250" s="20" t="s">
        <v>737</v>
      </c>
      <c r="L250" s="26" t="s">
        <v>39</v>
      </c>
      <c r="M250" s="26" t="s">
        <v>40</v>
      </c>
      <c r="N250" s="27" t="s">
        <v>40</v>
      </c>
      <c r="O250" s="27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ht="25.5" customHeight="1">
      <c r="A251" s="19">
        <v>243.0</v>
      </c>
      <c r="B251" s="19" t="s">
        <v>714</v>
      </c>
      <c r="C251" s="20" t="s">
        <v>738</v>
      </c>
      <c r="D251" s="21" t="s">
        <v>47</v>
      </c>
      <c r="E251" s="21" t="s">
        <v>739</v>
      </c>
      <c r="F251" s="22">
        <v>0.0</v>
      </c>
      <c r="G251" s="23">
        <v>8000000.0</v>
      </c>
      <c r="H251" s="24">
        <v>2908255.0</v>
      </c>
      <c r="I251" s="24" t="str">
        <f>IFERROR(__xludf.DUMMYFUNCTION("REGEXEXTRACT(E251, ""ک\s(\d{16})"")"),"6219861085979838")</f>
        <v>6219861085979838</v>
      </c>
      <c r="J251" s="25" t="s">
        <v>49</v>
      </c>
      <c r="K251" s="20" t="s">
        <v>740</v>
      </c>
      <c r="L251" s="26" t="s">
        <v>39</v>
      </c>
      <c r="M251" s="26" t="s">
        <v>40</v>
      </c>
      <c r="N251" s="27" t="s">
        <v>40</v>
      </c>
      <c r="O251" s="27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ht="25.5" customHeight="1">
      <c r="A252" s="19">
        <v>244.0</v>
      </c>
      <c r="B252" s="19" t="s">
        <v>714</v>
      </c>
      <c r="C252" s="20" t="s">
        <v>741</v>
      </c>
      <c r="D252" s="21" t="s">
        <v>47</v>
      </c>
      <c r="E252" s="21" t="s">
        <v>742</v>
      </c>
      <c r="F252" s="22">
        <v>0.0</v>
      </c>
      <c r="G252" s="23">
        <v>800000.0</v>
      </c>
      <c r="H252" s="24">
        <v>2108255.0</v>
      </c>
      <c r="I252" s="24" t="str">
        <f>IFERROR(__xludf.DUMMYFUNCTION("REGEXEXTRACT(E252, ""ک\s(\d{16})"")"),"6219861085979838")</f>
        <v>6219861085979838</v>
      </c>
      <c r="J252" s="25" t="s">
        <v>49</v>
      </c>
      <c r="K252" s="20" t="s">
        <v>743</v>
      </c>
      <c r="L252" s="26" t="s">
        <v>39</v>
      </c>
      <c r="M252" s="26" t="s">
        <v>40</v>
      </c>
      <c r="N252" s="27" t="s">
        <v>40</v>
      </c>
      <c r="O252" s="27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ht="25.5" customHeight="1">
      <c r="A253" s="19">
        <v>245.0</v>
      </c>
      <c r="B253" s="19" t="s">
        <v>714</v>
      </c>
      <c r="C253" s="20" t="s">
        <v>744</v>
      </c>
      <c r="D253" s="21" t="s">
        <v>47</v>
      </c>
      <c r="E253" s="21" t="s">
        <v>745</v>
      </c>
      <c r="F253" s="22">
        <v>0.0</v>
      </c>
      <c r="G253" s="23">
        <v>50000.0</v>
      </c>
      <c r="H253" s="24">
        <v>2058255.0</v>
      </c>
      <c r="I253" s="24" t="str">
        <f>IFERROR(__xludf.DUMMYFUNCTION("REGEXEXTRACT(E253, ""ک\s(\d{16})"")"),"6219861085979838")</f>
        <v>6219861085979838</v>
      </c>
      <c r="J253" s="25" t="s">
        <v>49</v>
      </c>
      <c r="K253" s="20" t="s">
        <v>746</v>
      </c>
      <c r="L253" s="26" t="s">
        <v>39</v>
      </c>
      <c r="M253" s="26" t="s">
        <v>40</v>
      </c>
      <c r="N253" s="27" t="s">
        <v>40</v>
      </c>
      <c r="O253" s="27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ht="25.5" customHeight="1">
      <c r="A254" s="19">
        <v>246.0</v>
      </c>
      <c r="B254" s="19" t="s">
        <v>714</v>
      </c>
      <c r="C254" s="20" t="s">
        <v>747</v>
      </c>
      <c r="D254" s="21" t="s">
        <v>47</v>
      </c>
      <c r="E254" s="21" t="s">
        <v>748</v>
      </c>
      <c r="F254" s="22">
        <v>0.0</v>
      </c>
      <c r="G254" s="23">
        <v>50000.0</v>
      </c>
      <c r="H254" s="24">
        <v>2008255.0</v>
      </c>
      <c r="I254" s="24" t="str">
        <f>IFERROR(__xludf.DUMMYFUNCTION("REGEXEXTRACT(E254, ""ک\s(\d{16})"")"),"6219861085979838")</f>
        <v>6219861085979838</v>
      </c>
      <c r="J254" s="25" t="s">
        <v>49</v>
      </c>
      <c r="K254" s="20" t="s">
        <v>749</v>
      </c>
      <c r="L254" s="26" t="s">
        <v>39</v>
      </c>
      <c r="M254" s="26" t="s">
        <v>40</v>
      </c>
      <c r="N254" s="27" t="s">
        <v>40</v>
      </c>
      <c r="O254" s="27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ht="25.5" customHeight="1">
      <c r="A255" s="19">
        <v>247.0</v>
      </c>
      <c r="B255" s="19" t="s">
        <v>714</v>
      </c>
      <c r="C255" s="20" t="s">
        <v>750</v>
      </c>
      <c r="D255" s="21" t="s">
        <v>52</v>
      </c>
      <c r="E255" s="21" t="s">
        <v>751</v>
      </c>
      <c r="F255" s="22">
        <v>1700000.0</v>
      </c>
      <c r="G255" s="23">
        <v>0.0</v>
      </c>
      <c r="H255" s="24">
        <v>3708255.0</v>
      </c>
      <c r="I255" s="24" t="str">
        <f>IFERROR(__xludf.DUMMYFUNCTION("REGEXEXTRACT(E255, ""ک\s(\d{16})"")"),"6037998250354395")</f>
        <v>6037998250354395</v>
      </c>
      <c r="J255" s="25" t="s">
        <v>49</v>
      </c>
      <c r="K255" s="20" t="s">
        <v>752</v>
      </c>
      <c r="L255" s="26" t="s">
        <v>39</v>
      </c>
      <c r="M255" s="26" t="s">
        <v>40</v>
      </c>
      <c r="N255" s="27" t="s">
        <v>40</v>
      </c>
      <c r="O255" s="27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ht="25.5" customHeight="1">
      <c r="A256" s="19">
        <v>248.0</v>
      </c>
      <c r="B256" s="19" t="s">
        <v>753</v>
      </c>
      <c r="C256" s="20" t="s">
        <v>754</v>
      </c>
      <c r="D256" s="21" t="s">
        <v>35</v>
      </c>
      <c r="E256" s="21" t="s">
        <v>755</v>
      </c>
      <c r="F256" s="22">
        <v>5.18E7</v>
      </c>
      <c r="G256" s="23">
        <v>0.0</v>
      </c>
      <c r="H256" s="24">
        <v>5.5508255E7</v>
      </c>
      <c r="I256" s="24" t="str">
        <f>IFERROR(__xludf.DUMMYFUNCTION("REGEXEXTRACT(E256, ""ک\s(\d{16})"")"),"#N/A")</f>
        <v>#N/A</v>
      </c>
      <c r="J256" s="25" t="s">
        <v>37</v>
      </c>
      <c r="K256" s="20" t="s">
        <v>756</v>
      </c>
      <c r="L256" s="26" t="s">
        <v>39</v>
      </c>
      <c r="M256" s="26" t="s">
        <v>40</v>
      </c>
      <c r="N256" s="27" t="s">
        <v>40</v>
      </c>
      <c r="O256" s="27" t="s">
        <v>757</v>
      </c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ht="25.5" customHeight="1">
      <c r="A257" s="19">
        <v>249.0</v>
      </c>
      <c r="B257" s="19" t="s">
        <v>753</v>
      </c>
      <c r="C257" s="20" t="s">
        <v>758</v>
      </c>
      <c r="D257" s="21" t="s">
        <v>47</v>
      </c>
      <c r="E257" s="21" t="s">
        <v>759</v>
      </c>
      <c r="F257" s="22">
        <v>0.0</v>
      </c>
      <c r="G257" s="23">
        <v>2000000.0</v>
      </c>
      <c r="H257" s="24">
        <v>5.3508255E7</v>
      </c>
      <c r="I257" s="24" t="str">
        <f>IFERROR(__xludf.DUMMYFUNCTION("REGEXEXTRACT(E257, ""ک\s(\d{16})"")"),"6219861085979838")</f>
        <v>6219861085979838</v>
      </c>
      <c r="J257" s="25" t="s">
        <v>49</v>
      </c>
      <c r="K257" s="20" t="s">
        <v>760</v>
      </c>
      <c r="L257" s="26" t="s">
        <v>39</v>
      </c>
      <c r="M257" s="26" t="s">
        <v>40</v>
      </c>
      <c r="N257" s="27" t="s">
        <v>40</v>
      </c>
      <c r="O257" s="27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 ht="25.5" customHeight="1">
      <c r="A258" s="19">
        <v>250.0</v>
      </c>
      <c r="B258" s="19" t="s">
        <v>753</v>
      </c>
      <c r="C258" s="20" t="s">
        <v>761</v>
      </c>
      <c r="D258" s="21" t="s">
        <v>47</v>
      </c>
      <c r="E258" s="21" t="s">
        <v>762</v>
      </c>
      <c r="F258" s="22">
        <v>0.0</v>
      </c>
      <c r="G258" s="23">
        <v>1.31012E7</v>
      </c>
      <c r="H258" s="24">
        <v>4.0407055E7</v>
      </c>
      <c r="I258" s="24" t="str">
        <f>IFERROR(__xludf.DUMMYFUNCTION("REGEXEXTRACT(E258, ""ک\s(\d{16})"")"),"6219861085979838")</f>
        <v>6219861085979838</v>
      </c>
      <c r="J258" s="25" t="s">
        <v>49</v>
      </c>
      <c r="K258" s="20" t="s">
        <v>763</v>
      </c>
      <c r="L258" s="26" t="s">
        <v>39</v>
      </c>
      <c r="M258" s="26" t="s">
        <v>40</v>
      </c>
      <c r="N258" s="27" t="s">
        <v>40</v>
      </c>
      <c r="O258" s="27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ht="25.5" customHeight="1">
      <c r="A259" s="19">
        <v>251.0</v>
      </c>
      <c r="B259" s="19" t="s">
        <v>753</v>
      </c>
      <c r="C259" s="20" t="s">
        <v>764</v>
      </c>
      <c r="D259" s="21" t="s">
        <v>47</v>
      </c>
      <c r="E259" s="21" t="s">
        <v>765</v>
      </c>
      <c r="F259" s="22">
        <v>0.0</v>
      </c>
      <c r="G259" s="23">
        <v>6061818.0</v>
      </c>
      <c r="H259" s="24">
        <v>3.4345237E7</v>
      </c>
      <c r="I259" s="24" t="str">
        <f>IFERROR(__xludf.DUMMYFUNCTION("REGEXEXTRACT(E259, ""ک\s(\d{16})"")"),"6219861085979838")</f>
        <v>6219861085979838</v>
      </c>
      <c r="J259" s="25" t="s">
        <v>49</v>
      </c>
      <c r="K259" s="20" t="s">
        <v>766</v>
      </c>
      <c r="L259" s="26" t="s">
        <v>39</v>
      </c>
      <c r="M259" s="26" t="s">
        <v>40</v>
      </c>
      <c r="N259" s="27" t="s">
        <v>40</v>
      </c>
      <c r="O259" s="27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ht="25.5" customHeight="1">
      <c r="A260" s="19">
        <v>252.0</v>
      </c>
      <c r="B260" s="19" t="s">
        <v>753</v>
      </c>
      <c r="C260" s="20" t="s">
        <v>767</v>
      </c>
      <c r="D260" s="21" t="s">
        <v>47</v>
      </c>
      <c r="E260" s="21" t="s">
        <v>768</v>
      </c>
      <c r="F260" s="22">
        <v>0.0</v>
      </c>
      <c r="G260" s="23">
        <v>1.01012E7</v>
      </c>
      <c r="H260" s="24">
        <v>2.4244037E7</v>
      </c>
      <c r="I260" s="24" t="str">
        <f>IFERROR(__xludf.DUMMYFUNCTION("REGEXEXTRACT(E260, ""ک\s(\d{16})"")"),"6219861085979838")</f>
        <v>6219861085979838</v>
      </c>
      <c r="J260" s="25" t="s">
        <v>49</v>
      </c>
      <c r="K260" s="20" t="s">
        <v>769</v>
      </c>
      <c r="L260" s="26" t="s">
        <v>39</v>
      </c>
      <c r="M260" s="26" t="s">
        <v>40</v>
      </c>
      <c r="N260" s="27" t="s">
        <v>40</v>
      </c>
      <c r="O260" s="27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ht="25.5" customHeight="1">
      <c r="A261" s="19">
        <v>253.0</v>
      </c>
      <c r="B261" s="19" t="s">
        <v>753</v>
      </c>
      <c r="C261" s="20" t="s">
        <v>770</v>
      </c>
      <c r="D261" s="21" t="s">
        <v>464</v>
      </c>
      <c r="E261" s="21" t="s">
        <v>771</v>
      </c>
      <c r="F261" s="22">
        <v>0.0</v>
      </c>
      <c r="G261" s="23">
        <v>771000.0</v>
      </c>
      <c r="H261" s="24">
        <v>2.3473037E7</v>
      </c>
      <c r="I261" s="24" t="str">
        <f>IFERROR(__xludf.DUMMYFUNCTION("REGEXEXTRACT(E261, ""ک\s(\d{16})"")"),"6219861085979838")</f>
        <v>6219861085979838</v>
      </c>
      <c r="J261" s="25" t="s">
        <v>49</v>
      </c>
      <c r="K261" s="20" t="s">
        <v>772</v>
      </c>
      <c r="L261" s="26" t="s">
        <v>39</v>
      </c>
      <c r="M261" s="26" t="s">
        <v>40</v>
      </c>
      <c r="N261" s="27" t="s">
        <v>40</v>
      </c>
      <c r="O261" s="27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ht="25.5" customHeight="1">
      <c r="A262" s="19">
        <v>254.0</v>
      </c>
      <c r="B262" s="19" t="s">
        <v>753</v>
      </c>
      <c r="C262" s="20" t="s">
        <v>773</v>
      </c>
      <c r="D262" s="21" t="s">
        <v>52</v>
      </c>
      <c r="E262" s="21" t="s">
        <v>774</v>
      </c>
      <c r="F262" s="22">
        <v>950000.0</v>
      </c>
      <c r="G262" s="23">
        <v>0.0</v>
      </c>
      <c r="H262" s="24">
        <v>2.4423037E7</v>
      </c>
      <c r="I262" s="24" t="str">
        <f>IFERROR(__xludf.DUMMYFUNCTION("REGEXEXTRACT(E262, ""ک\s(\d{16})"")"),"5859831035035384")</f>
        <v>5859831035035384</v>
      </c>
      <c r="J262" s="25" t="s">
        <v>49</v>
      </c>
      <c r="K262" s="20" t="s">
        <v>775</v>
      </c>
      <c r="L262" s="26" t="s">
        <v>39</v>
      </c>
      <c r="M262" s="26" t="s">
        <v>40</v>
      </c>
      <c r="N262" s="27" t="s">
        <v>40</v>
      </c>
      <c r="O262" s="27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ht="25.5" customHeight="1">
      <c r="A263" s="19">
        <v>255.0</v>
      </c>
      <c r="B263" s="19" t="s">
        <v>753</v>
      </c>
      <c r="C263" s="20" t="s">
        <v>776</v>
      </c>
      <c r="D263" s="21" t="s">
        <v>47</v>
      </c>
      <c r="E263" s="21" t="s">
        <v>777</v>
      </c>
      <c r="F263" s="22">
        <v>0.0</v>
      </c>
      <c r="G263" s="23">
        <v>2150000.0</v>
      </c>
      <c r="H263" s="24">
        <v>2.2273037E7</v>
      </c>
      <c r="I263" s="24" t="str">
        <f>IFERROR(__xludf.DUMMYFUNCTION("REGEXEXTRACT(E263, ""ک\s(\d{16})"")"),"6219861085979838")</f>
        <v>6219861085979838</v>
      </c>
      <c r="J263" s="25" t="s">
        <v>49</v>
      </c>
      <c r="K263" s="20" t="s">
        <v>778</v>
      </c>
      <c r="L263" s="26" t="s">
        <v>39</v>
      </c>
      <c r="M263" s="26" t="s">
        <v>40</v>
      </c>
      <c r="N263" s="27" t="s">
        <v>40</v>
      </c>
      <c r="O263" s="27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ht="25.5" customHeight="1">
      <c r="A264" s="19">
        <v>256.0</v>
      </c>
      <c r="B264" s="19" t="s">
        <v>753</v>
      </c>
      <c r="C264" s="20" t="s">
        <v>779</v>
      </c>
      <c r="D264" s="21" t="s">
        <v>65</v>
      </c>
      <c r="E264" s="21" t="s">
        <v>780</v>
      </c>
      <c r="F264" s="22">
        <v>0.0</v>
      </c>
      <c r="G264" s="23">
        <v>1800.0</v>
      </c>
      <c r="H264" s="24">
        <v>2.2271237E7</v>
      </c>
      <c r="I264" s="24" t="str">
        <f>IFERROR(__xludf.DUMMYFUNCTION("REGEXEXTRACT(E264, ""ک\s(\d{16})"")"),"6219861085979838")</f>
        <v>6219861085979838</v>
      </c>
      <c r="J264" s="25" t="s">
        <v>49</v>
      </c>
      <c r="K264" s="20" t="s">
        <v>781</v>
      </c>
      <c r="L264" s="26" t="s">
        <v>39</v>
      </c>
      <c r="M264" s="26" t="s">
        <v>40</v>
      </c>
      <c r="N264" s="27" t="s">
        <v>40</v>
      </c>
      <c r="O264" s="27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ht="25.5" customHeight="1">
      <c r="A265" s="19">
        <v>257.0</v>
      </c>
      <c r="B265" s="19" t="s">
        <v>753</v>
      </c>
      <c r="C265" s="20" t="s">
        <v>782</v>
      </c>
      <c r="D265" s="21" t="s">
        <v>52</v>
      </c>
      <c r="E265" s="21" t="s">
        <v>783</v>
      </c>
      <c r="F265" s="22">
        <v>1800000.0</v>
      </c>
      <c r="G265" s="23">
        <v>0.0</v>
      </c>
      <c r="H265" s="24">
        <v>2.4071237E7</v>
      </c>
      <c r="I265" s="24" t="str">
        <f>IFERROR(__xludf.DUMMYFUNCTION("REGEXEXTRACT(E265, ""ک\s(\d{16})"")"),"5859831157250340")</f>
        <v>5859831157250340</v>
      </c>
      <c r="J265" s="25" t="s">
        <v>49</v>
      </c>
      <c r="K265" s="20" t="s">
        <v>784</v>
      </c>
      <c r="L265" s="26" t="s">
        <v>39</v>
      </c>
      <c r="M265" s="26" t="s">
        <v>40</v>
      </c>
      <c r="N265" s="27" t="s">
        <v>40</v>
      </c>
      <c r="O265" s="27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ht="25.5" customHeight="1">
      <c r="A266" s="19">
        <v>258.0</v>
      </c>
      <c r="B266" s="19" t="s">
        <v>753</v>
      </c>
      <c r="C266" s="20" t="s">
        <v>785</v>
      </c>
      <c r="D266" s="21" t="s">
        <v>47</v>
      </c>
      <c r="E266" s="21" t="s">
        <v>786</v>
      </c>
      <c r="F266" s="22">
        <v>0.0</v>
      </c>
      <c r="G266" s="23">
        <v>2300000.0</v>
      </c>
      <c r="H266" s="24">
        <v>2.1771237E7</v>
      </c>
      <c r="I266" s="24" t="str">
        <f>IFERROR(__xludf.DUMMYFUNCTION("REGEXEXTRACT(E266, ""ک\s(\d{16})"")"),"6219861085979838")</f>
        <v>6219861085979838</v>
      </c>
      <c r="J266" s="25" t="s">
        <v>49</v>
      </c>
      <c r="K266" s="20" t="s">
        <v>787</v>
      </c>
      <c r="L266" s="26" t="s">
        <v>39</v>
      </c>
      <c r="M266" s="26" t="s">
        <v>40</v>
      </c>
      <c r="N266" s="27" t="s">
        <v>40</v>
      </c>
      <c r="O266" s="27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ht="25.5" customHeight="1">
      <c r="A267" s="19">
        <v>259.0</v>
      </c>
      <c r="B267" s="19" t="s">
        <v>753</v>
      </c>
      <c r="C267" s="20" t="s">
        <v>788</v>
      </c>
      <c r="D267" s="21" t="s">
        <v>96</v>
      </c>
      <c r="E267" s="21" t="s">
        <v>789</v>
      </c>
      <c r="F267" s="22">
        <v>450000.0</v>
      </c>
      <c r="G267" s="23">
        <v>0.0</v>
      </c>
      <c r="H267" s="24">
        <v>2.2221237E7</v>
      </c>
      <c r="I267" s="24" t="str">
        <f>IFERROR(__xludf.DUMMYFUNCTION("REGEXEXTRACT(E267, ""ک\s(\d{16})"")"),"#N/A")</f>
        <v>#N/A</v>
      </c>
      <c r="J267" s="25" t="s">
        <v>98</v>
      </c>
      <c r="K267" s="20" t="s">
        <v>790</v>
      </c>
      <c r="L267" s="26" t="s">
        <v>39</v>
      </c>
      <c r="M267" s="26" t="s">
        <v>40</v>
      </c>
      <c r="N267" s="27" t="s">
        <v>40</v>
      </c>
      <c r="O267" s="27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ht="25.5" customHeight="1">
      <c r="A268" s="19">
        <v>260.0</v>
      </c>
      <c r="B268" s="19" t="s">
        <v>753</v>
      </c>
      <c r="C268" s="20" t="s">
        <v>791</v>
      </c>
      <c r="D268" s="21" t="s">
        <v>65</v>
      </c>
      <c r="E268" s="21" t="s">
        <v>792</v>
      </c>
      <c r="F268" s="22">
        <v>0.0</v>
      </c>
      <c r="G268" s="23">
        <v>1800.0</v>
      </c>
      <c r="H268" s="24">
        <v>2.2219437E7</v>
      </c>
      <c r="I268" s="24" t="str">
        <f>IFERROR(__xludf.DUMMYFUNCTION("REGEXEXTRACT(E268, ""ک\s(\d{16})"")"),"6219861085979838")</f>
        <v>6219861085979838</v>
      </c>
      <c r="J268" s="25" t="s">
        <v>49</v>
      </c>
      <c r="K268" s="20" t="s">
        <v>793</v>
      </c>
      <c r="L268" s="26" t="s">
        <v>39</v>
      </c>
      <c r="M268" s="26" t="s">
        <v>40</v>
      </c>
      <c r="N268" s="27" t="s">
        <v>40</v>
      </c>
      <c r="O268" s="27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ht="25.5" customHeight="1">
      <c r="A269" s="19">
        <v>261.0</v>
      </c>
      <c r="B269" s="19" t="s">
        <v>794</v>
      </c>
      <c r="C269" s="20" t="s">
        <v>795</v>
      </c>
      <c r="D269" s="21" t="s">
        <v>35</v>
      </c>
      <c r="E269" s="21" t="s">
        <v>796</v>
      </c>
      <c r="F269" s="22">
        <v>6.7E7</v>
      </c>
      <c r="G269" s="23">
        <v>0.0</v>
      </c>
      <c r="H269" s="24">
        <v>8.9219437E7</v>
      </c>
      <c r="I269" s="24" t="str">
        <f>IFERROR(__xludf.DUMMYFUNCTION("REGEXEXTRACT(E269, ""ک\s(\d{16})"")"),"#N/A")</f>
        <v>#N/A</v>
      </c>
      <c r="J269" s="25" t="s">
        <v>37</v>
      </c>
      <c r="K269" s="20" t="s">
        <v>797</v>
      </c>
      <c r="L269" s="26" t="s">
        <v>39</v>
      </c>
      <c r="M269" s="26" t="s">
        <v>40</v>
      </c>
      <c r="N269" s="27" t="s">
        <v>40</v>
      </c>
      <c r="O269" s="27" t="s">
        <v>798</v>
      </c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 ht="25.5" customHeight="1">
      <c r="A270" s="19">
        <v>262.0</v>
      </c>
      <c r="B270" s="19" t="s">
        <v>794</v>
      </c>
      <c r="C270" s="20" t="s">
        <v>799</v>
      </c>
      <c r="D270" s="21" t="s">
        <v>47</v>
      </c>
      <c r="E270" s="21" t="s">
        <v>800</v>
      </c>
      <c r="F270" s="22">
        <v>0.0</v>
      </c>
      <c r="G270" s="23">
        <v>5.00526E7</v>
      </c>
      <c r="H270" s="24">
        <v>3.9166837E7</v>
      </c>
      <c r="I270" s="24" t="str">
        <f>IFERROR(__xludf.DUMMYFUNCTION("REGEXEXTRACT(E270, ""ک\s(\d{16})"")"),"6219861085979838")</f>
        <v>6219861085979838</v>
      </c>
      <c r="J270" s="25" t="s">
        <v>49</v>
      </c>
      <c r="K270" s="20" t="s">
        <v>801</v>
      </c>
      <c r="L270" s="26" t="s">
        <v>39</v>
      </c>
      <c r="M270" s="26" t="s">
        <v>40</v>
      </c>
      <c r="N270" s="27" t="s">
        <v>40</v>
      </c>
      <c r="O270" s="27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ht="25.5" customHeight="1">
      <c r="A271" s="19">
        <v>263.0</v>
      </c>
      <c r="B271" s="19" t="s">
        <v>794</v>
      </c>
      <c r="C271" s="20" t="s">
        <v>802</v>
      </c>
      <c r="D271" s="21" t="s">
        <v>47</v>
      </c>
      <c r="E271" s="21" t="s">
        <v>803</v>
      </c>
      <c r="F271" s="22">
        <v>0.0</v>
      </c>
      <c r="G271" s="23">
        <v>800000.0</v>
      </c>
      <c r="H271" s="24">
        <v>3.8366837E7</v>
      </c>
      <c r="I271" s="24" t="str">
        <f>IFERROR(__xludf.DUMMYFUNCTION("REGEXEXTRACT(E271, ""ک\s(\d{16})"")"),"6219861085979838")</f>
        <v>6219861085979838</v>
      </c>
      <c r="J271" s="25" t="s">
        <v>49</v>
      </c>
      <c r="K271" s="20" t="s">
        <v>804</v>
      </c>
      <c r="L271" s="26" t="s">
        <v>39</v>
      </c>
      <c r="M271" s="26" t="s">
        <v>40</v>
      </c>
      <c r="N271" s="27" t="s">
        <v>40</v>
      </c>
      <c r="O271" s="27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ht="25.5" customHeight="1">
      <c r="A272" s="19">
        <v>264.0</v>
      </c>
      <c r="B272" s="19" t="s">
        <v>794</v>
      </c>
      <c r="C272" s="20" t="s">
        <v>805</v>
      </c>
      <c r="D272" s="21" t="s">
        <v>52</v>
      </c>
      <c r="E272" s="21" t="s">
        <v>806</v>
      </c>
      <c r="F272" s="22">
        <v>0.0</v>
      </c>
      <c r="G272" s="23">
        <v>1.55E7</v>
      </c>
      <c r="H272" s="24">
        <v>2.2866837E7</v>
      </c>
      <c r="I272" s="24" t="str">
        <f>IFERROR(__xludf.DUMMYFUNCTION("REGEXEXTRACT(E272, ""ک\s(\d{16})"")"),"6037697600840968")</f>
        <v>6037697600840968</v>
      </c>
      <c r="J272" s="25" t="s">
        <v>49</v>
      </c>
      <c r="K272" s="20" t="s">
        <v>807</v>
      </c>
      <c r="L272" s="26" t="s">
        <v>39</v>
      </c>
      <c r="M272" s="26" t="s">
        <v>40</v>
      </c>
      <c r="N272" s="27" t="s">
        <v>40</v>
      </c>
      <c r="O272" s="27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ht="25.5" customHeight="1">
      <c r="A273" s="19">
        <v>265.0</v>
      </c>
      <c r="B273" s="19" t="s">
        <v>794</v>
      </c>
      <c r="C273" s="20" t="s">
        <v>805</v>
      </c>
      <c r="D273" s="21" t="s">
        <v>52</v>
      </c>
      <c r="E273" s="21" t="s">
        <v>808</v>
      </c>
      <c r="F273" s="22">
        <v>0.0</v>
      </c>
      <c r="G273" s="23">
        <v>12200.0</v>
      </c>
      <c r="H273" s="24">
        <v>2.2854637E7</v>
      </c>
      <c r="I273" s="24" t="str">
        <f>IFERROR(__xludf.DUMMYFUNCTION("REGEXEXTRACT(E273, ""ک\s(\d{16})"")"),"6219861085979838")</f>
        <v>6219861085979838</v>
      </c>
      <c r="J273" s="25" t="s">
        <v>49</v>
      </c>
      <c r="K273" s="20" t="s">
        <v>807</v>
      </c>
      <c r="L273" s="26" t="s">
        <v>39</v>
      </c>
      <c r="M273" s="26" t="s">
        <v>40</v>
      </c>
      <c r="N273" s="27" t="s">
        <v>40</v>
      </c>
      <c r="O273" s="27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 ht="25.5" customHeight="1">
      <c r="A274" s="19">
        <v>266.0</v>
      </c>
      <c r="B274" s="19" t="s">
        <v>794</v>
      </c>
      <c r="C274" s="20" t="s">
        <v>809</v>
      </c>
      <c r="D274" s="21" t="s">
        <v>52</v>
      </c>
      <c r="E274" s="21" t="s">
        <v>810</v>
      </c>
      <c r="F274" s="22">
        <v>900000.0</v>
      </c>
      <c r="G274" s="23">
        <v>0.0</v>
      </c>
      <c r="H274" s="24">
        <v>2.3754637E7</v>
      </c>
      <c r="I274" s="24" t="str">
        <f>IFERROR(__xludf.DUMMYFUNCTION("REGEXEXTRACT(E274, ""ک\s(\d{16})"")"),"6104338785410909")</f>
        <v>6104338785410909</v>
      </c>
      <c r="J274" s="25" t="s">
        <v>49</v>
      </c>
      <c r="K274" s="20" t="s">
        <v>811</v>
      </c>
      <c r="L274" s="26" t="s">
        <v>39</v>
      </c>
      <c r="M274" s="26" t="s">
        <v>40</v>
      </c>
      <c r="N274" s="27" t="s">
        <v>40</v>
      </c>
      <c r="O274" s="27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ht="25.5" customHeight="1">
      <c r="A275" s="19">
        <v>267.0</v>
      </c>
      <c r="B275" s="19" t="s">
        <v>794</v>
      </c>
      <c r="C275" s="20" t="s">
        <v>812</v>
      </c>
      <c r="D275" s="21" t="s">
        <v>35</v>
      </c>
      <c r="E275" s="21" t="s">
        <v>813</v>
      </c>
      <c r="F275" s="22">
        <v>0.0</v>
      </c>
      <c r="G275" s="23">
        <v>6800000.0</v>
      </c>
      <c r="H275" s="24">
        <v>1.6954637E7</v>
      </c>
      <c r="I275" s="24" t="str">
        <f>IFERROR(__xludf.DUMMYFUNCTION("REGEXEXTRACT(E275, ""ک\s(\d{16})"")"),"#N/A")</f>
        <v>#N/A</v>
      </c>
      <c r="J275" s="25" t="s">
        <v>37</v>
      </c>
      <c r="K275" s="20" t="s">
        <v>814</v>
      </c>
      <c r="L275" s="26" t="s">
        <v>39</v>
      </c>
      <c r="M275" s="26" t="s">
        <v>40</v>
      </c>
      <c r="N275" s="27" t="s">
        <v>40</v>
      </c>
      <c r="O275" s="27" t="s">
        <v>815</v>
      </c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ht="25.5" customHeight="1">
      <c r="A276" s="19">
        <v>268.0</v>
      </c>
      <c r="B276" s="19" t="s">
        <v>794</v>
      </c>
      <c r="C276" s="20" t="s">
        <v>816</v>
      </c>
      <c r="D276" s="21" t="s">
        <v>35</v>
      </c>
      <c r="E276" s="21" t="s">
        <v>817</v>
      </c>
      <c r="F276" s="22">
        <v>0.0</v>
      </c>
      <c r="G276" s="23">
        <v>7500000.0</v>
      </c>
      <c r="H276" s="24">
        <v>9454637.0</v>
      </c>
      <c r="I276" s="24" t="str">
        <f>IFERROR(__xludf.DUMMYFUNCTION("REGEXEXTRACT(E276, ""ک\s(\d{16})"")"),"#N/A")</f>
        <v>#N/A</v>
      </c>
      <c r="J276" s="25" t="s">
        <v>37</v>
      </c>
      <c r="K276" s="20" t="s">
        <v>818</v>
      </c>
      <c r="L276" s="26" t="s">
        <v>39</v>
      </c>
      <c r="M276" s="26" t="s">
        <v>40</v>
      </c>
      <c r="N276" s="27" t="s">
        <v>40</v>
      </c>
      <c r="O276" s="27" t="s">
        <v>819</v>
      </c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ht="25.5" customHeight="1">
      <c r="A277" s="19">
        <v>269.0</v>
      </c>
      <c r="B277" s="19" t="s">
        <v>794</v>
      </c>
      <c r="C277" s="20" t="s">
        <v>820</v>
      </c>
      <c r="D277" s="21" t="s">
        <v>65</v>
      </c>
      <c r="E277" s="21" t="s">
        <v>821</v>
      </c>
      <c r="F277" s="22">
        <v>0.0</v>
      </c>
      <c r="G277" s="23">
        <v>1800.0</v>
      </c>
      <c r="H277" s="24">
        <v>9452837.0</v>
      </c>
      <c r="I277" s="24" t="str">
        <f>IFERROR(__xludf.DUMMYFUNCTION("REGEXEXTRACT(E277, ""ک\s(\d{16})"")"),"6219861085979838")</f>
        <v>6219861085979838</v>
      </c>
      <c r="J277" s="25" t="s">
        <v>49</v>
      </c>
      <c r="K277" s="20" t="s">
        <v>822</v>
      </c>
      <c r="L277" s="26" t="s">
        <v>39</v>
      </c>
      <c r="M277" s="26" t="s">
        <v>40</v>
      </c>
      <c r="N277" s="27" t="s">
        <v>40</v>
      </c>
      <c r="O277" s="27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 ht="25.5" customHeight="1">
      <c r="A278" s="19">
        <v>270.0</v>
      </c>
      <c r="B278" s="19" t="s">
        <v>794</v>
      </c>
      <c r="C278" s="20" t="s">
        <v>823</v>
      </c>
      <c r="D278" s="21" t="s">
        <v>52</v>
      </c>
      <c r="E278" s="21" t="s">
        <v>824</v>
      </c>
      <c r="F278" s="22">
        <v>0.0</v>
      </c>
      <c r="G278" s="23">
        <v>2000000.0</v>
      </c>
      <c r="H278" s="24">
        <v>7452837.0</v>
      </c>
      <c r="I278" s="24" t="str">
        <f>IFERROR(__xludf.DUMMYFUNCTION("REGEXEXTRACT(E278, ""ک\s(\d{16})"")"),"5029081028402846")</f>
        <v>5029081028402846</v>
      </c>
      <c r="J278" s="25" t="s">
        <v>49</v>
      </c>
      <c r="K278" s="20" t="s">
        <v>825</v>
      </c>
      <c r="L278" s="26" t="s">
        <v>39</v>
      </c>
      <c r="M278" s="26" t="s">
        <v>40</v>
      </c>
      <c r="N278" s="27" t="s">
        <v>40</v>
      </c>
      <c r="O278" s="27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r="279" ht="25.5" customHeight="1">
      <c r="A279" s="19">
        <v>271.0</v>
      </c>
      <c r="B279" s="19" t="s">
        <v>794</v>
      </c>
      <c r="C279" s="20" t="s">
        <v>823</v>
      </c>
      <c r="D279" s="21" t="s">
        <v>52</v>
      </c>
      <c r="E279" s="21" t="s">
        <v>826</v>
      </c>
      <c r="F279" s="22">
        <v>0.0</v>
      </c>
      <c r="G279" s="23">
        <v>9000.0</v>
      </c>
      <c r="H279" s="24">
        <v>7443837.0</v>
      </c>
      <c r="I279" s="24" t="str">
        <f>IFERROR(__xludf.DUMMYFUNCTION("REGEXEXTRACT(E279, ""ک\s(\d{16})"")"),"6219861085979838")</f>
        <v>6219861085979838</v>
      </c>
      <c r="J279" s="25" t="s">
        <v>49</v>
      </c>
      <c r="K279" s="20" t="s">
        <v>825</v>
      </c>
      <c r="L279" s="26" t="s">
        <v>39</v>
      </c>
      <c r="M279" s="26" t="s">
        <v>40</v>
      </c>
      <c r="N279" s="27" t="s">
        <v>40</v>
      </c>
      <c r="O279" s="27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ht="25.5" customHeight="1">
      <c r="A280" s="19">
        <v>272.0</v>
      </c>
      <c r="B280" s="19" t="s">
        <v>794</v>
      </c>
      <c r="C280" s="20" t="s">
        <v>827</v>
      </c>
      <c r="D280" s="21" t="s">
        <v>52</v>
      </c>
      <c r="E280" s="21" t="s">
        <v>828</v>
      </c>
      <c r="F280" s="22">
        <v>0.0</v>
      </c>
      <c r="G280" s="23">
        <v>2000000.0</v>
      </c>
      <c r="H280" s="24">
        <v>5443837.0</v>
      </c>
      <c r="I280" s="24" t="str">
        <f>IFERROR(__xludf.DUMMYFUNCTION("REGEXEXTRACT(E280, ""ک\s(\d{16})"")"),"6037697697566260")</f>
        <v>6037697697566260</v>
      </c>
      <c r="J280" s="25" t="s">
        <v>49</v>
      </c>
      <c r="K280" s="20" t="s">
        <v>829</v>
      </c>
      <c r="L280" s="26" t="s">
        <v>39</v>
      </c>
      <c r="M280" s="26" t="s">
        <v>40</v>
      </c>
      <c r="N280" s="27" t="s">
        <v>40</v>
      </c>
      <c r="O280" s="27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ht="25.5" customHeight="1">
      <c r="A281" s="19">
        <v>273.0</v>
      </c>
      <c r="B281" s="19" t="s">
        <v>794</v>
      </c>
      <c r="C281" s="20" t="s">
        <v>827</v>
      </c>
      <c r="D281" s="21" t="s">
        <v>52</v>
      </c>
      <c r="E281" s="21" t="s">
        <v>830</v>
      </c>
      <c r="F281" s="22">
        <v>0.0</v>
      </c>
      <c r="G281" s="23">
        <v>9000.0</v>
      </c>
      <c r="H281" s="24">
        <v>5434837.0</v>
      </c>
      <c r="I281" s="24" t="str">
        <f>IFERROR(__xludf.DUMMYFUNCTION("REGEXEXTRACT(E281, ""ک\s(\d{16})"")"),"6219861085979838")</f>
        <v>6219861085979838</v>
      </c>
      <c r="J281" s="25" t="s">
        <v>49</v>
      </c>
      <c r="K281" s="20" t="s">
        <v>829</v>
      </c>
      <c r="L281" s="26" t="s">
        <v>39</v>
      </c>
      <c r="M281" s="26" t="s">
        <v>40</v>
      </c>
      <c r="N281" s="27" t="s">
        <v>40</v>
      </c>
      <c r="O281" s="27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ht="25.5" customHeight="1">
      <c r="A282" s="19">
        <v>274.0</v>
      </c>
      <c r="B282" s="19" t="s">
        <v>831</v>
      </c>
      <c r="C282" s="20" t="s">
        <v>832</v>
      </c>
      <c r="D282" s="21" t="s">
        <v>35</v>
      </c>
      <c r="E282" s="21" t="s">
        <v>833</v>
      </c>
      <c r="F282" s="22">
        <v>6.3E7</v>
      </c>
      <c r="G282" s="23">
        <v>0.0</v>
      </c>
      <c r="H282" s="24">
        <v>6.8434837E7</v>
      </c>
      <c r="I282" s="24" t="str">
        <f>IFERROR(__xludf.DUMMYFUNCTION("REGEXEXTRACT(E282, ""ک\s(\d{16})"")"),"#N/A")</f>
        <v>#N/A</v>
      </c>
      <c r="J282" s="25" t="s">
        <v>37</v>
      </c>
      <c r="K282" s="20" t="s">
        <v>834</v>
      </c>
      <c r="L282" s="26" t="s">
        <v>39</v>
      </c>
      <c r="M282" s="26" t="s">
        <v>40</v>
      </c>
      <c r="N282" s="27" t="s">
        <v>40</v>
      </c>
      <c r="O282" s="27" t="s">
        <v>835</v>
      </c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ht="25.5" customHeight="1">
      <c r="A283" s="19">
        <v>275.0</v>
      </c>
      <c r="B283" s="19" t="s">
        <v>831</v>
      </c>
      <c r="C283" s="20" t="s">
        <v>836</v>
      </c>
      <c r="D283" s="21" t="s">
        <v>52</v>
      </c>
      <c r="E283" s="21" t="s">
        <v>837</v>
      </c>
      <c r="F283" s="22">
        <v>0.0</v>
      </c>
      <c r="G283" s="23">
        <v>4000000.0</v>
      </c>
      <c r="H283" s="24">
        <v>6.4434837E7</v>
      </c>
      <c r="I283" s="24" t="str">
        <f>IFERROR(__xludf.DUMMYFUNCTION("REGEXEXTRACT(E283, ""ک\s(\d{16})"")"),"5859831103338371")</f>
        <v>5859831103338371</v>
      </c>
      <c r="J283" s="25" t="s">
        <v>49</v>
      </c>
      <c r="K283" s="20" t="s">
        <v>838</v>
      </c>
      <c r="L283" s="26" t="s">
        <v>39</v>
      </c>
      <c r="M283" s="26" t="s">
        <v>40</v>
      </c>
      <c r="N283" s="27" t="s">
        <v>40</v>
      </c>
      <c r="O283" s="27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 ht="25.5" customHeight="1">
      <c r="A284" s="19">
        <v>276.0</v>
      </c>
      <c r="B284" s="19" t="s">
        <v>831</v>
      </c>
      <c r="C284" s="20" t="s">
        <v>836</v>
      </c>
      <c r="D284" s="21" t="s">
        <v>52</v>
      </c>
      <c r="E284" s="21" t="s">
        <v>839</v>
      </c>
      <c r="F284" s="22">
        <v>0.0</v>
      </c>
      <c r="G284" s="23">
        <v>9000.0</v>
      </c>
      <c r="H284" s="24">
        <v>6.4425837E7</v>
      </c>
      <c r="I284" s="24" t="str">
        <f>IFERROR(__xludf.DUMMYFUNCTION("REGEXEXTRACT(E284, ""ک\s(\d{16})"")"),"6219861085979838")</f>
        <v>6219861085979838</v>
      </c>
      <c r="J284" s="25" t="s">
        <v>49</v>
      </c>
      <c r="K284" s="20" t="s">
        <v>838</v>
      </c>
      <c r="L284" s="26" t="s">
        <v>39</v>
      </c>
      <c r="M284" s="26" t="s">
        <v>40</v>
      </c>
      <c r="N284" s="27" t="s">
        <v>40</v>
      </c>
      <c r="O284" s="27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ht="25.5" customHeight="1">
      <c r="A285" s="19">
        <v>277.0</v>
      </c>
      <c r="B285" s="19" t="s">
        <v>831</v>
      </c>
      <c r="C285" s="20" t="s">
        <v>840</v>
      </c>
      <c r="D285" s="21" t="s">
        <v>52</v>
      </c>
      <c r="E285" s="21" t="s">
        <v>841</v>
      </c>
      <c r="F285" s="22">
        <v>0.0</v>
      </c>
      <c r="G285" s="23">
        <v>2.1168E7</v>
      </c>
      <c r="H285" s="24">
        <v>4.3257837E7</v>
      </c>
      <c r="I285" s="24" t="str">
        <f>IFERROR(__xludf.DUMMYFUNCTION("REGEXEXTRACT(E285, ""ک\s(\d{16})"")"),"6104338738476148")</f>
        <v>6104338738476148</v>
      </c>
      <c r="J285" s="25" t="s">
        <v>49</v>
      </c>
      <c r="K285" s="20" t="s">
        <v>842</v>
      </c>
      <c r="L285" s="26" t="s">
        <v>39</v>
      </c>
      <c r="M285" s="26" t="s">
        <v>40</v>
      </c>
      <c r="N285" s="27" t="s">
        <v>40</v>
      </c>
      <c r="O285" s="27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 ht="25.5" customHeight="1">
      <c r="A286" s="19">
        <v>278.0</v>
      </c>
      <c r="B286" s="19" t="s">
        <v>831</v>
      </c>
      <c r="C286" s="20" t="s">
        <v>840</v>
      </c>
      <c r="D286" s="21" t="s">
        <v>52</v>
      </c>
      <c r="E286" s="21" t="s">
        <v>843</v>
      </c>
      <c r="F286" s="22">
        <v>0.0</v>
      </c>
      <c r="G286" s="23">
        <v>15400.0</v>
      </c>
      <c r="H286" s="24">
        <v>4.3242437E7</v>
      </c>
      <c r="I286" s="24" t="str">
        <f>IFERROR(__xludf.DUMMYFUNCTION("REGEXEXTRACT(E286, ""ک\s(\d{16})"")"),"6219861085979838")</f>
        <v>6219861085979838</v>
      </c>
      <c r="J286" s="25" t="s">
        <v>49</v>
      </c>
      <c r="K286" s="20" t="s">
        <v>842</v>
      </c>
      <c r="L286" s="26" t="s">
        <v>39</v>
      </c>
      <c r="M286" s="26" t="s">
        <v>40</v>
      </c>
      <c r="N286" s="27" t="s">
        <v>40</v>
      </c>
      <c r="O286" s="27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ht="25.5" customHeight="1">
      <c r="A287" s="19">
        <v>279.0</v>
      </c>
      <c r="B287" s="19" t="s">
        <v>831</v>
      </c>
      <c r="C287" s="20" t="s">
        <v>844</v>
      </c>
      <c r="D287" s="21" t="s">
        <v>52</v>
      </c>
      <c r="E287" s="21" t="s">
        <v>845</v>
      </c>
      <c r="F287" s="22">
        <v>0.0</v>
      </c>
      <c r="G287" s="23">
        <v>3.7E7</v>
      </c>
      <c r="H287" s="24">
        <v>6242437.0</v>
      </c>
      <c r="I287" s="24" t="str">
        <f>IFERROR(__xludf.DUMMYFUNCTION("REGEXEXTRACT(E287, ""ک\s(\d{16})"")"),"6280238033262159")</f>
        <v>6280238033262159</v>
      </c>
      <c r="J287" s="25" t="s">
        <v>49</v>
      </c>
      <c r="K287" s="20" t="s">
        <v>846</v>
      </c>
      <c r="L287" s="26" t="s">
        <v>39</v>
      </c>
      <c r="M287" s="26" t="s">
        <v>40</v>
      </c>
      <c r="N287" s="27" t="s">
        <v>40</v>
      </c>
      <c r="O287" s="27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 ht="25.5" customHeight="1">
      <c r="A288" s="19">
        <v>280.0</v>
      </c>
      <c r="B288" s="19" t="s">
        <v>831</v>
      </c>
      <c r="C288" s="20" t="s">
        <v>844</v>
      </c>
      <c r="D288" s="21" t="s">
        <v>52</v>
      </c>
      <c r="E288" s="21" t="s">
        <v>847</v>
      </c>
      <c r="F288" s="22">
        <v>0.0</v>
      </c>
      <c r="G288" s="23">
        <v>18600.0</v>
      </c>
      <c r="H288" s="24">
        <v>6223837.0</v>
      </c>
      <c r="I288" s="24" t="str">
        <f>IFERROR(__xludf.DUMMYFUNCTION("REGEXEXTRACT(E288, ""ک\s(\d{16})"")"),"6219861085979838")</f>
        <v>6219861085979838</v>
      </c>
      <c r="J288" s="25" t="s">
        <v>49</v>
      </c>
      <c r="K288" s="20" t="s">
        <v>846</v>
      </c>
      <c r="L288" s="26" t="s">
        <v>39</v>
      </c>
      <c r="M288" s="26" t="s">
        <v>40</v>
      </c>
      <c r="N288" s="27" t="s">
        <v>40</v>
      </c>
      <c r="O288" s="27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ht="25.5" customHeight="1">
      <c r="A289" s="19">
        <v>281.0</v>
      </c>
      <c r="B289" s="19" t="s">
        <v>831</v>
      </c>
      <c r="C289" s="20" t="s">
        <v>848</v>
      </c>
      <c r="D289" s="21" t="s">
        <v>52</v>
      </c>
      <c r="E289" s="21" t="s">
        <v>849</v>
      </c>
      <c r="F289" s="22">
        <v>550000.0</v>
      </c>
      <c r="G289" s="23">
        <v>0.0</v>
      </c>
      <c r="H289" s="24">
        <v>6773837.0</v>
      </c>
      <c r="I289" s="24" t="str">
        <f>IFERROR(__xludf.DUMMYFUNCTION("REGEXEXTRACT(E289, ""ک\s(\d{16})"")"),"6037998155356842")</f>
        <v>6037998155356842</v>
      </c>
      <c r="J289" s="25" t="s">
        <v>49</v>
      </c>
      <c r="K289" s="20" t="s">
        <v>850</v>
      </c>
      <c r="L289" s="26" t="s">
        <v>39</v>
      </c>
      <c r="M289" s="26" t="s">
        <v>40</v>
      </c>
      <c r="N289" s="27" t="s">
        <v>40</v>
      </c>
      <c r="O289" s="27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ht="25.5" customHeight="1">
      <c r="A290" s="19">
        <v>282.0</v>
      </c>
      <c r="B290" s="19" t="s">
        <v>831</v>
      </c>
      <c r="C290" s="20" t="s">
        <v>851</v>
      </c>
      <c r="D290" s="21" t="s">
        <v>52</v>
      </c>
      <c r="E290" s="21" t="s">
        <v>852</v>
      </c>
      <c r="F290" s="22">
        <v>1400000.0</v>
      </c>
      <c r="G290" s="23">
        <v>0.0</v>
      </c>
      <c r="H290" s="24">
        <v>8173837.0</v>
      </c>
      <c r="I290" s="24" t="str">
        <f>IFERROR(__xludf.DUMMYFUNCTION("REGEXEXTRACT(E290, ""ک\s(\d{16})"")"),"6037998250354395")</f>
        <v>6037998250354395</v>
      </c>
      <c r="J290" s="25" t="s">
        <v>49</v>
      </c>
      <c r="K290" s="20" t="s">
        <v>853</v>
      </c>
      <c r="L290" s="26" t="s">
        <v>39</v>
      </c>
      <c r="M290" s="26" t="s">
        <v>40</v>
      </c>
      <c r="N290" s="27" t="s">
        <v>40</v>
      </c>
      <c r="O290" s="27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ht="11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ht="11.25" customHeight="1">
      <c r="A292" s="30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ht="18.75" customHeight="1">
      <c r="A293" s="28"/>
      <c r="B293" s="28"/>
      <c r="C293" s="28"/>
      <c r="D293" s="28"/>
      <c r="E293" s="31" t="s">
        <v>854</v>
      </c>
      <c r="F293" s="32">
        <f t="shared" ref="F293:G293" si="1">SUM(F9:F290:F9:F290)</f>
        <v>2113450000</v>
      </c>
      <c r="G293" s="33">
        <f t="shared" si="1"/>
        <v>2127144088</v>
      </c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 ht="11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ht="11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ht="11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r="297" ht="11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 ht="11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r="299" ht="11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 ht="11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ht="11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ht="11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r="303" ht="11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ht="11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r="305" ht="11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ht="11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ht="11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 ht="11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r="309" ht="11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ht="11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r="311" ht="11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ht="11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r="313" ht="11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ht="11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ht="11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 ht="11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r="317" ht="11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ht="11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r="319" ht="11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ht="11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r="321" ht="11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ht="11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r="323" ht="11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ht="11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ht="11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ht="11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r="327" ht="11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ht="11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r="329" ht="11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ht="11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r="331" ht="11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ht="11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ht="11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 ht="11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r="335" ht="11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ht="11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r="337" ht="11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 ht="11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r="339" ht="11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 ht="11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r="341" ht="11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 ht="11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ht="11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 ht="11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ht="11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 ht="11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ht="11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 ht="11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ht="11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 ht="11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ht="11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 ht="11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r="353" ht="11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 ht="11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ht="11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 ht="11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ht="11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 ht="11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r="359" ht="11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ht="11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ht="11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 ht="11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r="363" ht="11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ht="11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ht="11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 ht="11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ht="11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ht="11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r="369" ht="11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ht="11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r="371" ht="11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 ht="11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ht="11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 ht="11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ht="11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 ht="11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ht="11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ht="11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r="379" ht="11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ht="11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r="381" ht="11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ht="11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ht="11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ht="11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ht="11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ht="11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r="387" ht="11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ht="11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r="389" ht="11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ht="11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r="391" ht="11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ht="11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ht="11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ht="11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ht="11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 ht="11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r="397" ht="11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 ht="11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ht="11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 ht="11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ht="11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 ht="11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ht="11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ht="11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r="405" ht="11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 ht="11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r="407" ht="11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 ht="11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ht="11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ht="11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r="411" ht="11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 ht="11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ht="11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 ht="11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ht="11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ht="11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r="417" ht="11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ht="11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ht="11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 ht="11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ht="11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 ht="11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ht="11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 ht="11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ht="11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 ht="11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r="427" ht="11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 ht="11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r="429" ht="11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ht="11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r="431" ht="11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 ht="11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r="433" ht="11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ht="11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r="435" ht="11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ht="11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r="437" ht="11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ht="11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r="439" ht="11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ht="11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r="441" ht="11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ht="11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r="443" ht="11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ht="11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r="445" ht="11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ht="11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r="447" ht="11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 ht="11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ht="11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 ht="11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r="451" ht="11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ht="11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ht="11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ht="11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ht="11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 ht="11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ht="11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ht="11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r="459" ht="11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 ht="11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r="461" ht="11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ht="11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r="463" ht="11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ht="11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ht="11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ht="11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r="467" ht="11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ht="11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r="469" ht="11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ht="11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ht="11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 ht="11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ht="11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 ht="11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ht="11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 ht="11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r="477" ht="11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ht="11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ht="11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 ht="11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ht="11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ht="11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ht="11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 ht="11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ht="11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ht="11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r="487" ht="11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ht="11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ht="11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ht="11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r="491" ht="11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 ht="11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ht="11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 ht="11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ht="11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 ht="11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ht="11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 ht="11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ht="11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ht="11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r="501" ht="11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ht="11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r="503" ht="11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ht="11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r="505" ht="11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ht="11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ht="11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 ht="11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ht="11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 ht="11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ht="11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 ht="11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ht="11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 ht="11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ht="11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 ht="11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ht="11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 ht="11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ht="11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 ht="11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ht="11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 ht="11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ht="11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ht="11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ht="11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ht="11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r="527" ht="11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ht="11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ht="11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 ht="11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ht="11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 ht="11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ht="11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 ht="11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ht="11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 ht="11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ht="11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 ht="11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r="539" ht="11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ht="11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r="541" ht="11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ht="11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r="543" ht="11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ht="11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r="545" ht="11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ht="11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r="547" ht="11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 ht="11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ht="11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 ht="11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ht="11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 ht="11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ht="11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 ht="11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ht="11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ht="11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r="557" ht="11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ht="11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r="559" ht="11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ht="11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ht="11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ht="11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r="563" ht="11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ht="11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r="565" ht="11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ht="11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r="567" ht="11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 ht="11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ht="11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ht="11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ht="11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 ht="11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ht="11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 ht="11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ht="11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 ht="11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r="577" ht="11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 ht="11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r="579" ht="11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 ht="11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r="581" ht="11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ht="11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ht="11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 ht="11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ht="11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 ht="11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ht="11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ht="11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r="589" ht="11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ht="11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r="591" ht="11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ht="11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r="593" ht="11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 ht="11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ht="11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ht="11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r="597" ht="11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ht="11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r="599" ht="11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ht="11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r="601" ht="11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 ht="11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ht="11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ht="11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ht="11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ht="11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ht="11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 ht="11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r="609" ht="11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 ht="11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r="611" ht="11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 ht="11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r="613" ht="11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 ht="11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r="615" ht="11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 ht="11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ht="11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 ht="11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ht="11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ht="11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r="621" ht="11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 ht="11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ht="11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 ht="11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ht="11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 ht="11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ht="11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 ht="11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ht="11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 ht="11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r="631" ht="11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 ht="11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ht="11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ht="11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ht="11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ht="11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r="637" ht="11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ht="11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r="639" ht="11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ht="11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ht="11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 ht="11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r="643" ht="11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ht="11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ht="11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ht="11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ht="11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 ht="11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ht="11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ht="11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ht="11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 ht="11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ht="11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ht="11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r="655" ht="11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ht="11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r="657" ht="11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ht="11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ht="11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 ht="11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r="661" ht="11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ht="11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ht="11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ht="11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r="665" ht="11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ht="11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r="667" ht="11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ht="11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r="669" ht="11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ht="11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ht="11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 ht="11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ht="11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 ht="11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ht="11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ht="11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ht="11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ht="11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r="679" ht="11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 ht="11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ht="11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 ht="11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ht="11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 ht="11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r="685" ht="11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ht="11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ht="11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ht="11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r="689" ht="11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 ht="11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ht="11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 ht="11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ht="11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ht="11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ht="11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 ht="11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r="697" ht="11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ht="11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ht="11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 ht="11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ht="11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 ht="11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ht="11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 ht="11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ht="11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 ht="11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r="707" ht="11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 ht="11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ht="11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 ht="11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ht="11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ht="11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ht="11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 ht="11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ht="11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 ht="11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ht="11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 ht="11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ht="11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 ht="11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ht="11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 ht="11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ht="11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 ht="11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r="725" ht="11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ht="11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r="727" ht="11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 ht="11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ht="11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 ht="11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r="731" ht="11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 ht="11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r="733" ht="11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 ht="11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ht="11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ht="11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ht="11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ht="11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r="739" ht="11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 ht="11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r="741" ht="11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ht="11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r="743" ht="11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 ht="11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ht="11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 ht="11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ht="11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 ht="11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r="749" ht="11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ht="11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r="751" ht="11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ht="11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r="753" ht="11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ht="11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ht="11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 ht="11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ht="11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 ht="11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ht="11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 ht="11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ht="11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ht="11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r="763" ht="11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ht="11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ht="11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 ht="11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ht="11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ht="11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r="769" ht="11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ht="11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r="771" ht="11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 ht="11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ht="11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 ht="11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ht="11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 ht="11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r="777" ht="11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ht="11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ht="11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 ht="11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ht="11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 ht="11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ht="11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 ht="11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r="785" ht="11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ht="11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ht="11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ht="11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r="789" ht="11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 ht="11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ht="11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 ht="11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ht="11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 ht="11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ht="11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ht="11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ht="11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ht="11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r="799" ht="11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ht="11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r="801" ht="11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ht="11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r="803" ht="11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 ht="11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ht="11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 ht="11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ht="11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 ht="11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ht="11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ht="11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r="811" ht="11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ht="11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ht="11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 ht="11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r="815" ht="11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ht="11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r="817" ht="11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ht="11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r="819" ht="11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 ht="11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r="821" ht="11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ht="11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r="823" ht="11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 ht="11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ht="11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 ht="11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ht="11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 ht="11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ht="11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 ht="11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ht="11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 ht="11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ht="11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 ht="11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ht="11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ht="11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ht="11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 ht="11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ht="11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 ht="11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r="841" ht="11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ht="11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r="843" ht="11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 ht="11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ht="11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 ht="11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ht="11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 ht="11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ht="11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 ht="11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ht="11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 ht="11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ht="11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 ht="11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ht="11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 ht="11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ht="11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 ht="11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ht="11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ht="11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ht="11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 ht="11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r="863" ht="11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 ht="11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ht="11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ht="11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ht="11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 ht="11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ht="11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 ht="11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ht="11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 ht="11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ht="11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 ht="11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r="875" ht="11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 ht="11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ht="11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ht="11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ht="11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 ht="11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ht="11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 ht="11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ht="11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 ht="11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ht="11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 ht="11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ht="11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 ht="11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ht="11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 ht="11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ht="11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ht="11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r="893" ht="11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ht="11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r="895" ht="11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ht="11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ht="11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 ht="11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ht="11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ht="11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r="901" ht="11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 ht="11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ht="11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ht="11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r="905" ht="11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ht="11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ht="11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 ht="11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r="909" ht="11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ht="11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r="911" ht="11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 ht="11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ht="11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ht="11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ht="11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 ht="11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r="917" ht="11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ht="11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ht="11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ht="11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ht="11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ht="11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r="923" ht="11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ht="11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r="925" ht="11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ht="11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r="927" ht="11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ht="11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r="929" ht="11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ht="11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r="931" ht="11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ht="11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r="933" ht="11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ht="11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ht="11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ht="11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ht="11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r="938" ht="11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ht="11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r="940" ht="11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ht="11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ht="11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r="943" ht="11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ht="11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ht="11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ht="11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r="947" ht="11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ht="11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r="949" ht="11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ht="11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r="951" ht="11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ht="11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ht="11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r="954" ht="11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r="955" ht="11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ht="11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r="957" ht="11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ht="11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r="959" ht="11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ht="11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r="961" ht="11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r="962" ht="11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r="963" ht="11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ht="11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ht="11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r="966" ht="11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ht="11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ht="11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r="969" ht="11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r="970" ht="11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ht="11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r="972" ht="11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ht="11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r="974" ht="11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ht="11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r="976" ht="11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r="977" ht="11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ht="11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ht="11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r="980" ht="11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ht="11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r="982" ht="11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r="983" ht="11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r="984" ht="11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r="985" ht="11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r="986" ht="11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ht="11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ht="11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r="989" ht="11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ht="11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r="991" ht="11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ht="11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ht="11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ht="11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</row>
    <row r="995" ht="11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</row>
    <row r="996" ht="11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ht="11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ht="11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ht="11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</row>
    <row r="1000" ht="11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3" max="4" width="28.14"/>
    <col customWidth="1" min="7" max="7" width="23.43"/>
  </cols>
  <sheetData>
    <row r="1" ht="20.25" customHeight="1">
      <c r="A1" s="16" t="s">
        <v>18</v>
      </c>
      <c r="B1" s="16" t="s">
        <v>19</v>
      </c>
      <c r="C1" s="16" t="s">
        <v>22</v>
      </c>
      <c r="D1" s="17" t="s">
        <v>855</v>
      </c>
      <c r="E1" s="16" t="s">
        <v>23</v>
      </c>
      <c r="F1" s="16" t="s">
        <v>24</v>
      </c>
      <c r="G1" s="17" t="s">
        <v>26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25.5" customHeight="1">
      <c r="A2" s="19">
        <v>1.0</v>
      </c>
      <c r="B2" s="19" t="s">
        <v>33</v>
      </c>
      <c r="C2" s="21" t="s">
        <v>36</v>
      </c>
      <c r="D2" s="21" t="str">
        <f>VLOOKUP(G2, Cards!A:B, 2, FALSE)</f>
        <v>#N/A</v>
      </c>
      <c r="E2" s="22">
        <v>1.4E8</v>
      </c>
      <c r="F2" s="23">
        <v>0.0</v>
      </c>
      <c r="G2" s="24" t="str">
        <f>IFERROR(__xludf.DUMMYFUNCTION("REGEXEXTRACT(C2, ""ک\s(\d{16})"")"),"#N/A")</f>
        <v>#N/A</v>
      </c>
      <c r="H2" s="27"/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25.5" customHeight="1">
      <c r="A3" s="19">
        <v>2.0</v>
      </c>
      <c r="B3" s="19" t="s">
        <v>33</v>
      </c>
      <c r="C3" s="21" t="s">
        <v>43</v>
      </c>
      <c r="D3" s="21" t="str">
        <f>VLOOKUP(G3, Cards!A:B, 2, FALSE)</f>
        <v>#N/A</v>
      </c>
      <c r="E3" s="22">
        <v>7900000.0</v>
      </c>
      <c r="F3" s="23">
        <v>0.0</v>
      </c>
      <c r="G3" s="24" t="str">
        <f>IFERROR(__xludf.DUMMYFUNCTION("REGEXEXTRACT(C3, ""ک\s(\d{16})"")"),"#N/A")</f>
        <v>#N/A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25.5" customHeight="1">
      <c r="A4" s="19">
        <v>3.0</v>
      </c>
      <c r="B4" s="19" t="s">
        <v>33</v>
      </c>
      <c r="C4" s="21" t="s">
        <v>48</v>
      </c>
      <c r="D4" s="21" t="str">
        <f>VLOOKUP(G4, Cards!A:B, 2, FALSE)</f>
        <v>#N/A</v>
      </c>
      <c r="E4" s="22">
        <v>0.0</v>
      </c>
      <c r="F4" s="23">
        <v>3.3435E7</v>
      </c>
      <c r="G4" s="24" t="str">
        <f>IFERROR(__xludf.DUMMYFUNCTION("REGEXEXTRACT(C4, ""ک\s(\d{16})"")"),"6219861085979838")</f>
        <v>6219861085979838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25.5" customHeight="1">
      <c r="A5" s="19">
        <v>4.0</v>
      </c>
      <c r="B5" s="19" t="s">
        <v>33</v>
      </c>
      <c r="C5" s="21" t="s">
        <v>53</v>
      </c>
      <c r="D5" s="21" t="str">
        <f>VLOOKUP(G5, Cards!A:B, 2, FALSE)</f>
        <v>#N/A</v>
      </c>
      <c r="E5" s="22">
        <v>0.0</v>
      </c>
      <c r="F5" s="23">
        <v>3.0E7</v>
      </c>
      <c r="G5" s="24" t="str">
        <f>IFERROR(__xludf.DUMMYFUNCTION("REGEXEXTRACT(C5, ""ک\s(\d{16})"")"),"6037701575716284")</f>
        <v>6037701575716284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25.5" customHeight="1">
      <c r="A6" s="19">
        <v>5.0</v>
      </c>
      <c r="B6" s="19" t="s">
        <v>33</v>
      </c>
      <c r="C6" s="21" t="s">
        <v>55</v>
      </c>
      <c r="D6" s="21" t="str">
        <f>VLOOKUP(G6, Cards!A:B, 2, FALSE)</f>
        <v>#N/A</v>
      </c>
      <c r="E6" s="22">
        <v>0.0</v>
      </c>
      <c r="F6" s="23">
        <v>15400.0</v>
      </c>
      <c r="G6" s="24" t="str">
        <f>IFERROR(__xludf.DUMMYFUNCTION("REGEXEXTRACT(C6, ""ک\s(\d{16})"")"),"6219861085979838")</f>
        <v>6219861085979838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5.5" customHeight="1">
      <c r="A7" s="19">
        <v>6.0</v>
      </c>
      <c r="B7" s="19" t="s">
        <v>33</v>
      </c>
      <c r="C7" s="21" t="s">
        <v>57</v>
      </c>
      <c r="D7" s="21" t="str">
        <f>VLOOKUP(G7, Cards!A:B, 2, FALSE)</f>
        <v>#N/A</v>
      </c>
      <c r="E7" s="22">
        <v>0.0</v>
      </c>
      <c r="F7" s="23">
        <v>1.98246E7</v>
      </c>
      <c r="G7" s="24" t="str">
        <f>IFERROR(__xludf.DUMMYFUNCTION("REGEXEXTRACT(C7, ""ک\s(\d{16})"")"),"6104338738476148")</f>
        <v>6104338738476148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25.5" customHeight="1">
      <c r="A8" s="19">
        <v>7.0</v>
      </c>
      <c r="B8" s="19" t="s">
        <v>33</v>
      </c>
      <c r="C8" s="21" t="s">
        <v>59</v>
      </c>
      <c r="D8" s="21" t="str">
        <f>VLOOKUP(G8, Cards!A:B, 2, FALSE)</f>
        <v>#N/A</v>
      </c>
      <c r="E8" s="22">
        <v>0.0</v>
      </c>
      <c r="F8" s="23">
        <v>12200.0</v>
      </c>
      <c r="G8" s="24" t="str">
        <f>IFERROR(__xludf.DUMMYFUNCTION("REGEXEXTRACT(C8, ""ک\s(\d{16})"")"),"6219861085979838")</f>
        <v>6219861085979838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5.5" customHeight="1">
      <c r="A9" s="19">
        <v>8.0</v>
      </c>
      <c r="B9" s="19" t="s">
        <v>33</v>
      </c>
      <c r="C9" s="21" t="s">
        <v>61</v>
      </c>
      <c r="D9" s="21" t="str">
        <f>VLOOKUP(G9, Cards!A:B, 2, FALSE)</f>
        <v>#N/A</v>
      </c>
      <c r="E9" s="22">
        <v>0.0</v>
      </c>
      <c r="F9" s="23">
        <v>2.817E7</v>
      </c>
      <c r="G9" s="24" t="str">
        <f>IFERROR(__xludf.DUMMYFUNCTION("REGEXEXTRACT(C9, ""ک\s(\d{16})"")"),"6274121208660688")</f>
        <v>6274121208660688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25.5" customHeight="1">
      <c r="A10" s="19">
        <v>9.0</v>
      </c>
      <c r="B10" s="19" t="s">
        <v>33</v>
      </c>
      <c r="C10" s="21" t="s">
        <v>63</v>
      </c>
      <c r="D10" s="21" t="str">
        <f>VLOOKUP(G10, Cards!A:B, 2, FALSE)</f>
        <v>#N/A</v>
      </c>
      <c r="E10" s="22">
        <v>0.0</v>
      </c>
      <c r="F10" s="23">
        <v>15400.0</v>
      </c>
      <c r="G10" s="24" t="str">
        <f>IFERROR(__xludf.DUMMYFUNCTION("REGEXEXTRACT(C10, ""ک\s(\d{16})"")"),"6219861085979838")</f>
        <v>6219861085979838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25.5" customHeight="1">
      <c r="A11" s="19">
        <v>10.0</v>
      </c>
      <c r="B11" s="19" t="s">
        <v>33</v>
      </c>
      <c r="C11" s="21" t="s">
        <v>66</v>
      </c>
      <c r="D11" s="21" t="str">
        <f>VLOOKUP(G11, Cards!A:B, 2, FALSE)</f>
        <v>#N/A</v>
      </c>
      <c r="E11" s="22">
        <v>0.0</v>
      </c>
      <c r="F11" s="23">
        <v>1800.0</v>
      </c>
      <c r="G11" s="24" t="str">
        <f>IFERROR(__xludf.DUMMYFUNCTION("REGEXEXTRACT(C11, ""ک\s(\d{16})"")"),"6219861085979838")</f>
        <v>6219861085979838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25.5" customHeight="1">
      <c r="A12" s="19">
        <v>11.0</v>
      </c>
      <c r="B12" s="19" t="s">
        <v>33</v>
      </c>
      <c r="C12" s="21" t="s">
        <v>69</v>
      </c>
      <c r="D12" s="21" t="str">
        <f>VLOOKUP(G12, Cards!A:B, 2, FALSE)</f>
        <v>#N/A</v>
      </c>
      <c r="E12" s="22">
        <v>0.0</v>
      </c>
      <c r="F12" s="23">
        <v>2350000.0</v>
      </c>
      <c r="G12" s="24" t="str">
        <f>IFERROR(__xludf.DUMMYFUNCTION("REGEXEXTRACT(C12, ""ک\s(\d{16})"")"),"6219861085979838")</f>
        <v>6219861085979838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25.5" customHeight="1">
      <c r="A13" s="19">
        <v>12.0</v>
      </c>
      <c r="B13" s="19" t="s">
        <v>33</v>
      </c>
      <c r="C13" s="21" t="s">
        <v>72</v>
      </c>
      <c r="D13" s="21" t="str">
        <f>VLOOKUP(G13, Cards!A:B, 2, FALSE)</f>
        <v>#N/A</v>
      </c>
      <c r="E13" s="22">
        <v>250000.0</v>
      </c>
      <c r="F13" s="23">
        <v>0.0</v>
      </c>
      <c r="G13" s="24" t="str">
        <f>IFERROR(__xludf.DUMMYFUNCTION("REGEXEXTRACT(C13, ""ک\s(\d{16})"")"),"5859831105862774")</f>
        <v>5859831105862774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25.5" customHeight="1">
      <c r="A14" s="19">
        <v>13.0</v>
      </c>
      <c r="B14" s="19" t="s">
        <v>74</v>
      </c>
      <c r="C14" s="21" t="s">
        <v>76</v>
      </c>
      <c r="D14" s="21" t="str">
        <f>VLOOKUP(G14, Cards!A:B, 2, FALSE)</f>
        <v>#N/A</v>
      </c>
      <c r="E14" s="22">
        <v>4.0E7</v>
      </c>
      <c r="F14" s="23">
        <v>0.0</v>
      </c>
      <c r="G14" s="24" t="str">
        <f>IFERROR(__xludf.DUMMYFUNCTION("REGEXEXTRACT(C14, ""ک\s(\d{16})"")"),"#N/A")</f>
        <v>#N/A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25.5" customHeight="1">
      <c r="A15" s="19">
        <v>14.0</v>
      </c>
      <c r="B15" s="19" t="s">
        <v>74</v>
      </c>
      <c r="C15" s="21" t="s">
        <v>80</v>
      </c>
      <c r="D15" s="21" t="str">
        <f>VLOOKUP(G15, Cards!A:B, 2, FALSE)</f>
        <v>#N/A</v>
      </c>
      <c r="E15" s="22">
        <v>2.8E7</v>
      </c>
      <c r="F15" s="23">
        <v>0.0</v>
      </c>
      <c r="G15" s="24" t="str">
        <f>IFERROR(__xludf.DUMMYFUNCTION("REGEXEXTRACT(C15, ""ک\s(\d{16})"")"),"#N/A")</f>
        <v>#N/A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25.5" customHeight="1">
      <c r="A16" s="19">
        <v>15.0</v>
      </c>
      <c r="B16" s="19" t="s">
        <v>74</v>
      </c>
      <c r="C16" s="21" t="s">
        <v>84</v>
      </c>
      <c r="D16" s="21" t="str">
        <f>VLOOKUP(G16, Cards!A:B, 2, FALSE)</f>
        <v>#N/A</v>
      </c>
      <c r="E16" s="22">
        <v>0.0</v>
      </c>
      <c r="F16" s="23">
        <v>1.56E7</v>
      </c>
      <c r="G16" s="24" t="str">
        <f>IFERROR(__xludf.DUMMYFUNCTION("REGEXEXTRACT(C16, ""ک\s(\d{16})"")"),"6219861085979838")</f>
        <v>6219861085979838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25.5" customHeight="1">
      <c r="A17" s="19">
        <v>16.0</v>
      </c>
      <c r="B17" s="19" t="s">
        <v>74</v>
      </c>
      <c r="C17" s="21" t="s">
        <v>87</v>
      </c>
      <c r="D17" s="21" t="str">
        <f>VLOOKUP(G17, Cards!A:B, 2, FALSE)</f>
        <v>#N/A</v>
      </c>
      <c r="E17" s="22">
        <v>0.0</v>
      </c>
      <c r="F17" s="23">
        <v>1.0E7</v>
      </c>
      <c r="G17" s="24" t="str">
        <f>IFERROR(__xludf.DUMMYFUNCTION("REGEXEXTRACT(C17, ""ک\s(\d{16})"")"),"6219861085979838")</f>
        <v>6219861085979838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25.5" customHeight="1">
      <c r="A18" s="19">
        <v>17.0</v>
      </c>
      <c r="B18" s="19" t="s">
        <v>74</v>
      </c>
      <c r="C18" s="21" t="s">
        <v>90</v>
      </c>
      <c r="D18" s="21" t="str">
        <f>VLOOKUP(G18, Cards!A:B, 2, FALSE)</f>
        <v>#N/A</v>
      </c>
      <c r="E18" s="22">
        <v>0.0</v>
      </c>
      <c r="F18" s="23">
        <v>1.4885E7</v>
      </c>
      <c r="G18" s="24" t="str">
        <f>IFERROR(__xludf.DUMMYFUNCTION("REGEXEXTRACT(C18, ""ک\s(\d{16})"")"),"6219861085979838")</f>
        <v>6219861085979838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25.5" customHeight="1">
      <c r="A19" s="19">
        <v>18.0</v>
      </c>
      <c r="B19" s="19" t="s">
        <v>74</v>
      </c>
      <c r="C19" s="21" t="s">
        <v>93</v>
      </c>
      <c r="D19" s="21" t="str">
        <f>VLOOKUP(G19, Cards!A:B, 2, FALSE)</f>
        <v>#N/A</v>
      </c>
      <c r="E19" s="22">
        <v>0.0</v>
      </c>
      <c r="F19" s="23">
        <v>1.0375E7</v>
      </c>
      <c r="G19" s="24" t="str">
        <f>IFERROR(__xludf.DUMMYFUNCTION("REGEXEXTRACT(C19, ""ک\s(\d{16})"")"),"6219861085979838")</f>
        <v>6219861085979838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25.5" customHeight="1">
      <c r="A20" s="19">
        <v>19.0</v>
      </c>
      <c r="B20" s="19" t="s">
        <v>74</v>
      </c>
      <c r="C20" s="21" t="s">
        <v>97</v>
      </c>
      <c r="D20" s="21" t="str">
        <f>VLOOKUP(G20, Cards!A:B, 2, FALSE)</f>
        <v>#N/A</v>
      </c>
      <c r="E20" s="22">
        <v>1150000.0</v>
      </c>
      <c r="F20" s="23">
        <v>0.0</v>
      </c>
      <c r="G20" s="24" t="str">
        <f>IFERROR(__xludf.DUMMYFUNCTION("REGEXEXTRACT(C20, ""ک\s(\d{16})"")"),"#N/A")</f>
        <v>#N/A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25.5" customHeight="1">
      <c r="A21" s="19">
        <v>20.0</v>
      </c>
      <c r="B21" s="19" t="s">
        <v>74</v>
      </c>
      <c r="C21" s="21" t="s">
        <v>101</v>
      </c>
      <c r="D21" s="21" t="str">
        <f>VLOOKUP(G21, Cards!A:B, 2, FALSE)</f>
        <v>#N/A</v>
      </c>
      <c r="E21" s="22">
        <v>0.0</v>
      </c>
      <c r="F21" s="23">
        <v>6000000.0</v>
      </c>
      <c r="G21" s="24" t="str">
        <f>IFERROR(__xludf.DUMMYFUNCTION("REGEXEXTRACT(C21, ""ک\s(\d{16})"")"),"6219861085979838")</f>
        <v>6219861085979838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25.5" customHeight="1">
      <c r="A22" s="19">
        <v>21.0</v>
      </c>
      <c r="B22" s="19" t="s">
        <v>74</v>
      </c>
      <c r="C22" s="21" t="s">
        <v>104</v>
      </c>
      <c r="D22" s="21" t="str">
        <f>VLOOKUP(G22, Cards!A:B, 2, FALSE)</f>
        <v>#N/A</v>
      </c>
      <c r="E22" s="22">
        <v>0.0</v>
      </c>
      <c r="F22" s="23">
        <v>1800.0</v>
      </c>
      <c r="G22" s="24" t="str">
        <f>IFERROR(__xludf.DUMMYFUNCTION("REGEXEXTRACT(C22, ""ک\s(\d{16})"")"),"6219861085979838")</f>
        <v>6219861085979838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25.5" customHeight="1">
      <c r="A23" s="19">
        <v>22.0</v>
      </c>
      <c r="B23" s="19" t="s">
        <v>74</v>
      </c>
      <c r="C23" s="21" t="s">
        <v>107</v>
      </c>
      <c r="D23" s="21" t="str">
        <f>VLOOKUP(G23, Cards!A:B, 2, FALSE)</f>
        <v>#N/A</v>
      </c>
      <c r="E23" s="22">
        <v>150000.0</v>
      </c>
      <c r="F23" s="23">
        <v>0.0</v>
      </c>
      <c r="G23" s="24" t="str">
        <f>IFERROR(__xludf.DUMMYFUNCTION("REGEXEXTRACT(C23, ""ک\s(\d{16})"")"),"5859831227346631")</f>
        <v>5859831227346631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25.5" customHeight="1">
      <c r="A24" s="19">
        <v>23.0</v>
      </c>
      <c r="B24" s="19" t="s">
        <v>74</v>
      </c>
      <c r="C24" s="21" t="s">
        <v>110</v>
      </c>
      <c r="D24" s="21" t="str">
        <f>VLOOKUP(G24, Cards!A:B, 2, FALSE)</f>
        <v>#N/A</v>
      </c>
      <c r="E24" s="22">
        <v>0.0</v>
      </c>
      <c r="F24" s="23">
        <v>1.32E7</v>
      </c>
      <c r="G24" s="24" t="str">
        <f>IFERROR(__xludf.DUMMYFUNCTION("REGEXEXTRACT(C24, ""ک\s(\d{16})"")"),"6037701642636788")</f>
        <v>6037701642636788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25.5" customHeight="1">
      <c r="A25" s="19">
        <v>24.0</v>
      </c>
      <c r="B25" s="19" t="s">
        <v>74</v>
      </c>
      <c r="C25" s="21" t="s">
        <v>112</v>
      </c>
      <c r="D25" s="21" t="str">
        <f>VLOOKUP(G25, Cards!A:B, 2, FALSE)</f>
        <v>#N/A</v>
      </c>
      <c r="E25" s="22">
        <v>0.0</v>
      </c>
      <c r="F25" s="23">
        <v>12200.0</v>
      </c>
      <c r="G25" s="24" t="str">
        <f>IFERROR(__xludf.DUMMYFUNCTION("REGEXEXTRACT(C25, ""ک\s(\d{16})"")"),"6219861085979838")</f>
        <v>6219861085979838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25.5" customHeight="1">
      <c r="A26" s="19">
        <v>25.0</v>
      </c>
      <c r="B26" s="19" t="s">
        <v>113</v>
      </c>
      <c r="C26" s="21" t="s">
        <v>115</v>
      </c>
      <c r="D26" s="21" t="str">
        <f>VLOOKUP(G26, Cards!A:B, 2, FALSE)</f>
        <v>#N/A</v>
      </c>
      <c r="E26" s="22">
        <v>7.2E7</v>
      </c>
      <c r="F26" s="23">
        <v>0.0</v>
      </c>
      <c r="G26" s="24" t="str">
        <f>IFERROR(__xludf.DUMMYFUNCTION("REGEXEXTRACT(C26, ""ک\s(\d{16})"")"),"#N/A")</f>
        <v>#N/A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25.5" customHeight="1">
      <c r="A27" s="19">
        <v>26.0</v>
      </c>
      <c r="B27" s="19" t="s">
        <v>113</v>
      </c>
      <c r="C27" s="21" t="s">
        <v>119</v>
      </c>
      <c r="D27" s="21" t="str">
        <f>VLOOKUP(G27, Cards!A:B, 2, FALSE)</f>
        <v>#N/A</v>
      </c>
      <c r="E27" s="22">
        <v>0.0</v>
      </c>
      <c r="F27" s="23">
        <v>2000000.0</v>
      </c>
      <c r="G27" s="24" t="str">
        <f>IFERROR(__xludf.DUMMYFUNCTION("REGEXEXTRACT(C27, ""ک\s(\d{16})"")"),"6219861085979838")</f>
        <v>6219861085979838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25.5" customHeight="1">
      <c r="A28" s="19">
        <v>27.0</v>
      </c>
      <c r="B28" s="19" t="s">
        <v>113</v>
      </c>
      <c r="C28" s="21" t="s">
        <v>122</v>
      </c>
      <c r="D28" s="21" t="str">
        <f>VLOOKUP(G28, Cards!A:B, 2, FALSE)</f>
        <v>#N/A</v>
      </c>
      <c r="E28" s="22">
        <v>0.0</v>
      </c>
      <c r="F28" s="23">
        <v>2700000.0</v>
      </c>
      <c r="G28" s="24" t="str">
        <f>IFERROR(__xludf.DUMMYFUNCTION("REGEXEXTRACT(C28, ""ک\s(\d{16})"")"),"6037997435482469")</f>
        <v>6037997435482469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25.5" customHeight="1">
      <c r="A29" s="19">
        <v>28.0</v>
      </c>
      <c r="B29" s="19" t="s">
        <v>113</v>
      </c>
      <c r="C29" s="21" t="s">
        <v>124</v>
      </c>
      <c r="D29" s="21" t="str">
        <f>VLOOKUP(G29, Cards!A:B, 2, FALSE)</f>
        <v>#N/A</v>
      </c>
      <c r="E29" s="22">
        <v>0.0</v>
      </c>
      <c r="F29" s="23">
        <v>9000.0</v>
      </c>
      <c r="G29" s="24" t="str">
        <f>IFERROR(__xludf.DUMMYFUNCTION("REGEXEXTRACT(C29, ""ک\s(\d{16})"")"),"6219861085979838")</f>
        <v>6219861085979838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25.5" customHeight="1">
      <c r="A30" s="19">
        <v>29.0</v>
      </c>
      <c r="B30" s="19" t="s">
        <v>113</v>
      </c>
      <c r="C30" s="21" t="s">
        <v>126</v>
      </c>
      <c r="D30" s="21" t="str">
        <f>VLOOKUP(G30, Cards!A:B, 2, FALSE)</f>
        <v>#N/A</v>
      </c>
      <c r="E30" s="22">
        <v>0.0</v>
      </c>
      <c r="F30" s="23">
        <v>2900000.0</v>
      </c>
      <c r="G30" s="24" t="str">
        <f>IFERROR(__xludf.DUMMYFUNCTION("REGEXEXTRACT(C30, ""ک\s(\d{16})"")"),"6219861085979838")</f>
        <v>6219861085979838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25.5" customHeight="1">
      <c r="A31" s="19">
        <v>30.0</v>
      </c>
      <c r="B31" s="19" t="s">
        <v>113</v>
      </c>
      <c r="C31" s="21" t="s">
        <v>129</v>
      </c>
      <c r="D31" s="21" t="str">
        <f>VLOOKUP(G31, Cards!A:B, 2, FALSE)</f>
        <v>#N/A</v>
      </c>
      <c r="E31" s="22">
        <v>0.0</v>
      </c>
      <c r="F31" s="23">
        <v>1.048E7</v>
      </c>
      <c r="G31" s="24" t="str">
        <f>IFERROR(__xludf.DUMMYFUNCTION("REGEXEXTRACT(C31, ""ک\s(\d{16})"")"),"5894631178646402")</f>
        <v>5894631178646402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25.5" customHeight="1">
      <c r="A32" s="19">
        <v>31.0</v>
      </c>
      <c r="B32" s="19" t="s">
        <v>113</v>
      </c>
      <c r="C32" s="21" t="s">
        <v>131</v>
      </c>
      <c r="D32" s="21" t="str">
        <f>VLOOKUP(G32, Cards!A:B, 2, FALSE)</f>
        <v>#N/A</v>
      </c>
      <c r="E32" s="22">
        <v>0.0</v>
      </c>
      <c r="F32" s="23">
        <v>12200.0</v>
      </c>
      <c r="G32" s="24" t="str">
        <f>IFERROR(__xludf.DUMMYFUNCTION("REGEXEXTRACT(C32, ""ک\s(\d{16})"")"),"6219861085979838")</f>
        <v>6219861085979838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25.5" customHeight="1">
      <c r="A33" s="19">
        <v>32.0</v>
      </c>
      <c r="B33" s="19" t="s">
        <v>113</v>
      </c>
      <c r="C33" s="21" t="s">
        <v>133</v>
      </c>
      <c r="D33" s="21" t="str">
        <f>VLOOKUP(G33, Cards!A:B, 2, FALSE)</f>
        <v>#N/A</v>
      </c>
      <c r="E33" s="22">
        <v>0.0</v>
      </c>
      <c r="F33" s="23">
        <v>9600000.0</v>
      </c>
      <c r="G33" s="24" t="str">
        <f>IFERROR(__xludf.DUMMYFUNCTION("REGEXEXTRACT(C33, ""ک\s(\d{16})"")"),"6037997381658112")</f>
        <v>6037997381658112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25.5" customHeight="1">
      <c r="A34" s="19">
        <v>33.0</v>
      </c>
      <c r="B34" s="19" t="s">
        <v>113</v>
      </c>
      <c r="C34" s="21" t="s">
        <v>135</v>
      </c>
      <c r="D34" s="21" t="str">
        <f>VLOOKUP(G34, Cards!A:B, 2, FALSE)</f>
        <v>#N/A</v>
      </c>
      <c r="E34" s="22">
        <v>0.0</v>
      </c>
      <c r="F34" s="23">
        <v>9000.0</v>
      </c>
      <c r="G34" s="24" t="str">
        <f>IFERROR(__xludf.DUMMYFUNCTION("REGEXEXTRACT(C34, ""ک\s(\d{16})"")"),"6219861085979838")</f>
        <v>6219861085979838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25.5" customHeight="1">
      <c r="A35" s="19">
        <v>34.0</v>
      </c>
      <c r="B35" s="19" t="s">
        <v>113</v>
      </c>
      <c r="C35" s="21" t="s">
        <v>137</v>
      </c>
      <c r="D35" s="21" t="str">
        <f>VLOOKUP(G35, Cards!A:B, 2, FALSE)</f>
        <v>#N/A</v>
      </c>
      <c r="E35" s="22">
        <v>0.0</v>
      </c>
      <c r="F35" s="23">
        <v>2.043E7</v>
      </c>
      <c r="G35" s="24" t="str">
        <f>IFERROR(__xludf.DUMMYFUNCTION("REGEXEXTRACT(C35, ""ک\s(\d{16})"")"),"6274121208660688")</f>
        <v>6274121208660688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25.5" customHeight="1">
      <c r="A36" s="19">
        <v>35.0</v>
      </c>
      <c r="B36" s="19" t="s">
        <v>113</v>
      </c>
      <c r="C36" s="21" t="s">
        <v>139</v>
      </c>
      <c r="D36" s="21" t="str">
        <f>VLOOKUP(G36, Cards!A:B, 2, FALSE)</f>
        <v>#N/A</v>
      </c>
      <c r="E36" s="22">
        <v>0.0</v>
      </c>
      <c r="F36" s="23">
        <v>15400.0</v>
      </c>
      <c r="G36" s="24" t="str">
        <f>IFERROR(__xludf.DUMMYFUNCTION("REGEXEXTRACT(C36, ""ک\s(\d{16})"")"),"6219861085979838")</f>
        <v>6219861085979838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25.5" customHeight="1">
      <c r="A37" s="19">
        <v>36.0</v>
      </c>
      <c r="B37" s="19" t="s">
        <v>113</v>
      </c>
      <c r="C37" s="21" t="s">
        <v>141</v>
      </c>
      <c r="D37" s="21" t="str">
        <f>VLOOKUP(G37, Cards!A:B, 2, FALSE)</f>
        <v>#N/A</v>
      </c>
      <c r="E37" s="22">
        <v>0.0</v>
      </c>
      <c r="F37" s="23">
        <v>1.32E7</v>
      </c>
      <c r="G37" s="24" t="str">
        <f>IFERROR(__xludf.DUMMYFUNCTION("REGEXEXTRACT(C37, ""ک\s(\d{16})"")"),"6037701642636788")</f>
        <v>6037701642636788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25.5" customHeight="1">
      <c r="A38" s="19">
        <v>37.0</v>
      </c>
      <c r="B38" s="19" t="s">
        <v>113</v>
      </c>
      <c r="C38" s="21" t="s">
        <v>143</v>
      </c>
      <c r="D38" s="21" t="str">
        <f>VLOOKUP(G38, Cards!A:B, 2, FALSE)</f>
        <v>#N/A</v>
      </c>
      <c r="E38" s="22">
        <v>0.0</v>
      </c>
      <c r="F38" s="23">
        <v>12200.0</v>
      </c>
      <c r="G38" s="24" t="str">
        <f>IFERROR(__xludf.DUMMYFUNCTION("REGEXEXTRACT(C38, ""ک\s(\d{16})"")"),"6219861085979838")</f>
        <v>6219861085979838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25.5" customHeight="1">
      <c r="A39" s="19">
        <v>38.0</v>
      </c>
      <c r="B39" s="19" t="s">
        <v>113</v>
      </c>
      <c r="C39" s="21" t="s">
        <v>145</v>
      </c>
      <c r="D39" s="21" t="str">
        <f>VLOOKUP(G39, Cards!A:B, 2, FALSE)</f>
        <v>#N/A</v>
      </c>
      <c r="E39" s="22">
        <v>0.0</v>
      </c>
      <c r="F39" s="23">
        <v>4000000.0</v>
      </c>
      <c r="G39" s="24" t="str">
        <f>IFERROR(__xludf.DUMMYFUNCTION("REGEXEXTRACT(C39, ""ک\s(\d{16})"")"),"5859831103338371")</f>
        <v>5859831103338371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25.5" customHeight="1">
      <c r="A40" s="19">
        <v>39.0</v>
      </c>
      <c r="B40" s="19" t="s">
        <v>113</v>
      </c>
      <c r="C40" s="21" t="s">
        <v>147</v>
      </c>
      <c r="D40" s="21" t="str">
        <f>VLOOKUP(G40, Cards!A:B, 2, FALSE)</f>
        <v>#N/A</v>
      </c>
      <c r="E40" s="22">
        <v>0.0</v>
      </c>
      <c r="F40" s="23">
        <v>9000.0</v>
      </c>
      <c r="G40" s="24" t="str">
        <f>IFERROR(__xludf.DUMMYFUNCTION("REGEXEXTRACT(C40, ""ک\s(\d{16})"")"),"6219861085979838")</f>
        <v>6219861085979838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25.5" customHeight="1">
      <c r="A41" s="19">
        <v>40.0</v>
      </c>
      <c r="B41" s="19" t="s">
        <v>113</v>
      </c>
      <c r="C41" s="21" t="s">
        <v>149</v>
      </c>
      <c r="D41" s="21" t="str">
        <f>VLOOKUP(G41, Cards!A:B, 2, FALSE)</f>
        <v>#N/A</v>
      </c>
      <c r="E41" s="22">
        <v>0.0</v>
      </c>
      <c r="F41" s="23">
        <v>1800.0</v>
      </c>
      <c r="G41" s="24" t="str">
        <f>IFERROR(__xludf.DUMMYFUNCTION("REGEXEXTRACT(C41, ""ک\s(\d{16})"")"),"6219861085979838")</f>
        <v>6219861085979838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25.5" customHeight="1">
      <c r="A42" s="19">
        <v>41.0</v>
      </c>
      <c r="B42" s="19" t="s">
        <v>113</v>
      </c>
      <c r="C42" s="21" t="s">
        <v>152</v>
      </c>
      <c r="D42" s="21" t="str">
        <f>VLOOKUP(G42, Cards!A:B, 2, FALSE)</f>
        <v>#N/A</v>
      </c>
      <c r="E42" s="22">
        <v>1450000.0</v>
      </c>
      <c r="F42" s="23">
        <v>0.0</v>
      </c>
      <c r="G42" s="24" t="str">
        <f>IFERROR(__xludf.DUMMYFUNCTION("REGEXEXTRACT(C42, ""ک\s(\d{16})"")"),"6037991712002975")</f>
        <v>6037991712002975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25.5" customHeight="1">
      <c r="A43" s="19">
        <v>42.0</v>
      </c>
      <c r="B43" s="19" t="s">
        <v>113</v>
      </c>
      <c r="C43" s="21" t="s">
        <v>155</v>
      </c>
      <c r="D43" s="21" t="str">
        <f>VLOOKUP(G43, Cards!A:B, 2, FALSE)</f>
        <v>#N/A</v>
      </c>
      <c r="E43" s="22">
        <v>0.0</v>
      </c>
      <c r="F43" s="23">
        <v>2.06756E7</v>
      </c>
      <c r="G43" s="24" t="str">
        <f>IFERROR(__xludf.DUMMYFUNCTION("REGEXEXTRACT(C43, ""ک\s(\d{16})"")"),"6104338738476148")</f>
        <v>6104338738476148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25.5" customHeight="1">
      <c r="A44" s="19">
        <v>43.0</v>
      </c>
      <c r="B44" s="19" t="s">
        <v>113</v>
      </c>
      <c r="C44" s="21" t="s">
        <v>157</v>
      </c>
      <c r="D44" s="21" t="str">
        <f>VLOOKUP(G44, Cards!A:B, 2, FALSE)</f>
        <v>#N/A</v>
      </c>
      <c r="E44" s="22">
        <v>0.0</v>
      </c>
      <c r="F44" s="23">
        <v>15400.0</v>
      </c>
      <c r="G44" s="24" t="str">
        <f>IFERROR(__xludf.DUMMYFUNCTION("REGEXEXTRACT(C44, ""ک\s(\d{16})"")"),"6219861085979838")</f>
        <v>6219861085979838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25.5" customHeight="1">
      <c r="A45" s="19">
        <v>44.0</v>
      </c>
      <c r="B45" s="19" t="s">
        <v>113</v>
      </c>
      <c r="C45" s="21" t="s">
        <v>159</v>
      </c>
      <c r="D45" s="21" t="str">
        <f>VLOOKUP(G45, Cards!A:B, 2, FALSE)</f>
        <v>#N/A</v>
      </c>
      <c r="E45" s="22">
        <v>0.0</v>
      </c>
      <c r="F45" s="23">
        <v>1.042E7</v>
      </c>
      <c r="G45" s="24" t="str">
        <f>IFERROR(__xludf.DUMMYFUNCTION("REGEXEXTRACT(C45, ""ک\s(\d{16})"")"),"5894631178646402")</f>
        <v>5894631178646402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25.5" customHeight="1">
      <c r="A46" s="19">
        <v>45.0</v>
      </c>
      <c r="B46" s="19" t="s">
        <v>113</v>
      </c>
      <c r="C46" s="21" t="s">
        <v>161</v>
      </c>
      <c r="D46" s="21" t="str">
        <f>VLOOKUP(G46, Cards!A:B, 2, FALSE)</f>
        <v>#N/A</v>
      </c>
      <c r="E46" s="22">
        <v>0.0</v>
      </c>
      <c r="F46" s="23">
        <v>12200.0</v>
      </c>
      <c r="G46" s="24" t="str">
        <f>IFERROR(__xludf.DUMMYFUNCTION("REGEXEXTRACT(C46, ""ک\s(\d{16})"")"),"6219861085979838")</f>
        <v>6219861085979838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25.5" customHeight="1">
      <c r="A47" s="19">
        <v>46.0</v>
      </c>
      <c r="B47" s="19" t="s">
        <v>113</v>
      </c>
      <c r="C47" s="21" t="s">
        <v>163</v>
      </c>
      <c r="D47" s="21" t="str">
        <f>VLOOKUP(G47, Cards!A:B, 2, FALSE)</f>
        <v>#N/A</v>
      </c>
      <c r="E47" s="22">
        <v>0.0</v>
      </c>
      <c r="F47" s="23">
        <v>1800.0</v>
      </c>
      <c r="G47" s="24" t="str">
        <f>IFERROR(__xludf.DUMMYFUNCTION("REGEXEXTRACT(C47, ""ک\s(\d{16})"")"),"6219861085979838")</f>
        <v>6219861085979838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25.5" customHeight="1">
      <c r="A48" s="19">
        <v>47.0</v>
      </c>
      <c r="B48" s="19" t="s">
        <v>165</v>
      </c>
      <c r="C48" s="21" t="s">
        <v>167</v>
      </c>
      <c r="D48" s="21" t="str">
        <f>VLOOKUP(G48, Cards!A:B, 2, FALSE)</f>
        <v>#N/A</v>
      </c>
      <c r="E48" s="22">
        <v>1.126E8</v>
      </c>
      <c r="F48" s="23">
        <v>0.0</v>
      </c>
      <c r="G48" s="24" t="str">
        <f>IFERROR(__xludf.DUMMYFUNCTION("REGEXEXTRACT(C48, ""ک\s(\d{16})"")"),"#N/A")</f>
        <v>#N/A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25.5" customHeight="1">
      <c r="A49" s="19">
        <v>48.0</v>
      </c>
      <c r="B49" s="19" t="s">
        <v>170</v>
      </c>
      <c r="C49" s="21" t="s">
        <v>172</v>
      </c>
      <c r="D49" s="21" t="str">
        <f>VLOOKUP(G49, Cards!A:B, 2, FALSE)</f>
        <v>#N/A</v>
      </c>
      <c r="E49" s="22">
        <v>0.0</v>
      </c>
      <c r="F49" s="23">
        <v>1.56E7</v>
      </c>
      <c r="G49" s="24" t="str">
        <f>IFERROR(__xludf.DUMMYFUNCTION("REGEXEXTRACT(C49, ""ک\s(\d{16})"")"),"6219861085979838")</f>
        <v>6219861085979838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25.5" customHeight="1">
      <c r="A50" s="19">
        <v>49.0</v>
      </c>
      <c r="B50" s="19" t="s">
        <v>170</v>
      </c>
      <c r="C50" s="21" t="s">
        <v>175</v>
      </c>
      <c r="D50" s="21" t="str">
        <f>VLOOKUP(G50, Cards!A:B, 2, FALSE)</f>
        <v>#N/A</v>
      </c>
      <c r="E50" s="22">
        <v>0.0</v>
      </c>
      <c r="F50" s="23">
        <v>1800.0</v>
      </c>
      <c r="G50" s="24" t="str">
        <f>IFERROR(__xludf.DUMMYFUNCTION("REGEXEXTRACT(C50, ""ک\s(\d{16})"")"),"6219861085979838")</f>
        <v>6219861085979838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25.5" customHeight="1">
      <c r="A51" s="19">
        <v>50.0</v>
      </c>
      <c r="B51" s="19" t="s">
        <v>170</v>
      </c>
      <c r="C51" s="21" t="s">
        <v>178</v>
      </c>
      <c r="D51" s="21" t="str">
        <f>VLOOKUP(G51, Cards!A:B, 2, FALSE)</f>
        <v>#N/A</v>
      </c>
      <c r="E51" s="22">
        <v>500000.0</v>
      </c>
      <c r="F51" s="23">
        <v>0.0</v>
      </c>
      <c r="G51" s="24" t="str">
        <f>IFERROR(__xludf.DUMMYFUNCTION("REGEXEXTRACT(C51, ""ک\s(\d{16})"")"),"6277601369097934")</f>
        <v>6277601369097934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25.5" customHeight="1">
      <c r="A52" s="19">
        <v>51.0</v>
      </c>
      <c r="B52" s="19" t="s">
        <v>170</v>
      </c>
      <c r="C52" s="21" t="s">
        <v>181</v>
      </c>
      <c r="D52" s="21" t="str">
        <f>VLOOKUP(G52, Cards!A:B, 2, FALSE)</f>
        <v>#N/A</v>
      </c>
      <c r="E52" s="22">
        <v>250000.0</v>
      </c>
      <c r="F52" s="23">
        <v>0.0</v>
      </c>
      <c r="G52" s="24" t="str">
        <f>IFERROR(__xludf.DUMMYFUNCTION("REGEXEXTRACT(C52, ""ک\s(\d{16})"")"),"6221061215421878")</f>
        <v>6221061215421878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25.5" customHeight="1">
      <c r="A53" s="19">
        <v>52.0</v>
      </c>
      <c r="B53" s="19" t="s">
        <v>183</v>
      </c>
      <c r="C53" s="21" t="s">
        <v>185</v>
      </c>
      <c r="D53" s="21" t="str">
        <f>VLOOKUP(G53, Cards!A:B, 2, FALSE)</f>
        <v>#N/A</v>
      </c>
      <c r="E53" s="22">
        <v>4.0E7</v>
      </c>
      <c r="F53" s="23">
        <v>0.0</v>
      </c>
      <c r="G53" s="24" t="str">
        <f>IFERROR(__xludf.DUMMYFUNCTION("REGEXEXTRACT(C53, ""ک\s(\d{16})"")"),"#N/A")</f>
        <v>#N/A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25.5" customHeight="1">
      <c r="A54" s="19">
        <v>53.0</v>
      </c>
      <c r="B54" s="19" t="s">
        <v>183</v>
      </c>
      <c r="C54" s="21" t="s">
        <v>189</v>
      </c>
      <c r="D54" s="21" t="str">
        <f>VLOOKUP(G54, Cards!A:B, 2, FALSE)</f>
        <v>#N/A</v>
      </c>
      <c r="E54" s="22">
        <v>3.65E7</v>
      </c>
      <c r="F54" s="23">
        <v>0.0</v>
      </c>
      <c r="G54" s="24" t="str">
        <f>IFERROR(__xludf.DUMMYFUNCTION("REGEXEXTRACT(C54, ""ک\s(\d{16})"")"),"#N/A")</f>
        <v>#N/A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25.5" customHeight="1">
      <c r="A55" s="19">
        <v>54.0</v>
      </c>
      <c r="B55" s="19" t="s">
        <v>183</v>
      </c>
      <c r="C55" s="21" t="s">
        <v>193</v>
      </c>
      <c r="D55" s="21" t="str">
        <f>VLOOKUP(G55, Cards!A:B, 2, FALSE)</f>
        <v>#N/A</v>
      </c>
      <c r="E55" s="22">
        <v>0.0</v>
      </c>
      <c r="F55" s="23">
        <v>1.56E7</v>
      </c>
      <c r="G55" s="24" t="str">
        <f>IFERROR(__xludf.DUMMYFUNCTION("REGEXEXTRACT(C55, ""ک\s(\d{16})"")"),"6219861085979838")</f>
        <v>6219861085979838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25.5" customHeight="1">
      <c r="A56" s="19">
        <v>55.0</v>
      </c>
      <c r="B56" s="19" t="s">
        <v>183</v>
      </c>
      <c r="C56" s="21" t="s">
        <v>196</v>
      </c>
      <c r="D56" s="21" t="str">
        <f>VLOOKUP(G56, Cards!A:B, 2, FALSE)</f>
        <v>#N/A</v>
      </c>
      <c r="E56" s="22">
        <v>0.0</v>
      </c>
      <c r="F56" s="23">
        <v>1.16E7</v>
      </c>
      <c r="G56" s="24" t="str">
        <f>IFERROR(__xludf.DUMMYFUNCTION("REGEXEXTRACT(C56, ""ک\s(\d{16})"")"),"6219861085979838")</f>
        <v>6219861085979838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25.5" customHeight="1">
      <c r="A57" s="19">
        <v>56.0</v>
      </c>
      <c r="B57" s="19" t="s">
        <v>183</v>
      </c>
      <c r="C57" s="21" t="s">
        <v>199</v>
      </c>
      <c r="D57" s="21" t="str">
        <f>VLOOKUP(G57, Cards!A:B, 2, FALSE)</f>
        <v>#N/A</v>
      </c>
      <c r="E57" s="22">
        <v>0.0</v>
      </c>
      <c r="F57" s="23">
        <v>1800.0</v>
      </c>
      <c r="G57" s="24" t="str">
        <f>IFERROR(__xludf.DUMMYFUNCTION("REGEXEXTRACT(C57, ""ک\s(\d{16})"")"),"6219861085979838")</f>
        <v>6219861085979838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25.5" customHeight="1">
      <c r="A58" s="19">
        <v>57.0</v>
      </c>
      <c r="B58" s="19" t="s">
        <v>183</v>
      </c>
      <c r="C58" s="21" t="s">
        <v>203</v>
      </c>
      <c r="D58" s="21" t="str">
        <f>VLOOKUP(G58, Cards!A:B, 2, FALSE)</f>
        <v>#N/A</v>
      </c>
      <c r="E58" s="22">
        <v>0.0</v>
      </c>
      <c r="F58" s="23">
        <v>1.3E8</v>
      </c>
      <c r="G58" s="24" t="str">
        <f>IFERROR(__xludf.DUMMYFUNCTION("REGEXEXTRACT(C58, ""ک\s(\d{16})"")"),"#N/A")</f>
        <v>#N/A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25.5" customHeight="1">
      <c r="A59" s="19">
        <v>58.0</v>
      </c>
      <c r="B59" s="19" t="s">
        <v>183</v>
      </c>
      <c r="C59" s="21" t="s">
        <v>207</v>
      </c>
      <c r="D59" s="21" t="str">
        <f>VLOOKUP(G59, Cards!A:B, 2, FALSE)</f>
        <v>#N/A</v>
      </c>
      <c r="E59" s="22">
        <v>0.0</v>
      </c>
      <c r="F59" s="23">
        <v>26000.0</v>
      </c>
      <c r="G59" s="24" t="str">
        <f>IFERROR(__xludf.DUMMYFUNCTION("REGEXEXTRACT(C59, ""ک\s(\d{16})"")"),"#N/A")</f>
        <v>#N/A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25.5" customHeight="1">
      <c r="A60" s="19">
        <v>59.0</v>
      </c>
      <c r="B60" s="19" t="s">
        <v>183</v>
      </c>
      <c r="C60" s="21" t="s">
        <v>210</v>
      </c>
      <c r="D60" s="21" t="str">
        <f>VLOOKUP(G60, Cards!A:B, 2, FALSE)</f>
        <v>#N/A</v>
      </c>
      <c r="E60" s="22">
        <v>1200000.0</v>
      </c>
      <c r="F60" s="23">
        <v>0.0</v>
      </c>
      <c r="G60" s="24" t="str">
        <f>IFERROR(__xludf.DUMMYFUNCTION("REGEXEXTRACT(C60, ""ک\s(\d{16})"")"),"6104331052268688")</f>
        <v>6104331052268688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25.5" customHeight="1">
      <c r="A61" s="19">
        <v>60.0</v>
      </c>
      <c r="B61" s="19" t="s">
        <v>183</v>
      </c>
      <c r="C61" s="21" t="s">
        <v>213</v>
      </c>
      <c r="D61" s="21" t="str">
        <f>VLOOKUP(G61, Cards!A:B, 2, FALSE)</f>
        <v>#N/A</v>
      </c>
      <c r="E61" s="22">
        <v>1200000.0</v>
      </c>
      <c r="F61" s="23">
        <v>0.0</v>
      </c>
      <c r="G61" s="24" t="str">
        <f>IFERROR(__xludf.DUMMYFUNCTION("REGEXEXTRACT(C61, ""ک\s(\d{16})"")"),"6037998114386070")</f>
        <v>6037998114386070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25.5" customHeight="1">
      <c r="A62" s="19">
        <v>61.0</v>
      </c>
      <c r="B62" s="19" t="s">
        <v>183</v>
      </c>
      <c r="C62" s="21" t="s">
        <v>216</v>
      </c>
      <c r="D62" s="21" t="str">
        <f>VLOOKUP(G62, Cards!A:B, 2, FALSE)</f>
        <v>#N/A</v>
      </c>
      <c r="E62" s="22">
        <v>1450000.0</v>
      </c>
      <c r="F62" s="23">
        <v>0.0</v>
      </c>
      <c r="G62" s="24" t="str">
        <f>IFERROR(__xludf.DUMMYFUNCTION("REGEXEXTRACT(C62, ""ک\s(\d{16})"")"),"6037997409404564")</f>
        <v>6037997409404564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25.5" customHeight="1">
      <c r="A63" s="19">
        <v>62.0</v>
      </c>
      <c r="B63" s="19" t="s">
        <v>183</v>
      </c>
      <c r="C63" s="21" t="s">
        <v>219</v>
      </c>
      <c r="D63" s="21" t="str">
        <f>VLOOKUP(G63, Cards!A:B, 2, FALSE)</f>
        <v>#N/A</v>
      </c>
      <c r="E63" s="22">
        <v>1700000.0</v>
      </c>
      <c r="F63" s="23">
        <v>0.0</v>
      </c>
      <c r="G63" s="24" t="str">
        <f>IFERROR(__xludf.DUMMYFUNCTION("REGEXEXTRACT(C63, ""ک\s(\d{16})"")"),"6037991928738461")</f>
        <v>6037991928738461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25.5" customHeight="1">
      <c r="A64" s="19">
        <v>63.0</v>
      </c>
      <c r="B64" s="19" t="s">
        <v>183</v>
      </c>
      <c r="C64" s="21" t="s">
        <v>222</v>
      </c>
      <c r="D64" s="21" t="str">
        <f>VLOOKUP(G64, Cards!A:B, 2, FALSE)</f>
        <v>#N/A</v>
      </c>
      <c r="E64" s="22">
        <v>550000.0</v>
      </c>
      <c r="F64" s="23">
        <v>0.0</v>
      </c>
      <c r="G64" s="24" t="str">
        <f>IFERROR(__xludf.DUMMYFUNCTION("REGEXEXTRACT(C64, ""ک\s(\d{16})"")"),"6037998277253570")</f>
        <v>6037998277253570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25.5" customHeight="1">
      <c r="A65" s="19">
        <v>64.0</v>
      </c>
      <c r="B65" s="19" t="s">
        <v>183</v>
      </c>
      <c r="C65" s="21" t="s">
        <v>225</v>
      </c>
      <c r="D65" s="21" t="str">
        <f>VLOOKUP(G65, Cards!A:B, 2, FALSE)</f>
        <v>#N/A</v>
      </c>
      <c r="E65" s="22">
        <v>0.0</v>
      </c>
      <c r="F65" s="23">
        <v>1800.0</v>
      </c>
      <c r="G65" s="24" t="str">
        <f>IFERROR(__xludf.DUMMYFUNCTION("REGEXEXTRACT(C65, ""ک\s(\d{16})"")"),"6219861085979838")</f>
        <v>6219861085979838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25.5" customHeight="1">
      <c r="A66" s="19">
        <v>65.0</v>
      </c>
      <c r="B66" s="19" t="s">
        <v>183</v>
      </c>
      <c r="C66" s="21" t="s">
        <v>228</v>
      </c>
      <c r="D66" s="21" t="str">
        <f>VLOOKUP(G66, Cards!A:B, 2, FALSE)</f>
        <v>#N/A</v>
      </c>
      <c r="E66" s="22">
        <v>0.0</v>
      </c>
      <c r="F66" s="23">
        <v>1.0655E7</v>
      </c>
      <c r="G66" s="24" t="str">
        <f>IFERROR(__xludf.DUMMYFUNCTION("REGEXEXTRACT(C66, ""ک\s(\d{16})"")"),"5894631178646402")</f>
        <v>5894631178646402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25.5" customHeight="1">
      <c r="A67" s="19">
        <v>66.0</v>
      </c>
      <c r="B67" s="19" t="s">
        <v>183</v>
      </c>
      <c r="C67" s="21" t="s">
        <v>230</v>
      </c>
      <c r="D67" s="21" t="str">
        <f>VLOOKUP(G67, Cards!A:B, 2, FALSE)</f>
        <v>#N/A</v>
      </c>
      <c r="E67" s="22">
        <v>0.0</v>
      </c>
      <c r="F67" s="23">
        <v>12200.0</v>
      </c>
      <c r="G67" s="24" t="str">
        <f>IFERROR(__xludf.DUMMYFUNCTION("REGEXEXTRACT(C67, ""ک\s(\d{16})"")"),"6219861085979838")</f>
        <v>6219861085979838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25.5" customHeight="1">
      <c r="A68" s="19">
        <v>67.0</v>
      </c>
      <c r="B68" s="19" t="s">
        <v>183</v>
      </c>
      <c r="C68" s="21" t="s">
        <v>232</v>
      </c>
      <c r="D68" s="21" t="str">
        <f>VLOOKUP(G68, Cards!A:B, 2, FALSE)</f>
        <v>#N/A</v>
      </c>
      <c r="E68" s="22">
        <v>0.0</v>
      </c>
      <c r="F68" s="23">
        <v>1.385E7</v>
      </c>
      <c r="G68" s="24" t="str">
        <f>IFERROR(__xludf.DUMMYFUNCTION("REGEXEXTRACT(C68, ""ک\s(\d{16})"")"),"6037701642636788")</f>
        <v>6037701642636788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25.5" customHeight="1">
      <c r="A69" s="19">
        <v>68.0</v>
      </c>
      <c r="B69" s="19" t="s">
        <v>183</v>
      </c>
      <c r="C69" s="21" t="s">
        <v>234</v>
      </c>
      <c r="D69" s="21" t="str">
        <f>VLOOKUP(G69, Cards!A:B, 2, FALSE)</f>
        <v>#N/A</v>
      </c>
      <c r="E69" s="22">
        <v>0.0</v>
      </c>
      <c r="F69" s="23">
        <v>12200.0</v>
      </c>
      <c r="G69" s="24" t="str">
        <f>IFERROR(__xludf.DUMMYFUNCTION("REGEXEXTRACT(C69, ""ک\s(\d{16})"")"),"6219861085979838")</f>
        <v>6219861085979838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25.5" customHeight="1">
      <c r="A70" s="19">
        <v>69.0</v>
      </c>
      <c r="B70" s="19" t="s">
        <v>235</v>
      </c>
      <c r="C70" s="21" t="s">
        <v>237</v>
      </c>
      <c r="D70" s="21" t="str">
        <f>VLOOKUP(G70, Cards!A:B, 2, FALSE)</f>
        <v>#N/A</v>
      </c>
      <c r="E70" s="22">
        <v>1.0E8</v>
      </c>
      <c r="F70" s="23">
        <v>0.0</v>
      </c>
      <c r="G70" s="24" t="str">
        <f>IFERROR(__xludf.DUMMYFUNCTION("REGEXEXTRACT(C70, ""ک\s(\d{16})"")"),"#N/A")</f>
        <v>#N/A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25.5" customHeight="1">
      <c r="A71" s="19">
        <v>70.0</v>
      </c>
      <c r="B71" s="19" t="s">
        <v>235</v>
      </c>
      <c r="C71" s="21" t="s">
        <v>241</v>
      </c>
      <c r="D71" s="21" t="str">
        <f>VLOOKUP(G71, Cards!A:B, 2, FALSE)</f>
        <v>#N/A</v>
      </c>
      <c r="E71" s="22">
        <v>0.0</v>
      </c>
      <c r="F71" s="23">
        <v>12000.0</v>
      </c>
      <c r="G71" s="24" t="str">
        <f>IFERROR(__xludf.DUMMYFUNCTION("REGEXEXTRACT(C71, ""ک\s(\d{16})"")"),"#N/A")</f>
        <v>#N/A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25.5" customHeight="1">
      <c r="A72" s="19">
        <v>71.0</v>
      </c>
      <c r="B72" s="19" t="s">
        <v>245</v>
      </c>
      <c r="C72" s="21" t="s">
        <v>247</v>
      </c>
      <c r="D72" s="21" t="str">
        <f>VLOOKUP(G72, Cards!A:B, 2, FALSE)</f>
        <v>#N/A</v>
      </c>
      <c r="E72" s="22">
        <v>8.1E7</v>
      </c>
      <c r="F72" s="23">
        <v>0.0</v>
      </c>
      <c r="G72" s="24" t="str">
        <f>IFERROR(__xludf.DUMMYFUNCTION("REGEXEXTRACT(C72, ""ک\s(\d{16})"")"),"#N/A")</f>
        <v>#N/A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25.5" customHeight="1">
      <c r="A73" s="19">
        <v>72.0</v>
      </c>
      <c r="B73" s="19" t="s">
        <v>245</v>
      </c>
      <c r="C73" s="21" t="s">
        <v>251</v>
      </c>
      <c r="D73" s="21" t="str">
        <f>VLOOKUP(G73, Cards!A:B, 2, FALSE)</f>
        <v>#N/A</v>
      </c>
      <c r="E73" s="22">
        <v>900000.0</v>
      </c>
      <c r="F73" s="23">
        <v>0.0</v>
      </c>
      <c r="G73" s="24" t="str">
        <f>IFERROR(__xludf.DUMMYFUNCTION("REGEXEXTRACT(C73, ""ک\s(\d{16})"")"),"6037998199231522")</f>
        <v>6037998199231522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25.5" customHeight="1">
      <c r="A74" s="19">
        <v>73.0</v>
      </c>
      <c r="B74" s="19" t="s">
        <v>245</v>
      </c>
      <c r="C74" s="21" t="s">
        <v>254</v>
      </c>
      <c r="D74" s="21" t="str">
        <f>VLOOKUP(G74, Cards!A:B, 2, FALSE)</f>
        <v>#N/A</v>
      </c>
      <c r="E74" s="22">
        <v>1400000.0</v>
      </c>
      <c r="F74" s="23">
        <v>0.0</v>
      </c>
      <c r="G74" s="24" t="str">
        <f>IFERROR(__xludf.DUMMYFUNCTION("REGEXEXTRACT(C74, ""ک\s(\d{16})"")"),"6104338745074928")</f>
        <v>6104338745074928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25.5" customHeight="1">
      <c r="A75" s="19">
        <v>74.0</v>
      </c>
      <c r="B75" s="19" t="s">
        <v>245</v>
      </c>
      <c r="C75" s="21" t="s">
        <v>257</v>
      </c>
      <c r="D75" s="21" t="str">
        <f>VLOOKUP(G75, Cards!A:B, 2, FALSE)</f>
        <v>#N/A</v>
      </c>
      <c r="E75" s="22">
        <v>1150000.0</v>
      </c>
      <c r="F75" s="23">
        <v>0.0</v>
      </c>
      <c r="G75" s="24" t="str">
        <f>IFERROR(__xludf.DUMMYFUNCTION("REGEXEXTRACT(C75, ""ک\s(\d{16})"")"),"6063731139603782")</f>
        <v>6063731139603782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25.5" customHeight="1">
      <c r="A76" s="19">
        <v>75.0</v>
      </c>
      <c r="B76" s="19" t="s">
        <v>245</v>
      </c>
      <c r="C76" s="21" t="s">
        <v>260</v>
      </c>
      <c r="D76" s="21" t="str">
        <f>VLOOKUP(G76, Cards!A:B, 2, FALSE)</f>
        <v>#N/A</v>
      </c>
      <c r="E76" s="22">
        <v>550000.0</v>
      </c>
      <c r="F76" s="23">
        <v>0.0</v>
      </c>
      <c r="G76" s="24" t="str">
        <f>IFERROR(__xludf.DUMMYFUNCTION("REGEXEXTRACT(C76, ""ک\s(\d{16})"")"),"6037998221397762")</f>
        <v>6037998221397762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25.5" customHeight="1">
      <c r="A77" s="19">
        <v>76.0</v>
      </c>
      <c r="B77" s="19" t="s">
        <v>262</v>
      </c>
      <c r="C77" s="21" t="s">
        <v>264</v>
      </c>
      <c r="D77" s="21" t="str">
        <f>VLOOKUP(G77, Cards!A:B, 2, FALSE)</f>
        <v>#N/A</v>
      </c>
      <c r="E77" s="22">
        <v>7.6E7</v>
      </c>
      <c r="F77" s="23">
        <v>0.0</v>
      </c>
      <c r="G77" s="24" t="str">
        <f>IFERROR(__xludf.DUMMYFUNCTION("REGEXEXTRACT(C77, ""ک\s(\d{16})"")"),"#N/A")</f>
        <v>#N/A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25.5" customHeight="1">
      <c r="A78" s="19">
        <v>77.0</v>
      </c>
      <c r="B78" s="19" t="s">
        <v>262</v>
      </c>
      <c r="C78" s="21" t="s">
        <v>268</v>
      </c>
      <c r="D78" s="21" t="str">
        <f>VLOOKUP(G78, Cards!A:B, 2, FALSE)</f>
        <v>#N/A</v>
      </c>
      <c r="E78" s="22">
        <v>0.0</v>
      </c>
      <c r="F78" s="23">
        <v>4000000.0</v>
      </c>
      <c r="G78" s="24" t="str">
        <f>IFERROR(__xludf.DUMMYFUNCTION("REGEXEXTRACT(C78, ""ک\s(\d{16})"")"),"5859831103338371")</f>
        <v>5859831103338371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25.5" customHeight="1">
      <c r="A79" s="19">
        <v>78.0</v>
      </c>
      <c r="B79" s="19" t="s">
        <v>262</v>
      </c>
      <c r="C79" s="21" t="s">
        <v>270</v>
      </c>
      <c r="D79" s="21" t="str">
        <f>VLOOKUP(G79, Cards!A:B, 2, FALSE)</f>
        <v>#N/A</v>
      </c>
      <c r="E79" s="22">
        <v>0.0</v>
      </c>
      <c r="F79" s="23">
        <v>9000.0</v>
      </c>
      <c r="G79" s="24" t="str">
        <f>IFERROR(__xludf.DUMMYFUNCTION("REGEXEXTRACT(C79, ""ک\s(\d{16})"")"),"6219861085979838")</f>
        <v>6219861085979838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25.5" customHeight="1">
      <c r="A80" s="19">
        <v>79.0</v>
      </c>
      <c r="B80" s="19" t="s">
        <v>262</v>
      </c>
      <c r="C80" s="21" t="s">
        <v>272</v>
      </c>
      <c r="D80" s="21" t="str">
        <f>VLOOKUP(G80, Cards!A:B, 2, FALSE)</f>
        <v>#N/A</v>
      </c>
      <c r="E80" s="22">
        <v>0.0</v>
      </c>
      <c r="F80" s="23">
        <v>8.035E7</v>
      </c>
      <c r="G80" s="24" t="str">
        <f>IFERROR(__xludf.DUMMYFUNCTION("REGEXEXTRACT(C80, ""ک\s(\d{16})"")"),"#N/A")</f>
        <v>#N/A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25.5" customHeight="1">
      <c r="A81" s="19">
        <v>80.0</v>
      </c>
      <c r="B81" s="19" t="s">
        <v>262</v>
      </c>
      <c r="C81" s="21" t="s">
        <v>207</v>
      </c>
      <c r="D81" s="21" t="str">
        <f>VLOOKUP(G81, Cards!A:B, 2, FALSE)</f>
        <v>#N/A</v>
      </c>
      <c r="E81" s="22">
        <v>0.0</v>
      </c>
      <c r="F81" s="23">
        <v>16070.0</v>
      </c>
      <c r="G81" s="24" t="str">
        <f>IFERROR(__xludf.DUMMYFUNCTION("REGEXEXTRACT(C81, ""ک\s(\d{16})"")"),"#N/A")</f>
        <v>#N/A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25.5" customHeight="1">
      <c r="A82" s="19">
        <v>81.0</v>
      </c>
      <c r="B82" s="19" t="s">
        <v>262</v>
      </c>
      <c r="C82" s="21" t="s">
        <v>276</v>
      </c>
      <c r="D82" s="21" t="str">
        <f>VLOOKUP(G82, Cards!A:B, 2, FALSE)</f>
        <v>#N/A</v>
      </c>
      <c r="E82" s="22">
        <v>0.0</v>
      </c>
      <c r="F82" s="23">
        <v>5.0E7</v>
      </c>
      <c r="G82" s="24" t="str">
        <f>IFERROR(__xludf.DUMMYFUNCTION("REGEXEXTRACT(C82, ""ک\s(\d{16})"")"),"#N/A")</f>
        <v>#N/A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25.5" customHeight="1">
      <c r="A83" s="19">
        <v>82.0</v>
      </c>
      <c r="B83" s="19" t="s">
        <v>262</v>
      </c>
      <c r="C83" s="21" t="s">
        <v>207</v>
      </c>
      <c r="D83" s="21" t="str">
        <f>VLOOKUP(G83, Cards!A:B, 2, FALSE)</f>
        <v>#N/A</v>
      </c>
      <c r="E83" s="22">
        <v>0.0</v>
      </c>
      <c r="F83" s="23">
        <v>10000.0</v>
      </c>
      <c r="G83" s="24" t="str">
        <f>IFERROR(__xludf.DUMMYFUNCTION("REGEXEXTRACT(C83, ""ک\s(\d{16})"")"),"#N/A")</f>
        <v>#N/A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25.5" customHeight="1">
      <c r="A84" s="19">
        <v>83.0</v>
      </c>
      <c r="B84" s="19" t="s">
        <v>262</v>
      </c>
      <c r="C84" s="21" t="s">
        <v>280</v>
      </c>
      <c r="D84" s="21" t="str">
        <f>VLOOKUP(G84, Cards!A:B, 2, FALSE)</f>
        <v>#N/A</v>
      </c>
      <c r="E84" s="22">
        <v>0.0</v>
      </c>
      <c r="F84" s="23">
        <v>1.56E7</v>
      </c>
      <c r="G84" s="24" t="str">
        <f>IFERROR(__xludf.DUMMYFUNCTION("REGEXEXTRACT(C84, ""ک\s(\d{16})"")"),"6037697600840968")</f>
        <v>6037697600840968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25.5" customHeight="1">
      <c r="A85" s="19">
        <v>84.0</v>
      </c>
      <c r="B85" s="19" t="s">
        <v>262</v>
      </c>
      <c r="C85" s="21" t="s">
        <v>282</v>
      </c>
      <c r="D85" s="21" t="str">
        <f>VLOOKUP(G85, Cards!A:B, 2, FALSE)</f>
        <v>#N/A</v>
      </c>
      <c r="E85" s="22">
        <v>0.0</v>
      </c>
      <c r="F85" s="23">
        <v>12200.0</v>
      </c>
      <c r="G85" s="24" t="str">
        <f>IFERROR(__xludf.DUMMYFUNCTION("REGEXEXTRACT(C85, ""ک\s(\d{16})"")"),"6219861085979838")</f>
        <v>6219861085979838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25.5" customHeight="1">
      <c r="A86" s="19">
        <v>85.0</v>
      </c>
      <c r="B86" s="19" t="s">
        <v>283</v>
      </c>
      <c r="C86" s="21" t="s">
        <v>285</v>
      </c>
      <c r="D86" s="21" t="str">
        <f>VLOOKUP(G86, Cards!A:B, 2, FALSE)</f>
        <v>#N/A</v>
      </c>
      <c r="E86" s="22">
        <v>6.1E7</v>
      </c>
      <c r="F86" s="23">
        <v>0.0</v>
      </c>
      <c r="G86" s="24" t="str">
        <f>IFERROR(__xludf.DUMMYFUNCTION("REGEXEXTRACT(C86, ""ک\s(\d{16})"")"),"#N/A")</f>
        <v>#N/A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25.5" customHeight="1">
      <c r="A87" s="19">
        <v>86.0</v>
      </c>
      <c r="B87" s="19" t="s">
        <v>283</v>
      </c>
      <c r="C87" s="21" t="s">
        <v>289</v>
      </c>
      <c r="D87" s="21" t="str">
        <f>VLOOKUP(G87, Cards!A:B, 2, FALSE)</f>
        <v>#N/A</v>
      </c>
      <c r="E87" s="22">
        <v>3.3E7</v>
      </c>
      <c r="F87" s="23">
        <v>0.0</v>
      </c>
      <c r="G87" s="24" t="str">
        <f>IFERROR(__xludf.DUMMYFUNCTION("REGEXEXTRACT(C87, ""ک\s(\d{16})"")"),"#N/A")</f>
        <v>#N/A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25.5" customHeight="1">
      <c r="A88" s="19">
        <v>87.0</v>
      </c>
      <c r="B88" s="19" t="s">
        <v>283</v>
      </c>
      <c r="C88" s="21" t="s">
        <v>293</v>
      </c>
      <c r="D88" s="21" t="str">
        <f>VLOOKUP(G88, Cards!A:B, 2, FALSE)</f>
        <v>#N/A</v>
      </c>
      <c r="E88" s="22">
        <v>0.0</v>
      </c>
      <c r="F88" s="23">
        <v>1.2E8</v>
      </c>
      <c r="G88" s="24" t="str">
        <f>IFERROR(__xludf.DUMMYFUNCTION("REGEXEXTRACT(C88, ""ک\s(\d{16})"")"),"#N/A")</f>
        <v>#N/A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25.5" customHeight="1">
      <c r="A89" s="19">
        <v>88.0</v>
      </c>
      <c r="B89" s="19" t="s">
        <v>283</v>
      </c>
      <c r="C89" s="21" t="s">
        <v>207</v>
      </c>
      <c r="D89" s="21" t="str">
        <f>VLOOKUP(G89, Cards!A:B, 2, FALSE)</f>
        <v>#N/A</v>
      </c>
      <c r="E89" s="22">
        <v>0.0</v>
      </c>
      <c r="F89" s="23">
        <v>24000.0</v>
      </c>
      <c r="G89" s="24" t="str">
        <f>IFERROR(__xludf.DUMMYFUNCTION("REGEXEXTRACT(C89, ""ک\s(\d{16})"")"),"#N/A")</f>
        <v>#N/A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25.5" customHeight="1">
      <c r="A90" s="19">
        <v>89.0</v>
      </c>
      <c r="B90" s="19" t="s">
        <v>283</v>
      </c>
      <c r="C90" s="21" t="s">
        <v>298</v>
      </c>
      <c r="D90" s="21" t="str">
        <f>VLOOKUP(G90, Cards!A:B, 2, FALSE)</f>
        <v>#N/A</v>
      </c>
      <c r="E90" s="22">
        <v>0.0</v>
      </c>
      <c r="F90" s="23">
        <v>5.0E7</v>
      </c>
      <c r="G90" s="24" t="str">
        <f>IFERROR(__xludf.DUMMYFUNCTION("REGEXEXTRACT(C90, ""ک\s(\d{16})"")"),"6104338981389121")</f>
        <v>6104338981389121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25.5" customHeight="1">
      <c r="A91" s="19">
        <v>90.0</v>
      </c>
      <c r="B91" s="19" t="s">
        <v>283</v>
      </c>
      <c r="C91" s="21" t="s">
        <v>300</v>
      </c>
      <c r="D91" s="21" t="str">
        <f>VLOOKUP(G91, Cards!A:B, 2, FALSE)</f>
        <v>#N/A</v>
      </c>
      <c r="E91" s="22">
        <v>0.0</v>
      </c>
      <c r="F91" s="23">
        <v>21800.0</v>
      </c>
      <c r="G91" s="24" t="str">
        <f>IFERROR(__xludf.DUMMYFUNCTION("REGEXEXTRACT(C91, ""ک\s(\d{16})"")"),"6219861085979838")</f>
        <v>6219861085979838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25.5" customHeight="1">
      <c r="A92" s="19">
        <v>91.0</v>
      </c>
      <c r="B92" s="19" t="s">
        <v>283</v>
      </c>
      <c r="C92" s="21" t="s">
        <v>302</v>
      </c>
      <c r="D92" s="21" t="str">
        <f>VLOOKUP(G92, Cards!A:B, 2, FALSE)</f>
        <v>#N/A</v>
      </c>
      <c r="E92" s="22">
        <v>0.0</v>
      </c>
      <c r="F92" s="23">
        <v>1800.0</v>
      </c>
      <c r="G92" s="24" t="str">
        <f>IFERROR(__xludf.DUMMYFUNCTION("REGEXEXTRACT(C92, ""ک\s(\d{16})"")"),"6219861085979838")</f>
        <v>6219861085979838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25.5" customHeight="1">
      <c r="A93" s="19">
        <v>92.0</v>
      </c>
      <c r="B93" s="19" t="s">
        <v>283</v>
      </c>
      <c r="C93" s="21" t="s">
        <v>305</v>
      </c>
      <c r="D93" s="21" t="str">
        <f>VLOOKUP(G93, Cards!A:B, 2, FALSE)</f>
        <v>#N/A</v>
      </c>
      <c r="E93" s="22">
        <v>0.0</v>
      </c>
      <c r="F93" s="23">
        <v>1800.0</v>
      </c>
      <c r="G93" s="24" t="str">
        <f>IFERROR(__xludf.DUMMYFUNCTION("REGEXEXTRACT(C93, ""ک\s(\d{16})"")"),"6219861085979838")</f>
        <v>6219861085979838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25.5" customHeight="1">
      <c r="A94" s="19">
        <v>93.0</v>
      </c>
      <c r="B94" s="19" t="s">
        <v>283</v>
      </c>
      <c r="C94" s="21" t="s">
        <v>308</v>
      </c>
      <c r="D94" s="21" t="str">
        <f>VLOOKUP(G94, Cards!A:B, 2, FALSE)</f>
        <v>#N/A</v>
      </c>
      <c r="E94" s="22">
        <v>0.0</v>
      </c>
      <c r="F94" s="23">
        <v>4.06582E7</v>
      </c>
      <c r="G94" s="24" t="str">
        <f>IFERROR(__xludf.DUMMYFUNCTION("REGEXEXTRACT(C94, ""ک\s(\d{16})"")"),"6104338738476148")</f>
        <v>6104338738476148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25.5" customHeight="1">
      <c r="A95" s="19">
        <v>94.0</v>
      </c>
      <c r="B95" s="19" t="s">
        <v>283</v>
      </c>
      <c r="C95" s="21" t="s">
        <v>310</v>
      </c>
      <c r="D95" s="21" t="str">
        <f>VLOOKUP(G95, Cards!A:B, 2, FALSE)</f>
        <v>#N/A</v>
      </c>
      <c r="E95" s="22">
        <v>0.0</v>
      </c>
      <c r="F95" s="23">
        <v>21800.0</v>
      </c>
      <c r="G95" s="24" t="str">
        <f>IFERROR(__xludf.DUMMYFUNCTION("REGEXEXTRACT(C95, ""ک\s(\d{16})"")"),"6219861085979838")</f>
        <v>6219861085979838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25.5" customHeight="1">
      <c r="A96" s="19">
        <v>95.0</v>
      </c>
      <c r="B96" s="19" t="s">
        <v>283</v>
      </c>
      <c r="C96" s="21" t="s">
        <v>312</v>
      </c>
      <c r="D96" s="21" t="str">
        <f>VLOOKUP(G96, Cards!A:B, 2, FALSE)</f>
        <v>#N/A</v>
      </c>
      <c r="E96" s="22">
        <v>0.0</v>
      </c>
      <c r="F96" s="23">
        <v>2.44E7</v>
      </c>
      <c r="G96" s="24" t="str">
        <f>IFERROR(__xludf.DUMMYFUNCTION("REGEXEXTRACT(C96, ""ک\s(\d{16})"")"),"6219861085979838")</f>
        <v>6219861085979838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25.5" customHeight="1">
      <c r="A97" s="19">
        <v>96.0</v>
      </c>
      <c r="B97" s="19" t="s">
        <v>314</v>
      </c>
      <c r="C97" s="21" t="s">
        <v>316</v>
      </c>
      <c r="D97" s="21" t="str">
        <f>VLOOKUP(G97, Cards!A:B, 2, FALSE)</f>
        <v>#N/A</v>
      </c>
      <c r="E97" s="22">
        <v>9.9E7</v>
      </c>
      <c r="F97" s="23">
        <v>0.0</v>
      </c>
      <c r="G97" s="24" t="str">
        <f>IFERROR(__xludf.DUMMYFUNCTION("REGEXEXTRACT(C97, ""ک\s(\d{16})"")"),"#N/A")</f>
        <v>#N/A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25.5" customHeight="1">
      <c r="A98" s="19">
        <v>97.0</v>
      </c>
      <c r="B98" s="19" t="s">
        <v>319</v>
      </c>
      <c r="C98" s="21" t="s">
        <v>321</v>
      </c>
      <c r="D98" s="21" t="str">
        <f>VLOOKUP(G98, Cards!A:B, 2, FALSE)</f>
        <v>#N/A</v>
      </c>
      <c r="E98" s="22">
        <v>0.0</v>
      </c>
      <c r="F98" s="23">
        <v>1.6E7</v>
      </c>
      <c r="G98" s="24" t="str">
        <f>IFERROR(__xludf.DUMMYFUNCTION("REGEXEXTRACT(C98, ""ک\s(\d{16})"")"),"6219861085979838")</f>
        <v>6219861085979838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25.5" customHeight="1">
      <c r="A99" s="19">
        <v>98.0</v>
      </c>
      <c r="B99" s="19" t="s">
        <v>319</v>
      </c>
      <c r="C99" s="21" t="s">
        <v>324</v>
      </c>
      <c r="D99" s="21" t="str">
        <f>VLOOKUP(G99, Cards!A:B, 2, FALSE)</f>
        <v>#N/A</v>
      </c>
      <c r="E99" s="22">
        <v>0.0</v>
      </c>
      <c r="F99" s="23">
        <v>1800.0</v>
      </c>
      <c r="G99" s="24" t="str">
        <f>IFERROR(__xludf.DUMMYFUNCTION("REGEXEXTRACT(C99, ""ک\s(\d{16})"")"),"6219861085979838")</f>
        <v>6219861085979838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25.5" customHeight="1">
      <c r="A100" s="19">
        <v>99.0</v>
      </c>
      <c r="B100" s="19" t="s">
        <v>319</v>
      </c>
      <c r="C100" s="21" t="s">
        <v>327</v>
      </c>
      <c r="D100" s="21" t="str">
        <f>VLOOKUP(G100, Cards!A:B, 2, FALSE)</f>
        <v>#N/A</v>
      </c>
      <c r="E100" s="22">
        <v>0.0</v>
      </c>
      <c r="F100" s="23">
        <v>1.65E7</v>
      </c>
      <c r="G100" s="24" t="str">
        <f>IFERROR(__xludf.DUMMYFUNCTION("REGEXEXTRACT(C100, ""ک\s(\d{16})"")"),"6037701642636788")</f>
        <v>6037701642636788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25.5" customHeight="1">
      <c r="A101" s="19">
        <v>100.0</v>
      </c>
      <c r="B101" s="19" t="s">
        <v>319</v>
      </c>
      <c r="C101" s="21" t="s">
        <v>329</v>
      </c>
      <c r="D101" s="21" t="str">
        <f>VLOOKUP(G101, Cards!A:B, 2, FALSE)</f>
        <v>#N/A</v>
      </c>
      <c r="E101" s="22">
        <v>0.0</v>
      </c>
      <c r="F101" s="23">
        <v>12200.0</v>
      </c>
      <c r="G101" s="24" t="str">
        <f>IFERROR(__xludf.DUMMYFUNCTION("REGEXEXTRACT(C101, ""ک\s(\d{16})"")"),"6219861085979838")</f>
        <v>6219861085979838</v>
      </c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25.5" customHeight="1">
      <c r="A102" s="19">
        <v>101.0</v>
      </c>
      <c r="B102" s="19" t="s">
        <v>319</v>
      </c>
      <c r="C102" s="21" t="s">
        <v>331</v>
      </c>
      <c r="D102" s="21" t="str">
        <f>VLOOKUP(G102, Cards!A:B, 2, FALSE)</f>
        <v>#N/A</v>
      </c>
      <c r="E102" s="22">
        <v>0.0</v>
      </c>
      <c r="F102" s="23">
        <v>1800.0</v>
      </c>
      <c r="G102" s="24" t="str">
        <f>IFERROR(__xludf.DUMMYFUNCTION("REGEXEXTRACT(C102, ""ک\s(\d{16})"")"),"6219861085979838")</f>
        <v>6219861085979838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25.5" customHeight="1">
      <c r="A103" s="19">
        <v>102.0</v>
      </c>
      <c r="B103" s="19" t="s">
        <v>333</v>
      </c>
      <c r="C103" s="21" t="s">
        <v>335</v>
      </c>
      <c r="D103" s="21" t="str">
        <f>VLOOKUP(G103, Cards!A:B, 2, FALSE)</f>
        <v>#N/A</v>
      </c>
      <c r="E103" s="22">
        <v>4.8E7</v>
      </c>
      <c r="F103" s="23">
        <v>0.0</v>
      </c>
      <c r="G103" s="24" t="str">
        <f>IFERROR(__xludf.DUMMYFUNCTION("REGEXEXTRACT(C103, ""ک\s(\d{16})"")"),"#N/A")</f>
        <v>#N/A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25.5" customHeight="1">
      <c r="A104" s="19">
        <v>103.0</v>
      </c>
      <c r="B104" s="19" t="s">
        <v>333</v>
      </c>
      <c r="C104" s="21" t="s">
        <v>339</v>
      </c>
      <c r="D104" s="21" t="str">
        <f>VLOOKUP(G104, Cards!A:B, 2, FALSE)</f>
        <v>#N/A</v>
      </c>
      <c r="E104" s="22">
        <v>4.6E7</v>
      </c>
      <c r="F104" s="23">
        <v>0.0</v>
      </c>
      <c r="G104" s="24" t="str">
        <f>IFERROR(__xludf.DUMMYFUNCTION("REGEXEXTRACT(C104, ""ک\s(\d{16})"")"),"#N/A")</f>
        <v>#N/A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25.5" customHeight="1">
      <c r="A105" s="19">
        <v>104.0</v>
      </c>
      <c r="B105" s="19" t="s">
        <v>333</v>
      </c>
      <c r="C105" s="21" t="s">
        <v>343</v>
      </c>
      <c r="D105" s="21" t="str">
        <f>VLOOKUP(G105, Cards!A:B, 2, FALSE)</f>
        <v>#N/A</v>
      </c>
      <c r="E105" s="22">
        <v>0.0</v>
      </c>
      <c r="F105" s="23">
        <v>1.05E8</v>
      </c>
      <c r="G105" s="24" t="str">
        <f>IFERROR(__xludf.DUMMYFUNCTION("REGEXEXTRACT(C105, ""ک\s(\d{16})"")"),"#N/A")</f>
        <v>#N/A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25.5" customHeight="1">
      <c r="A106" s="19">
        <v>105.0</v>
      </c>
      <c r="B106" s="19" t="s">
        <v>333</v>
      </c>
      <c r="C106" s="21" t="s">
        <v>347</v>
      </c>
      <c r="D106" s="21" t="str">
        <f>VLOOKUP(G106, Cards!A:B, 2, FALSE)</f>
        <v>#N/A</v>
      </c>
      <c r="E106" s="22">
        <v>0.0</v>
      </c>
      <c r="F106" s="23">
        <v>1.65E7</v>
      </c>
      <c r="G106" s="24" t="str">
        <f>IFERROR(__xludf.DUMMYFUNCTION("REGEXEXTRACT(C106, ""ک\s(\d{16})"")"),"6037697600840968")</f>
        <v>6037697600840968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25.5" customHeight="1">
      <c r="A107" s="19">
        <v>106.0</v>
      </c>
      <c r="B107" s="19" t="s">
        <v>333</v>
      </c>
      <c r="C107" s="21" t="s">
        <v>349</v>
      </c>
      <c r="D107" s="21" t="str">
        <f>VLOOKUP(G107, Cards!A:B, 2, FALSE)</f>
        <v>#N/A</v>
      </c>
      <c r="E107" s="22">
        <v>0.0</v>
      </c>
      <c r="F107" s="23">
        <v>12200.0</v>
      </c>
      <c r="G107" s="24" t="str">
        <f>IFERROR(__xludf.DUMMYFUNCTION("REGEXEXTRACT(C107, ""ک\s(\d{16})"")"),"6219861085979838")</f>
        <v>6219861085979838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25.5" customHeight="1">
      <c r="A108" s="19">
        <v>107.0</v>
      </c>
      <c r="B108" s="19" t="s">
        <v>333</v>
      </c>
      <c r="C108" s="21" t="s">
        <v>351</v>
      </c>
      <c r="D108" s="21" t="str">
        <f>VLOOKUP(G108, Cards!A:B, 2, FALSE)</f>
        <v>#N/A</v>
      </c>
      <c r="E108" s="22">
        <v>0.0</v>
      </c>
      <c r="F108" s="23">
        <v>1800.0</v>
      </c>
      <c r="G108" s="24" t="str">
        <f>IFERROR(__xludf.DUMMYFUNCTION("REGEXEXTRACT(C108, ""ک\s(\d{16})"")"),"6219861085979838")</f>
        <v>6219861085979838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25.5" customHeight="1">
      <c r="A109" s="19">
        <v>108.0</v>
      </c>
      <c r="B109" s="19" t="s">
        <v>333</v>
      </c>
      <c r="C109" s="21" t="s">
        <v>354</v>
      </c>
      <c r="D109" s="21" t="str">
        <f>VLOOKUP(G109, Cards!A:B, 2, FALSE)</f>
        <v>#N/A</v>
      </c>
      <c r="E109" s="22">
        <v>500000.0</v>
      </c>
      <c r="F109" s="23">
        <v>0.0</v>
      </c>
      <c r="G109" s="24" t="str">
        <f>IFERROR(__xludf.DUMMYFUNCTION("REGEXEXTRACT(C109, ""ک\s(\d{16})"")"),"6037697681149024")</f>
        <v>6037697681149024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25.5" customHeight="1">
      <c r="A110" s="19">
        <v>109.0</v>
      </c>
      <c r="B110" s="19" t="s">
        <v>333</v>
      </c>
      <c r="C110" s="21" t="s">
        <v>357</v>
      </c>
      <c r="D110" s="21" t="str">
        <f>VLOOKUP(G110, Cards!A:B, 2, FALSE)</f>
        <v>#N/A</v>
      </c>
      <c r="E110" s="22">
        <v>0.0</v>
      </c>
      <c r="F110" s="23">
        <v>2.835E7</v>
      </c>
      <c r="G110" s="24" t="str">
        <f>IFERROR(__xludf.DUMMYFUNCTION("REGEXEXTRACT(C110, ""ک\s(\d{16})"")"),"6274121208660688")</f>
        <v>6274121208660688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25.5" customHeight="1">
      <c r="A111" s="19">
        <v>110.0</v>
      </c>
      <c r="B111" s="19" t="s">
        <v>333</v>
      </c>
      <c r="C111" s="21" t="s">
        <v>359</v>
      </c>
      <c r="D111" s="21" t="str">
        <f>VLOOKUP(G111, Cards!A:B, 2, FALSE)</f>
        <v>#N/A</v>
      </c>
      <c r="E111" s="22">
        <v>0.0</v>
      </c>
      <c r="F111" s="23">
        <v>15400.0</v>
      </c>
      <c r="G111" s="24" t="str">
        <f>IFERROR(__xludf.DUMMYFUNCTION("REGEXEXTRACT(C111, ""ک\s(\d{16})"")"),"6219861085979838")</f>
        <v>6219861085979838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25.5" customHeight="1">
      <c r="A112" s="19">
        <v>111.0</v>
      </c>
      <c r="B112" s="19" t="s">
        <v>360</v>
      </c>
      <c r="C112" s="21" t="s">
        <v>362</v>
      </c>
      <c r="D112" s="21" t="str">
        <f>VLOOKUP(G112, Cards!A:B, 2, FALSE)</f>
        <v>#N/A</v>
      </c>
      <c r="E112" s="22">
        <v>5.25E7</v>
      </c>
      <c r="F112" s="23">
        <v>0.0</v>
      </c>
      <c r="G112" s="24" t="str">
        <f>IFERROR(__xludf.DUMMYFUNCTION("REGEXEXTRACT(C112, ""ک\s(\d{16})"")"),"#N/A")</f>
        <v>#N/A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25.5" customHeight="1">
      <c r="A113" s="19">
        <v>112.0</v>
      </c>
      <c r="B113" s="19" t="s">
        <v>360</v>
      </c>
      <c r="C113" s="21" t="s">
        <v>366</v>
      </c>
      <c r="D113" s="21" t="str">
        <f>VLOOKUP(G113, Cards!A:B, 2, FALSE)</f>
        <v>#N/A</v>
      </c>
      <c r="E113" s="22">
        <v>0.0</v>
      </c>
      <c r="F113" s="23">
        <v>1800.0</v>
      </c>
      <c r="G113" s="24" t="str">
        <f>IFERROR(__xludf.DUMMYFUNCTION("REGEXEXTRACT(C113, ""ک\s(\d{16})"")"),"6219861085979838")</f>
        <v>6219861085979838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25.5" customHeight="1">
      <c r="A114" s="19">
        <v>113.0</v>
      </c>
      <c r="B114" s="19" t="s">
        <v>360</v>
      </c>
      <c r="C114" s="21" t="s">
        <v>369</v>
      </c>
      <c r="D114" s="21" t="str">
        <f>VLOOKUP(G114, Cards!A:B, 2, FALSE)</f>
        <v>#N/A</v>
      </c>
      <c r="E114" s="22">
        <v>0.0</v>
      </c>
      <c r="F114" s="23">
        <v>4.557E7</v>
      </c>
      <c r="G114" s="24" t="str">
        <f>IFERROR(__xludf.DUMMYFUNCTION("REGEXEXTRACT(C114, ""ک\s(\d{16})"")"),"6274121208660688")</f>
        <v>6274121208660688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25.5" customHeight="1">
      <c r="A115" s="19">
        <v>114.0</v>
      </c>
      <c r="B115" s="19" t="s">
        <v>360</v>
      </c>
      <c r="C115" s="21" t="s">
        <v>371</v>
      </c>
      <c r="D115" s="21" t="str">
        <f>VLOOKUP(G115, Cards!A:B, 2, FALSE)</f>
        <v>#N/A</v>
      </c>
      <c r="E115" s="22">
        <v>0.0</v>
      </c>
      <c r="F115" s="23">
        <v>21800.0</v>
      </c>
      <c r="G115" s="24" t="str">
        <f>IFERROR(__xludf.DUMMYFUNCTION("REGEXEXTRACT(C115, ""ک\s(\d{16})"")"),"6219861085979838")</f>
        <v>6219861085979838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25.5" customHeight="1">
      <c r="A116" s="19">
        <v>115.0</v>
      </c>
      <c r="B116" s="19" t="s">
        <v>360</v>
      </c>
      <c r="C116" s="21" t="s">
        <v>373</v>
      </c>
      <c r="D116" s="21" t="str">
        <f>VLOOKUP(G116, Cards!A:B, 2, FALSE)</f>
        <v>#N/A</v>
      </c>
      <c r="E116" s="22">
        <v>0.0</v>
      </c>
      <c r="F116" s="23">
        <v>1.718E7</v>
      </c>
      <c r="G116" s="24" t="str">
        <f>IFERROR(__xludf.DUMMYFUNCTION("REGEXEXTRACT(C116, ""ک\s(\d{16})"")"),"5894631178646402")</f>
        <v>5894631178646402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25.5" customHeight="1">
      <c r="A117" s="19">
        <v>116.0</v>
      </c>
      <c r="B117" s="19" t="s">
        <v>360</v>
      </c>
      <c r="C117" s="21" t="s">
        <v>375</v>
      </c>
      <c r="D117" s="21" t="str">
        <f>VLOOKUP(G117, Cards!A:B, 2, FALSE)</f>
        <v>#N/A</v>
      </c>
      <c r="E117" s="22">
        <v>0.0</v>
      </c>
      <c r="F117" s="23">
        <v>12200.0</v>
      </c>
      <c r="G117" s="24" t="str">
        <f>IFERROR(__xludf.DUMMYFUNCTION("REGEXEXTRACT(C117, ""ک\s(\d{16})"")"),"6219861085979838")</f>
        <v>6219861085979838</v>
      </c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25.5" customHeight="1">
      <c r="A118" s="19">
        <v>117.0</v>
      </c>
      <c r="B118" s="19" t="s">
        <v>360</v>
      </c>
      <c r="C118" s="21" t="s">
        <v>377</v>
      </c>
      <c r="D118" s="21" t="str">
        <f>VLOOKUP(G118, Cards!A:B, 2, FALSE)</f>
        <v>#N/A</v>
      </c>
      <c r="E118" s="22">
        <v>0.0</v>
      </c>
      <c r="F118" s="23">
        <v>1800.0</v>
      </c>
      <c r="G118" s="24" t="str">
        <f>IFERROR(__xludf.DUMMYFUNCTION("REGEXEXTRACT(C118, ""ک\s(\d{16})"")"),"6219861085979838")</f>
        <v>6219861085979838</v>
      </c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25.5" customHeight="1">
      <c r="A119" s="19">
        <v>118.0</v>
      </c>
      <c r="B119" s="19" t="s">
        <v>360</v>
      </c>
      <c r="C119" s="21" t="s">
        <v>380</v>
      </c>
      <c r="D119" s="21" t="str">
        <f>VLOOKUP(G119, Cards!A:B, 2, FALSE)</f>
        <v>#N/A</v>
      </c>
      <c r="E119" s="22">
        <v>1900000.0</v>
      </c>
      <c r="F119" s="23">
        <v>0.0</v>
      </c>
      <c r="G119" s="24" t="str">
        <f>IFERROR(__xludf.DUMMYFUNCTION("REGEXEXTRACT(C119, ""ک\s(\d{16})"")"),"5859831809511503")</f>
        <v>5859831809511503</v>
      </c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25.5" customHeight="1">
      <c r="A120" s="19">
        <v>119.0</v>
      </c>
      <c r="B120" s="19" t="s">
        <v>360</v>
      </c>
      <c r="C120" s="21" t="s">
        <v>383</v>
      </c>
      <c r="D120" s="21" t="str">
        <f>VLOOKUP(G120, Cards!A:B, 2, FALSE)</f>
        <v>#N/A</v>
      </c>
      <c r="E120" s="22">
        <v>1800000.0</v>
      </c>
      <c r="F120" s="23">
        <v>0.0</v>
      </c>
      <c r="G120" s="24" t="str">
        <f>IFERROR(__xludf.DUMMYFUNCTION("REGEXEXTRACT(C120, ""ک\s(\d{16})"")"),"6037991543784585")</f>
        <v>6037991543784585</v>
      </c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25.5" customHeight="1">
      <c r="A121" s="19">
        <v>120.0</v>
      </c>
      <c r="B121" s="19" t="s">
        <v>385</v>
      </c>
      <c r="C121" s="21" t="s">
        <v>387</v>
      </c>
      <c r="D121" s="21" t="str">
        <f>VLOOKUP(G121, Cards!A:B, 2, FALSE)</f>
        <v>#N/A</v>
      </c>
      <c r="E121" s="22">
        <v>8.1E7</v>
      </c>
      <c r="F121" s="23">
        <v>0.0</v>
      </c>
      <c r="G121" s="24" t="str">
        <f>IFERROR(__xludf.DUMMYFUNCTION("REGEXEXTRACT(C121, ""ک\s(\d{16})"")"),"#N/A")</f>
        <v>#N/A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25.5" customHeight="1">
      <c r="A122" s="19">
        <v>121.0</v>
      </c>
      <c r="B122" s="19" t="s">
        <v>385</v>
      </c>
      <c r="C122" s="21" t="s">
        <v>391</v>
      </c>
      <c r="D122" s="21" t="str">
        <f>VLOOKUP(G122, Cards!A:B, 2, FALSE)</f>
        <v>#N/A</v>
      </c>
      <c r="E122" s="22">
        <v>0.0</v>
      </c>
      <c r="F122" s="23">
        <v>1.71E7</v>
      </c>
      <c r="G122" s="24" t="str">
        <f>IFERROR(__xludf.DUMMYFUNCTION("REGEXEXTRACT(C122, ""ک\s(\d{16})"")"),"6037701642636788")</f>
        <v>6037701642636788</v>
      </c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25.5" customHeight="1">
      <c r="A123" s="19">
        <v>122.0</v>
      </c>
      <c r="B123" s="19" t="s">
        <v>385</v>
      </c>
      <c r="C123" s="21" t="s">
        <v>393</v>
      </c>
      <c r="D123" s="21" t="str">
        <f>VLOOKUP(G123, Cards!A:B, 2, FALSE)</f>
        <v>#N/A</v>
      </c>
      <c r="E123" s="22">
        <v>0.0</v>
      </c>
      <c r="F123" s="23">
        <v>12200.0</v>
      </c>
      <c r="G123" s="24" t="str">
        <f>IFERROR(__xludf.DUMMYFUNCTION("REGEXEXTRACT(C123, ""ک\s(\d{16})"")"),"6219861085979838")</f>
        <v>6219861085979838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25.5" customHeight="1">
      <c r="A124" s="19">
        <v>123.0</v>
      </c>
      <c r="B124" s="19" t="s">
        <v>385</v>
      </c>
      <c r="C124" s="21" t="s">
        <v>395</v>
      </c>
      <c r="D124" s="21" t="str">
        <f>VLOOKUP(G124, Cards!A:B, 2, FALSE)</f>
        <v>#N/A</v>
      </c>
      <c r="E124" s="22">
        <v>0.0</v>
      </c>
      <c r="F124" s="23">
        <v>1.47E7</v>
      </c>
      <c r="G124" s="24" t="str">
        <f>IFERROR(__xludf.DUMMYFUNCTION("REGEXEXTRACT(C124, ""ک\s(\d{16})"")"),"6219861085979838")</f>
        <v>6219861085979838</v>
      </c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25.5" customHeight="1">
      <c r="A125" s="19">
        <v>124.0</v>
      </c>
      <c r="B125" s="19" t="s">
        <v>385</v>
      </c>
      <c r="C125" s="21" t="s">
        <v>398</v>
      </c>
      <c r="D125" s="21" t="str">
        <f>VLOOKUP(G125, Cards!A:B, 2, FALSE)</f>
        <v>#N/A</v>
      </c>
      <c r="E125" s="22">
        <v>0.0</v>
      </c>
      <c r="F125" s="23">
        <v>1800.0</v>
      </c>
      <c r="G125" s="24" t="str">
        <f>IFERROR(__xludf.DUMMYFUNCTION("REGEXEXTRACT(C125, ""ک\s(\d{16})"")"),"6219861085979838")</f>
        <v>6219861085979838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25.5" customHeight="1">
      <c r="A126" s="19">
        <v>125.0</v>
      </c>
      <c r="B126" s="19" t="s">
        <v>385</v>
      </c>
      <c r="C126" s="21" t="s">
        <v>401</v>
      </c>
      <c r="D126" s="21" t="str">
        <f>VLOOKUP(G126, Cards!A:B, 2, FALSE)</f>
        <v>#N/A</v>
      </c>
      <c r="E126" s="22">
        <v>0.0</v>
      </c>
      <c r="F126" s="23">
        <v>1800.0</v>
      </c>
      <c r="G126" s="24" t="str">
        <f>IFERROR(__xludf.DUMMYFUNCTION("REGEXEXTRACT(C126, ""ک\s(\d{16})"")"),"6219861085979838")</f>
        <v>6219861085979838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25.5" customHeight="1">
      <c r="A127" s="19">
        <v>126.0</v>
      </c>
      <c r="B127" s="19" t="s">
        <v>385</v>
      </c>
      <c r="C127" s="21" t="s">
        <v>404</v>
      </c>
      <c r="D127" s="21" t="str">
        <f>VLOOKUP(G127, Cards!A:B, 2, FALSE)</f>
        <v>#N/A</v>
      </c>
      <c r="E127" s="22">
        <v>0.0</v>
      </c>
      <c r="F127" s="23">
        <v>1.68E7</v>
      </c>
      <c r="G127" s="24" t="str">
        <f>IFERROR(__xludf.DUMMYFUNCTION("REGEXEXTRACT(C127, ""ک\s(\d{16})"")"),"6219861085979838")</f>
        <v>6219861085979838</v>
      </c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25.5" customHeight="1">
      <c r="A128" s="19">
        <v>127.0</v>
      </c>
      <c r="B128" s="19" t="s">
        <v>385</v>
      </c>
      <c r="C128" s="21" t="s">
        <v>407</v>
      </c>
      <c r="D128" s="21" t="str">
        <f>VLOOKUP(G128, Cards!A:B, 2, FALSE)</f>
        <v>#N/A</v>
      </c>
      <c r="E128" s="22">
        <v>0.0</v>
      </c>
      <c r="F128" s="23">
        <v>2.196E7</v>
      </c>
      <c r="G128" s="24" t="str">
        <f>IFERROR(__xludf.DUMMYFUNCTION("REGEXEXTRACT(C128, ""ک\s(\d{16})"")"),"6104338738476148")</f>
        <v>6104338738476148</v>
      </c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25.5" customHeight="1">
      <c r="A129" s="19">
        <v>128.0</v>
      </c>
      <c r="B129" s="19" t="s">
        <v>385</v>
      </c>
      <c r="C129" s="21" t="s">
        <v>409</v>
      </c>
      <c r="D129" s="21" t="str">
        <f>VLOOKUP(G129, Cards!A:B, 2, FALSE)</f>
        <v>#N/A</v>
      </c>
      <c r="E129" s="22">
        <v>0.0</v>
      </c>
      <c r="F129" s="23">
        <v>15400.0</v>
      </c>
      <c r="G129" s="24" t="str">
        <f>IFERROR(__xludf.DUMMYFUNCTION("REGEXEXTRACT(C129, ""ک\s(\d{16})"")"),"6219861085979838")</f>
        <v>6219861085979838</v>
      </c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25.5" customHeight="1">
      <c r="A130" s="19">
        <v>129.0</v>
      </c>
      <c r="B130" s="19" t="s">
        <v>385</v>
      </c>
      <c r="C130" s="21" t="s">
        <v>411</v>
      </c>
      <c r="D130" s="21" t="str">
        <f>VLOOKUP(G130, Cards!A:B, 2, FALSE)</f>
        <v>#N/A</v>
      </c>
      <c r="E130" s="22">
        <v>0.0</v>
      </c>
      <c r="F130" s="23">
        <v>1.555E7</v>
      </c>
      <c r="G130" s="24" t="str">
        <f>IFERROR(__xludf.DUMMYFUNCTION("REGEXEXTRACT(C130, ""ک\s(\d{16})"")"),"6274121208660688")</f>
        <v>6274121208660688</v>
      </c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25.5" customHeight="1">
      <c r="A131" s="19">
        <v>130.0</v>
      </c>
      <c r="B131" s="19" t="s">
        <v>385</v>
      </c>
      <c r="C131" s="21" t="s">
        <v>413</v>
      </c>
      <c r="D131" s="21" t="str">
        <f>VLOOKUP(G131, Cards!A:B, 2, FALSE)</f>
        <v>#N/A</v>
      </c>
      <c r="E131" s="22">
        <v>0.0</v>
      </c>
      <c r="F131" s="23">
        <v>12200.0</v>
      </c>
      <c r="G131" s="24" t="str">
        <f>IFERROR(__xludf.DUMMYFUNCTION("REGEXEXTRACT(C131, ""ک\s(\d{16})"")"),"6219861085979838")</f>
        <v>6219861085979838</v>
      </c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25.5" customHeight="1">
      <c r="A132" s="19">
        <v>131.0</v>
      </c>
      <c r="B132" s="19" t="s">
        <v>385</v>
      </c>
      <c r="C132" s="21" t="s">
        <v>415</v>
      </c>
      <c r="D132" s="21" t="str">
        <f>VLOOKUP(G132, Cards!A:B, 2, FALSE)</f>
        <v>#N/A</v>
      </c>
      <c r="E132" s="22">
        <v>0.0</v>
      </c>
      <c r="F132" s="23">
        <v>1800.0</v>
      </c>
      <c r="G132" s="24" t="str">
        <f>IFERROR(__xludf.DUMMYFUNCTION("REGEXEXTRACT(C132, ""ک\s(\d{16})"")"),"6219861085979838")</f>
        <v>6219861085979838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25.5" customHeight="1">
      <c r="A133" s="19">
        <v>132.0</v>
      </c>
      <c r="B133" s="19" t="s">
        <v>417</v>
      </c>
      <c r="C133" s="21" t="s">
        <v>419</v>
      </c>
      <c r="D133" s="21" t="str">
        <f>VLOOKUP(G133, Cards!A:B, 2, FALSE)</f>
        <v>#N/A</v>
      </c>
      <c r="E133" s="22">
        <v>5.0E7</v>
      </c>
      <c r="F133" s="23">
        <v>0.0</v>
      </c>
      <c r="G133" s="24" t="str">
        <f>IFERROR(__xludf.DUMMYFUNCTION("REGEXEXTRACT(C133, ""ک\s(\d{16})"")"),"#N/A")</f>
        <v>#N/A</v>
      </c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25.5" customHeight="1">
      <c r="A134" s="19">
        <v>133.0</v>
      </c>
      <c r="B134" s="19" t="s">
        <v>417</v>
      </c>
      <c r="C134" s="21" t="s">
        <v>423</v>
      </c>
      <c r="D134" s="21" t="str">
        <f>VLOOKUP(G134, Cards!A:B, 2, FALSE)</f>
        <v>#N/A</v>
      </c>
      <c r="E134" s="22">
        <v>1500000.0</v>
      </c>
      <c r="F134" s="23">
        <v>0.0</v>
      </c>
      <c r="G134" s="24" t="str">
        <f>IFERROR(__xludf.DUMMYFUNCTION("REGEXEXTRACT(C134, ""ک\s(\d{16})"")"),"6274121910048420")</f>
        <v>6274121910048420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25.5" customHeight="1">
      <c r="A135" s="19">
        <v>134.0</v>
      </c>
      <c r="B135" s="19" t="s">
        <v>417</v>
      </c>
      <c r="C135" s="21" t="s">
        <v>426</v>
      </c>
      <c r="D135" s="21" t="str">
        <f>VLOOKUP(G135, Cards!A:B, 2, FALSE)</f>
        <v>#N/A</v>
      </c>
      <c r="E135" s="22">
        <v>0.0</v>
      </c>
      <c r="F135" s="23">
        <v>9100000.0</v>
      </c>
      <c r="G135" s="24" t="str">
        <f>IFERROR(__xludf.DUMMYFUNCTION("REGEXEXTRACT(C135, ""ک\s(\d{16})"")"),"6219861085979838")</f>
        <v>6219861085979838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25.5" customHeight="1">
      <c r="A136" s="19">
        <v>135.0</v>
      </c>
      <c r="B136" s="19" t="s">
        <v>417</v>
      </c>
      <c r="C136" s="21" t="s">
        <v>429</v>
      </c>
      <c r="D136" s="21" t="str">
        <f>VLOOKUP(G136, Cards!A:B, 2, FALSE)</f>
        <v>#N/A</v>
      </c>
      <c r="E136" s="22">
        <v>0.0</v>
      </c>
      <c r="F136" s="23">
        <v>4000000.0</v>
      </c>
      <c r="G136" s="24" t="str">
        <f>IFERROR(__xludf.DUMMYFUNCTION("REGEXEXTRACT(C136, ""ک\s(\d{16})"")"),"5859831103338371")</f>
        <v>5859831103338371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25.5" customHeight="1">
      <c r="A137" s="19">
        <v>136.0</v>
      </c>
      <c r="B137" s="19" t="s">
        <v>417</v>
      </c>
      <c r="C137" s="21" t="s">
        <v>431</v>
      </c>
      <c r="D137" s="21" t="str">
        <f>VLOOKUP(G137, Cards!A:B, 2, FALSE)</f>
        <v>#N/A</v>
      </c>
      <c r="E137" s="22">
        <v>0.0</v>
      </c>
      <c r="F137" s="23">
        <v>9000.0</v>
      </c>
      <c r="G137" s="24" t="str">
        <f>IFERROR(__xludf.DUMMYFUNCTION("REGEXEXTRACT(C137, ""ک\s(\d{16})"")"),"6219861085979838")</f>
        <v>6219861085979838</v>
      </c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25.5" customHeight="1">
      <c r="A138" s="19">
        <v>137.0</v>
      </c>
      <c r="B138" s="19" t="s">
        <v>417</v>
      </c>
      <c r="C138" s="21" t="s">
        <v>433</v>
      </c>
      <c r="D138" s="21" t="str">
        <f>VLOOKUP(G138, Cards!A:B, 2, FALSE)</f>
        <v>#N/A</v>
      </c>
      <c r="E138" s="22">
        <v>0.0</v>
      </c>
      <c r="F138" s="23">
        <v>4000000.0</v>
      </c>
      <c r="G138" s="24" t="str">
        <f>IFERROR(__xludf.DUMMYFUNCTION("REGEXEXTRACT(C138, ""ک\s(\d{16})"")"),"5029081028402846")</f>
        <v>5029081028402846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25.5" customHeight="1">
      <c r="A139" s="19">
        <v>138.0</v>
      </c>
      <c r="B139" s="19" t="s">
        <v>417</v>
      </c>
      <c r="C139" s="21" t="s">
        <v>435</v>
      </c>
      <c r="D139" s="21" t="str">
        <f>VLOOKUP(G139, Cards!A:B, 2, FALSE)</f>
        <v>#N/A</v>
      </c>
      <c r="E139" s="22">
        <v>0.0</v>
      </c>
      <c r="F139" s="23">
        <v>9000.0</v>
      </c>
      <c r="G139" s="24" t="str">
        <f>IFERROR(__xludf.DUMMYFUNCTION("REGEXEXTRACT(C139, ""ک\s(\d{16})"")"),"6219861085979838")</f>
        <v>6219861085979838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25.5" customHeight="1">
      <c r="A140" s="19">
        <v>139.0</v>
      </c>
      <c r="B140" s="19" t="s">
        <v>436</v>
      </c>
      <c r="C140" s="21" t="s">
        <v>438</v>
      </c>
      <c r="D140" s="21" t="str">
        <f>VLOOKUP(G140, Cards!A:B, 2, FALSE)</f>
        <v>#N/A</v>
      </c>
      <c r="E140" s="22">
        <v>5.9E7</v>
      </c>
      <c r="F140" s="23">
        <v>0.0</v>
      </c>
      <c r="G140" s="24" t="str">
        <f>IFERROR(__xludf.DUMMYFUNCTION("REGEXEXTRACT(C140, ""ک\s(\d{16})"")"),"#N/A")</f>
        <v>#N/A</v>
      </c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25.5" customHeight="1">
      <c r="A141" s="19">
        <v>140.0</v>
      </c>
      <c r="B141" s="19" t="s">
        <v>436</v>
      </c>
      <c r="C141" s="21" t="s">
        <v>442</v>
      </c>
      <c r="D141" s="21" t="str">
        <f>VLOOKUP(G141, Cards!A:B, 2, FALSE)</f>
        <v>#N/A</v>
      </c>
      <c r="E141" s="22">
        <v>1600000.0</v>
      </c>
      <c r="F141" s="23">
        <v>0.0</v>
      </c>
      <c r="G141" s="24" t="str">
        <f>IFERROR(__xludf.DUMMYFUNCTION("REGEXEXTRACT(C141, ""ک\s(\d{16})"")"),"5859831822631080")</f>
        <v>5859831822631080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25.5" customHeight="1">
      <c r="A142" s="19">
        <v>141.0</v>
      </c>
      <c r="B142" s="19" t="s">
        <v>436</v>
      </c>
      <c r="C142" s="21" t="s">
        <v>445</v>
      </c>
      <c r="D142" s="21" t="str">
        <f>VLOOKUP(G142, Cards!A:B, 2, FALSE)</f>
        <v>#N/A</v>
      </c>
      <c r="E142" s="22">
        <v>0.0</v>
      </c>
      <c r="F142" s="23">
        <v>5.0E7</v>
      </c>
      <c r="G142" s="24" t="str">
        <f>IFERROR(__xludf.DUMMYFUNCTION("REGEXEXTRACT(C142, ""ک\s(\d{16})"")"),"#N/A")</f>
        <v>#N/A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25.5" customHeight="1">
      <c r="A143" s="19">
        <v>142.0</v>
      </c>
      <c r="B143" s="19" t="s">
        <v>436</v>
      </c>
      <c r="C143" s="21" t="s">
        <v>207</v>
      </c>
      <c r="D143" s="21" t="str">
        <f>VLOOKUP(G143, Cards!A:B, 2, FALSE)</f>
        <v>#N/A</v>
      </c>
      <c r="E143" s="22">
        <v>0.0</v>
      </c>
      <c r="F143" s="23">
        <v>10000.0</v>
      </c>
      <c r="G143" s="24" t="str">
        <f>IFERROR(__xludf.DUMMYFUNCTION("REGEXEXTRACT(C143, ""ک\s(\d{16})"")"),"#N/A")</f>
        <v>#N/A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25.5" customHeight="1">
      <c r="A144" s="19">
        <v>143.0</v>
      </c>
      <c r="B144" s="19" t="s">
        <v>436</v>
      </c>
      <c r="C144" s="21" t="s">
        <v>450</v>
      </c>
      <c r="D144" s="21" t="str">
        <f>VLOOKUP(G144, Cards!A:B, 2, FALSE)</f>
        <v>#N/A</v>
      </c>
      <c r="E144" s="22">
        <v>0.0</v>
      </c>
      <c r="F144" s="23">
        <v>2.529E7</v>
      </c>
      <c r="G144" s="24" t="str">
        <f>IFERROR(__xludf.DUMMYFUNCTION("REGEXEXTRACT(C144, ""ک\s(\d{16})"")"),"#N/A")</f>
        <v>#N/A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25.5" customHeight="1">
      <c r="A145" s="19">
        <v>144.0</v>
      </c>
      <c r="B145" s="19" t="s">
        <v>436</v>
      </c>
      <c r="C145" s="21" t="s">
        <v>455</v>
      </c>
      <c r="D145" s="21" t="str">
        <f>VLOOKUP(G145, Cards!A:B, 2, FALSE)</f>
        <v>#N/A</v>
      </c>
      <c r="E145" s="22">
        <v>1100000.0</v>
      </c>
      <c r="F145" s="23">
        <v>0.0</v>
      </c>
      <c r="G145" s="24" t="str">
        <f>IFERROR(__xludf.DUMMYFUNCTION("REGEXEXTRACT(C145, ""ک\s(\d{16})"")"),"5894631181865635")</f>
        <v>5894631181865635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25.5" customHeight="1">
      <c r="A146" s="19">
        <v>145.0</v>
      </c>
      <c r="B146" s="19" t="s">
        <v>436</v>
      </c>
      <c r="C146" s="21" t="s">
        <v>458</v>
      </c>
      <c r="D146" s="21" t="str">
        <f>VLOOKUP(G146, Cards!A:B, 2, FALSE)</f>
        <v>#N/A</v>
      </c>
      <c r="E146" s="22">
        <v>0.0</v>
      </c>
      <c r="F146" s="23">
        <v>1800.0</v>
      </c>
      <c r="G146" s="24" t="str">
        <f>IFERROR(__xludf.DUMMYFUNCTION("REGEXEXTRACT(C146, ""ک\s(\d{16})"")"),"6219861085979838")</f>
        <v>6219861085979838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25.5" customHeight="1">
      <c r="A147" s="19">
        <v>146.0</v>
      </c>
      <c r="B147" s="19" t="s">
        <v>436</v>
      </c>
      <c r="C147" s="21" t="s">
        <v>461</v>
      </c>
      <c r="D147" s="21" t="str">
        <f>VLOOKUP(G147, Cards!A:B, 2, FALSE)</f>
        <v>#N/A</v>
      </c>
      <c r="E147" s="22">
        <v>900000.0</v>
      </c>
      <c r="F147" s="23">
        <v>0.0</v>
      </c>
      <c r="G147" s="24" t="str">
        <f>IFERROR(__xludf.DUMMYFUNCTION("REGEXEXTRACT(C147, ""ک\s(\d{16})"")"),"#N/A")</f>
        <v>#N/A</v>
      </c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25.5" customHeight="1">
      <c r="A148" s="19">
        <v>147.0</v>
      </c>
      <c r="B148" s="19" t="s">
        <v>436</v>
      </c>
      <c r="C148" s="21" t="s">
        <v>465</v>
      </c>
      <c r="D148" s="21" t="str">
        <f>VLOOKUP(G148, Cards!A:B, 2, FALSE)</f>
        <v>#N/A</v>
      </c>
      <c r="E148" s="22">
        <v>0.0</v>
      </c>
      <c r="F148" s="23">
        <v>200000.0</v>
      </c>
      <c r="G148" s="24" t="str">
        <f>IFERROR(__xludf.DUMMYFUNCTION("REGEXEXTRACT(C148, ""ک\s(\d{16})"")"),"6219861085979838")</f>
        <v>6219861085979838</v>
      </c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25.5" customHeight="1">
      <c r="A149" s="19">
        <v>148.0</v>
      </c>
      <c r="B149" s="19" t="s">
        <v>436</v>
      </c>
      <c r="C149" s="21" t="s">
        <v>468</v>
      </c>
      <c r="D149" s="21" t="str">
        <f>VLOOKUP(G149, Cards!A:B, 2, FALSE)</f>
        <v>#N/A</v>
      </c>
      <c r="E149" s="22">
        <v>0.0</v>
      </c>
      <c r="F149" s="23">
        <v>400000.0</v>
      </c>
      <c r="G149" s="24" t="str">
        <f>IFERROR(__xludf.DUMMYFUNCTION("REGEXEXTRACT(C149, ""ک\s(\d{16})"")"),"6219861085979838")</f>
        <v>6219861085979838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25.5" customHeight="1">
      <c r="A150" s="19">
        <v>149.0</v>
      </c>
      <c r="B150" s="19" t="s">
        <v>436</v>
      </c>
      <c r="C150" s="21" t="s">
        <v>471</v>
      </c>
      <c r="D150" s="21" t="str">
        <f>VLOOKUP(G150, Cards!A:B, 2, FALSE)</f>
        <v>#N/A</v>
      </c>
      <c r="E150" s="22">
        <v>450000.0</v>
      </c>
      <c r="F150" s="23">
        <v>0.0</v>
      </c>
      <c r="G150" s="24" t="str">
        <f>IFERROR(__xludf.DUMMYFUNCTION("REGEXEXTRACT(C150, ""ک\s(\d{16})"")"),"5859831809022071")</f>
        <v>5859831809022071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25.5" customHeight="1">
      <c r="A151" s="19">
        <v>150.0</v>
      </c>
      <c r="B151" s="19" t="s">
        <v>436</v>
      </c>
      <c r="C151" s="21" t="s">
        <v>474</v>
      </c>
      <c r="D151" s="21" t="str">
        <f>VLOOKUP(G151, Cards!A:B, 2, FALSE)</f>
        <v>#N/A</v>
      </c>
      <c r="E151" s="22">
        <v>0.0</v>
      </c>
      <c r="F151" s="23">
        <v>1800.0</v>
      </c>
      <c r="G151" s="24" t="str">
        <f>IFERROR(__xludf.DUMMYFUNCTION("REGEXEXTRACT(C151, ""ک\s(\d{16})"")"),"6219861085979838")</f>
        <v>6219861085979838</v>
      </c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25.5" customHeight="1">
      <c r="A152" s="19">
        <v>151.0</v>
      </c>
      <c r="B152" s="19" t="s">
        <v>436</v>
      </c>
      <c r="C152" s="21" t="s">
        <v>477</v>
      </c>
      <c r="D152" s="21" t="str">
        <f>VLOOKUP(G152, Cards!A:B, 2, FALSE)</f>
        <v>#N/A</v>
      </c>
      <c r="E152" s="22">
        <v>0.0</v>
      </c>
      <c r="F152" s="23">
        <v>1.55E7</v>
      </c>
      <c r="G152" s="24" t="str">
        <f>IFERROR(__xludf.DUMMYFUNCTION("REGEXEXTRACT(C152, ""ک\s(\d{16})"")"),"6037697600840968")</f>
        <v>6037697600840968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25.5" customHeight="1">
      <c r="A153" s="19">
        <v>152.0</v>
      </c>
      <c r="B153" s="19" t="s">
        <v>436</v>
      </c>
      <c r="C153" s="21" t="s">
        <v>479</v>
      </c>
      <c r="D153" s="21" t="str">
        <f>VLOOKUP(G153, Cards!A:B, 2, FALSE)</f>
        <v>#N/A</v>
      </c>
      <c r="E153" s="22">
        <v>0.0</v>
      </c>
      <c r="F153" s="23">
        <v>12200.0</v>
      </c>
      <c r="G153" s="24" t="str">
        <f>IFERROR(__xludf.DUMMYFUNCTION("REGEXEXTRACT(C153, ""ک\s(\d{16})"")"),"6219861085979838")</f>
        <v>6219861085979838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25.5" customHeight="1">
      <c r="A154" s="19">
        <v>153.0</v>
      </c>
      <c r="B154" s="19" t="s">
        <v>436</v>
      </c>
      <c r="C154" s="21" t="s">
        <v>481</v>
      </c>
      <c r="D154" s="21" t="str">
        <f>VLOOKUP(G154, Cards!A:B, 2, FALSE)</f>
        <v>#N/A</v>
      </c>
      <c r="E154" s="22">
        <v>2800000.0</v>
      </c>
      <c r="F154" s="23">
        <v>0.0</v>
      </c>
      <c r="G154" s="24" t="str">
        <f>IFERROR(__xludf.DUMMYFUNCTION("REGEXEXTRACT(C154, ""ک\s(\d{16})"")"),"6037998250354395")</f>
        <v>6037998250354395</v>
      </c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25.5" customHeight="1">
      <c r="A155" s="19">
        <v>154.0</v>
      </c>
      <c r="B155" s="19" t="s">
        <v>436</v>
      </c>
      <c r="C155" s="21" t="s">
        <v>484</v>
      </c>
      <c r="D155" s="21" t="str">
        <f>VLOOKUP(G155, Cards!A:B, 2, FALSE)</f>
        <v>#N/A</v>
      </c>
      <c r="E155" s="22">
        <v>0.0</v>
      </c>
      <c r="F155" s="23">
        <v>1800.0</v>
      </c>
      <c r="G155" s="24" t="str">
        <f>IFERROR(__xludf.DUMMYFUNCTION("REGEXEXTRACT(C155, ""ک\s(\d{16})"")"),"6219861085979838")</f>
        <v>6219861085979838</v>
      </c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25.5" customHeight="1">
      <c r="A156" s="19">
        <v>155.0</v>
      </c>
      <c r="B156" s="19" t="s">
        <v>436</v>
      </c>
      <c r="C156" s="21" t="s">
        <v>487</v>
      </c>
      <c r="D156" s="21" t="str">
        <f>VLOOKUP(G156, Cards!A:B, 2, FALSE)</f>
        <v>#N/A</v>
      </c>
      <c r="E156" s="22">
        <v>0.0</v>
      </c>
      <c r="F156" s="23">
        <v>7900000.0</v>
      </c>
      <c r="G156" s="24" t="str">
        <f>IFERROR(__xludf.DUMMYFUNCTION("REGEXEXTRACT(C156, ""ک\s(\d{16})"")"),"6219861085979838")</f>
        <v>6219861085979838</v>
      </c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25.5" customHeight="1">
      <c r="A157" s="19">
        <v>156.0</v>
      </c>
      <c r="B157" s="19" t="s">
        <v>489</v>
      </c>
      <c r="C157" s="21" t="s">
        <v>491</v>
      </c>
      <c r="D157" s="21" t="str">
        <f>VLOOKUP(G157, Cards!A:B, 2, FALSE)</f>
        <v>#N/A</v>
      </c>
      <c r="E157" s="22">
        <v>1.24E8</v>
      </c>
      <c r="F157" s="23">
        <v>0.0</v>
      </c>
      <c r="G157" s="24" t="str">
        <f>IFERROR(__xludf.DUMMYFUNCTION("REGEXEXTRACT(C157, ""ک\s(\d{16})"")"),"#N/A")</f>
        <v>#N/A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25.5" customHeight="1">
      <c r="A158" s="19">
        <v>157.0</v>
      </c>
      <c r="B158" s="19" t="s">
        <v>494</v>
      </c>
      <c r="C158" s="21" t="s">
        <v>496</v>
      </c>
      <c r="D158" s="21" t="str">
        <f>VLOOKUP(G158, Cards!A:B, 2, FALSE)</f>
        <v>#N/A</v>
      </c>
      <c r="E158" s="22">
        <v>0.0</v>
      </c>
      <c r="F158" s="23">
        <v>100000.0</v>
      </c>
      <c r="G158" s="24" t="str">
        <f>IFERROR(__xludf.DUMMYFUNCTION("REGEXEXTRACT(C158, ""ک\s(\d{16})"")"),"6219861085979838")</f>
        <v>6219861085979838</v>
      </c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25.5" customHeight="1">
      <c r="A159" s="19">
        <v>158.0</v>
      </c>
      <c r="B159" s="19" t="s">
        <v>494</v>
      </c>
      <c r="C159" s="21" t="s">
        <v>499</v>
      </c>
      <c r="D159" s="21" t="str">
        <f>VLOOKUP(G159, Cards!A:B, 2, FALSE)</f>
        <v>#N/A</v>
      </c>
      <c r="E159" s="22">
        <v>0.0</v>
      </c>
      <c r="F159" s="23">
        <v>1.16E7</v>
      </c>
      <c r="G159" s="24" t="str">
        <f>IFERROR(__xludf.DUMMYFUNCTION("REGEXEXTRACT(C159, ""ک\s(\d{16})"")"),"5041721027695767")</f>
        <v>5041721027695767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25.5" customHeight="1">
      <c r="A160" s="19">
        <v>159.0</v>
      </c>
      <c r="B160" s="19" t="s">
        <v>494</v>
      </c>
      <c r="C160" s="21" t="s">
        <v>501</v>
      </c>
      <c r="D160" s="21" t="str">
        <f>VLOOKUP(G160, Cards!A:B, 2, FALSE)</f>
        <v>#N/A</v>
      </c>
      <c r="E160" s="22">
        <v>0.0</v>
      </c>
      <c r="F160" s="23">
        <v>12200.0</v>
      </c>
      <c r="G160" s="24" t="str">
        <f>IFERROR(__xludf.DUMMYFUNCTION("REGEXEXTRACT(C160, ""ک\s(\d{16})"")"),"6219861085979838")</f>
        <v>6219861085979838</v>
      </c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25.5" customHeight="1">
      <c r="A161" s="19">
        <v>160.0</v>
      </c>
      <c r="B161" s="19" t="s">
        <v>494</v>
      </c>
      <c r="C161" s="21" t="s">
        <v>503</v>
      </c>
      <c r="D161" s="21" t="str">
        <f>VLOOKUP(G161, Cards!A:B, 2, FALSE)</f>
        <v>#N/A</v>
      </c>
      <c r="E161" s="22">
        <v>0.0</v>
      </c>
      <c r="F161" s="23">
        <v>1.26E7</v>
      </c>
      <c r="G161" s="24" t="str">
        <f>IFERROR(__xludf.DUMMYFUNCTION("REGEXEXTRACT(C161, ""ک\s(\d{16})"")"),"6037997452281877")</f>
        <v>6037997452281877</v>
      </c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25.5" customHeight="1">
      <c r="A162" s="19">
        <v>161.0</v>
      </c>
      <c r="B162" s="19" t="s">
        <v>494</v>
      </c>
      <c r="C162" s="21" t="s">
        <v>505</v>
      </c>
      <c r="D162" s="21" t="str">
        <f>VLOOKUP(G162, Cards!A:B, 2, FALSE)</f>
        <v>#N/A</v>
      </c>
      <c r="E162" s="22">
        <v>0.0</v>
      </c>
      <c r="F162" s="23">
        <v>12200.0</v>
      </c>
      <c r="G162" s="24" t="str">
        <f>IFERROR(__xludf.DUMMYFUNCTION("REGEXEXTRACT(C162, ""ک\s(\d{16})"")"),"6219861085979838")</f>
        <v>6219861085979838</v>
      </c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25.5" customHeight="1">
      <c r="A163" s="19">
        <v>162.0</v>
      </c>
      <c r="B163" s="19" t="s">
        <v>494</v>
      </c>
      <c r="C163" s="21" t="s">
        <v>507</v>
      </c>
      <c r="D163" s="21" t="str">
        <f>VLOOKUP(G163, Cards!A:B, 2, FALSE)</f>
        <v>#N/A</v>
      </c>
      <c r="E163" s="22">
        <v>0.0</v>
      </c>
      <c r="F163" s="23">
        <v>2.65E7</v>
      </c>
      <c r="G163" s="24" t="str">
        <f>IFERROR(__xludf.DUMMYFUNCTION("REGEXEXTRACT(C163, ""ک\s(\d{16})"")"),"6037701642636788")</f>
        <v>6037701642636788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25.5" customHeight="1">
      <c r="A164" s="19">
        <v>163.0</v>
      </c>
      <c r="B164" s="19" t="s">
        <v>494</v>
      </c>
      <c r="C164" s="21" t="s">
        <v>509</v>
      </c>
      <c r="D164" s="21" t="str">
        <f>VLOOKUP(G164, Cards!A:B, 2, FALSE)</f>
        <v>#N/A</v>
      </c>
      <c r="E164" s="22">
        <v>0.0</v>
      </c>
      <c r="F164" s="23">
        <v>15400.0</v>
      </c>
      <c r="G164" s="24" t="str">
        <f>IFERROR(__xludf.DUMMYFUNCTION("REGEXEXTRACT(C164, ""ک\s(\d{16})"")"),"6219861085979838")</f>
        <v>6219861085979838</v>
      </c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25.5" customHeight="1">
      <c r="A165" s="19">
        <v>164.0</v>
      </c>
      <c r="B165" s="19" t="s">
        <v>494</v>
      </c>
      <c r="C165" s="21" t="s">
        <v>511</v>
      </c>
      <c r="D165" s="21" t="str">
        <f>VLOOKUP(G165, Cards!A:B, 2, FALSE)</f>
        <v>#N/A</v>
      </c>
      <c r="E165" s="22">
        <v>0.0</v>
      </c>
      <c r="F165" s="23">
        <v>1.711E7</v>
      </c>
      <c r="G165" s="24" t="str">
        <f>IFERROR(__xludf.DUMMYFUNCTION("REGEXEXTRACT(C165, ""ک\s(\d{16})"")"),"5894631178646402")</f>
        <v>5894631178646402</v>
      </c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25.5" customHeight="1">
      <c r="A166" s="19">
        <v>165.0</v>
      </c>
      <c r="B166" s="19" t="s">
        <v>494</v>
      </c>
      <c r="C166" s="21" t="s">
        <v>513</v>
      </c>
      <c r="D166" s="21" t="str">
        <f>VLOOKUP(G166, Cards!A:B, 2, FALSE)</f>
        <v>#N/A</v>
      </c>
      <c r="E166" s="22">
        <v>0.0</v>
      </c>
      <c r="F166" s="23">
        <v>12200.0</v>
      </c>
      <c r="G166" s="24" t="str">
        <f>IFERROR(__xludf.DUMMYFUNCTION("REGEXEXTRACT(C166, ""ک\s(\d{16})"")"),"6219861085979838")</f>
        <v>6219861085979838</v>
      </c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25.5" customHeight="1">
      <c r="A167" s="19">
        <v>166.0</v>
      </c>
      <c r="B167" s="19" t="s">
        <v>494</v>
      </c>
      <c r="C167" s="21" t="s">
        <v>515</v>
      </c>
      <c r="D167" s="21" t="str">
        <f>VLOOKUP(G167, Cards!A:B, 2, FALSE)</f>
        <v>#N/A</v>
      </c>
      <c r="E167" s="22">
        <v>0.0</v>
      </c>
      <c r="F167" s="23">
        <v>1800.0</v>
      </c>
      <c r="G167" s="24" t="str">
        <f>IFERROR(__xludf.DUMMYFUNCTION("REGEXEXTRACT(C167, ""ک\s(\d{16})"")"),"6219861085979838")</f>
        <v>6219861085979838</v>
      </c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25.5" customHeight="1">
      <c r="A168" s="19">
        <v>167.0</v>
      </c>
      <c r="B168" s="19" t="s">
        <v>494</v>
      </c>
      <c r="C168" s="21" t="s">
        <v>518</v>
      </c>
      <c r="D168" s="21" t="str">
        <f>VLOOKUP(G168, Cards!A:B, 2, FALSE)</f>
        <v>#N/A</v>
      </c>
      <c r="E168" s="22">
        <v>0.0</v>
      </c>
      <c r="F168" s="23">
        <v>1400000.0</v>
      </c>
      <c r="G168" s="24" t="str">
        <f>IFERROR(__xludf.DUMMYFUNCTION("REGEXEXTRACT(C168, ""ک\s(\d{16})"")"),"6219861085979838")</f>
        <v>6219861085979838</v>
      </c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25.5" customHeight="1">
      <c r="A169" s="19">
        <v>168.0</v>
      </c>
      <c r="B169" s="19" t="s">
        <v>494</v>
      </c>
      <c r="C169" s="21" t="s">
        <v>521</v>
      </c>
      <c r="D169" s="21" t="str">
        <f>VLOOKUP(G169, Cards!A:B, 2, FALSE)</f>
        <v>#N/A</v>
      </c>
      <c r="E169" s="22">
        <v>0.0</v>
      </c>
      <c r="F169" s="23">
        <v>5100000.0</v>
      </c>
      <c r="G169" s="24" t="str">
        <f>IFERROR(__xludf.DUMMYFUNCTION("REGEXEXTRACT(C169, ""ک\s(\d{16})"")"),"6219861085979838")</f>
        <v>6219861085979838</v>
      </c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25.5" customHeight="1">
      <c r="A170" s="19">
        <v>169.0</v>
      </c>
      <c r="B170" s="19" t="s">
        <v>494</v>
      </c>
      <c r="C170" s="21" t="s">
        <v>524</v>
      </c>
      <c r="D170" s="21" t="str">
        <f>VLOOKUP(G170, Cards!A:B, 2, FALSE)</f>
        <v>#N/A</v>
      </c>
      <c r="E170" s="22">
        <v>0.0</v>
      </c>
      <c r="F170" s="23">
        <v>1800.0</v>
      </c>
      <c r="G170" s="24" t="str">
        <f>IFERROR(__xludf.DUMMYFUNCTION("REGEXEXTRACT(C170, ""ک\s(\d{16})"")"),"6219861085979838")</f>
        <v>6219861085979838</v>
      </c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25.5" customHeight="1">
      <c r="A171" s="19">
        <v>170.0</v>
      </c>
      <c r="B171" s="19" t="s">
        <v>494</v>
      </c>
      <c r="C171" s="21" t="s">
        <v>527</v>
      </c>
      <c r="D171" s="21" t="str">
        <f>VLOOKUP(G171, Cards!A:B, 2, FALSE)</f>
        <v>#N/A</v>
      </c>
      <c r="E171" s="22">
        <v>1100000.0</v>
      </c>
      <c r="F171" s="23">
        <v>0.0</v>
      </c>
      <c r="G171" s="24" t="str">
        <f>IFERROR(__xludf.DUMMYFUNCTION("REGEXEXTRACT(C171, ""ک\s(\d{16})"")"),"5892101574644916")</f>
        <v>5892101574644916</v>
      </c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25.5" customHeight="1">
      <c r="A172" s="19">
        <v>171.0</v>
      </c>
      <c r="B172" s="19" t="s">
        <v>529</v>
      </c>
      <c r="C172" s="21" t="s">
        <v>531</v>
      </c>
      <c r="D172" s="21" t="str">
        <f>VLOOKUP(G172, Cards!A:B, 2, FALSE)</f>
        <v>#N/A</v>
      </c>
      <c r="E172" s="22">
        <v>8.0E7</v>
      </c>
      <c r="F172" s="23">
        <v>0.0</v>
      </c>
      <c r="G172" s="24" t="str">
        <f>IFERROR(__xludf.DUMMYFUNCTION("REGEXEXTRACT(C172, ""ک\s(\d{16})"")"),"#N/A")</f>
        <v>#N/A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25.5" customHeight="1">
      <c r="A173" s="19">
        <v>172.0</v>
      </c>
      <c r="B173" s="19" t="s">
        <v>529</v>
      </c>
      <c r="C173" s="21" t="s">
        <v>535</v>
      </c>
      <c r="D173" s="21" t="str">
        <f>VLOOKUP(G173, Cards!A:B, 2, FALSE)</f>
        <v>#N/A</v>
      </c>
      <c r="E173" s="22">
        <v>0.0</v>
      </c>
      <c r="F173" s="23">
        <v>1.55E7</v>
      </c>
      <c r="G173" s="24" t="str">
        <f>IFERROR(__xludf.DUMMYFUNCTION("REGEXEXTRACT(C173, ""ک\s(\d{16})"")"),"6219861085979838")</f>
        <v>6219861085979838</v>
      </c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25.5" customHeight="1">
      <c r="A174" s="19">
        <v>173.0</v>
      </c>
      <c r="B174" s="19" t="s">
        <v>529</v>
      </c>
      <c r="C174" s="21" t="s">
        <v>538</v>
      </c>
      <c r="D174" s="21" t="str">
        <f>VLOOKUP(G174, Cards!A:B, 2, FALSE)</f>
        <v>#N/A</v>
      </c>
      <c r="E174" s="22">
        <v>0.0</v>
      </c>
      <c r="F174" s="23">
        <v>1800.0</v>
      </c>
      <c r="G174" s="24" t="str">
        <f>IFERROR(__xludf.DUMMYFUNCTION("REGEXEXTRACT(C174, ""ک\s(\d{16})"")"),"6219861085979838")</f>
        <v>6219861085979838</v>
      </c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25.5" customHeight="1">
      <c r="A175" s="19">
        <v>174.0</v>
      </c>
      <c r="B175" s="19" t="s">
        <v>529</v>
      </c>
      <c r="C175" s="21" t="s">
        <v>541</v>
      </c>
      <c r="D175" s="21" t="str">
        <f>VLOOKUP(G175, Cards!A:B, 2, FALSE)</f>
        <v>#N/A</v>
      </c>
      <c r="E175" s="22">
        <v>0.0</v>
      </c>
      <c r="F175" s="23">
        <v>2.83E7</v>
      </c>
      <c r="G175" s="24" t="str">
        <f>IFERROR(__xludf.DUMMYFUNCTION("REGEXEXTRACT(C175, ""ک\s(\d{16})"")"),"6037701642636788")</f>
        <v>6037701642636788</v>
      </c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25.5" customHeight="1">
      <c r="A176" s="19">
        <v>175.0</v>
      </c>
      <c r="B176" s="19" t="s">
        <v>529</v>
      </c>
      <c r="C176" s="21" t="s">
        <v>543</v>
      </c>
      <c r="D176" s="21" t="str">
        <f>VLOOKUP(G176, Cards!A:B, 2, FALSE)</f>
        <v>#N/A</v>
      </c>
      <c r="E176" s="22">
        <v>0.0</v>
      </c>
      <c r="F176" s="23">
        <v>15400.0</v>
      </c>
      <c r="G176" s="24" t="str">
        <f>IFERROR(__xludf.DUMMYFUNCTION("REGEXEXTRACT(C176, ""ک\s(\d{16})"")"),"6219861085979838")</f>
        <v>6219861085979838</v>
      </c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25.5" customHeight="1">
      <c r="A177" s="19">
        <v>176.0</v>
      </c>
      <c r="B177" s="19" t="s">
        <v>529</v>
      </c>
      <c r="C177" s="21" t="s">
        <v>545</v>
      </c>
      <c r="D177" s="21" t="str">
        <f>VLOOKUP(G177, Cards!A:B, 2, FALSE)</f>
        <v>#N/A</v>
      </c>
      <c r="E177" s="22">
        <v>0.0</v>
      </c>
      <c r="F177" s="23">
        <v>1.474E7</v>
      </c>
      <c r="G177" s="24" t="str">
        <f>IFERROR(__xludf.DUMMYFUNCTION("REGEXEXTRACT(C177, ""ک\s(\d{16})"")"),"6037997452281877")</f>
        <v>6037997452281877</v>
      </c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25.5" customHeight="1">
      <c r="A178" s="19">
        <v>177.0</v>
      </c>
      <c r="B178" s="19" t="s">
        <v>529</v>
      </c>
      <c r="C178" s="21" t="s">
        <v>547</v>
      </c>
      <c r="D178" s="21" t="str">
        <f>VLOOKUP(G178, Cards!A:B, 2, FALSE)</f>
        <v>#N/A</v>
      </c>
      <c r="E178" s="22">
        <v>0.0</v>
      </c>
      <c r="F178" s="23">
        <v>12200.0</v>
      </c>
      <c r="G178" s="24" t="str">
        <f>IFERROR(__xludf.DUMMYFUNCTION("REGEXEXTRACT(C178, ""ک\s(\d{16})"")"),"6219861085979838")</f>
        <v>6219861085979838</v>
      </c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25.5" customHeight="1">
      <c r="A179" s="19">
        <v>178.0</v>
      </c>
      <c r="B179" s="19" t="s">
        <v>529</v>
      </c>
      <c r="C179" s="21" t="s">
        <v>549</v>
      </c>
      <c r="D179" s="21" t="str">
        <f>VLOOKUP(G179, Cards!A:B, 2, FALSE)</f>
        <v>#N/A</v>
      </c>
      <c r="E179" s="22">
        <v>0.0</v>
      </c>
      <c r="F179" s="23">
        <v>3.0E7</v>
      </c>
      <c r="G179" s="24" t="str">
        <f>IFERROR(__xludf.DUMMYFUNCTION("REGEXEXTRACT(C179, ""ک\s(\d{16})"")"),"6037701575716284")</f>
        <v>6037701575716284</v>
      </c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25.5" customHeight="1">
      <c r="A180" s="19">
        <v>179.0</v>
      </c>
      <c r="B180" s="19" t="s">
        <v>529</v>
      </c>
      <c r="C180" s="21" t="s">
        <v>551</v>
      </c>
      <c r="D180" s="21" t="str">
        <f>VLOOKUP(G180, Cards!A:B, 2, FALSE)</f>
        <v>#N/A</v>
      </c>
      <c r="E180" s="22">
        <v>0.0</v>
      </c>
      <c r="F180" s="23">
        <v>15400.0</v>
      </c>
      <c r="G180" s="24" t="str">
        <f>IFERROR(__xludf.DUMMYFUNCTION("REGEXEXTRACT(C180, ""ک\s(\d{16})"")"),"6219861085979838")</f>
        <v>6219861085979838</v>
      </c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25.5" customHeight="1">
      <c r="A181" s="19">
        <v>180.0</v>
      </c>
      <c r="B181" s="19" t="s">
        <v>529</v>
      </c>
      <c r="C181" s="21" t="s">
        <v>553</v>
      </c>
      <c r="D181" s="21" t="str">
        <f>VLOOKUP(G181, Cards!A:B, 2, FALSE)</f>
        <v>#N/A</v>
      </c>
      <c r="E181" s="22">
        <v>0.0</v>
      </c>
      <c r="F181" s="23">
        <v>2.6E7</v>
      </c>
      <c r="G181" s="24" t="str">
        <f>IFERROR(__xludf.DUMMYFUNCTION("REGEXEXTRACT(C181, ""ک\s(\d{16})"")"),"6274121208660688")</f>
        <v>6274121208660688</v>
      </c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25.5" customHeight="1">
      <c r="A182" s="19">
        <v>181.0</v>
      </c>
      <c r="B182" s="19" t="s">
        <v>529</v>
      </c>
      <c r="C182" s="21" t="s">
        <v>555</v>
      </c>
      <c r="D182" s="21" t="str">
        <f>VLOOKUP(G182, Cards!A:B, 2, FALSE)</f>
        <v>#N/A</v>
      </c>
      <c r="E182" s="22">
        <v>0.0</v>
      </c>
      <c r="F182" s="23">
        <v>15400.0</v>
      </c>
      <c r="G182" s="24" t="str">
        <f>IFERROR(__xludf.DUMMYFUNCTION("REGEXEXTRACT(C182, ""ک\s(\d{16})"")"),"6219861085979838")</f>
        <v>6219861085979838</v>
      </c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25.5" customHeight="1">
      <c r="A183" s="19">
        <v>182.0</v>
      </c>
      <c r="B183" s="19" t="s">
        <v>529</v>
      </c>
      <c r="C183" s="21" t="s">
        <v>557</v>
      </c>
      <c r="D183" s="21" t="str">
        <f>VLOOKUP(G183, Cards!A:B, 2, FALSE)</f>
        <v>#N/A</v>
      </c>
      <c r="E183" s="22">
        <v>0.0</v>
      </c>
      <c r="F183" s="23">
        <v>1800.0</v>
      </c>
      <c r="G183" s="24" t="str">
        <f>IFERROR(__xludf.DUMMYFUNCTION("REGEXEXTRACT(C183, ""ک\s(\d{16})"")"),"6219861085979838")</f>
        <v>6219861085979838</v>
      </c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25.5" customHeight="1">
      <c r="A184" s="19">
        <v>183.0</v>
      </c>
      <c r="B184" s="19" t="s">
        <v>529</v>
      </c>
      <c r="C184" s="21" t="s">
        <v>560</v>
      </c>
      <c r="D184" s="21" t="str">
        <f>VLOOKUP(G184, Cards!A:B, 2, FALSE)</f>
        <v>#N/A</v>
      </c>
      <c r="E184" s="22">
        <v>1700000.0</v>
      </c>
      <c r="F184" s="23">
        <v>0.0</v>
      </c>
      <c r="G184" s="24" t="str">
        <f>IFERROR(__xludf.DUMMYFUNCTION("REGEXEXTRACT(C184, ""ک\s(\d{16})"")"),"5859831851737154")</f>
        <v>5859831851737154</v>
      </c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25.5" customHeight="1">
      <c r="A185" s="19">
        <v>184.0</v>
      </c>
      <c r="B185" s="19" t="s">
        <v>529</v>
      </c>
      <c r="C185" s="21" t="s">
        <v>563</v>
      </c>
      <c r="D185" s="21" t="str">
        <f>VLOOKUP(G185, Cards!A:B, 2, FALSE)</f>
        <v>#N/A</v>
      </c>
      <c r="E185" s="22">
        <v>0.0</v>
      </c>
      <c r="F185" s="23">
        <v>1.0E7</v>
      </c>
      <c r="G185" s="24" t="str">
        <f>IFERROR(__xludf.DUMMYFUNCTION("REGEXEXTRACT(C185, ""ک\s(\d{16})"")"),"6219861085979838")</f>
        <v>6219861085979838</v>
      </c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25.5" customHeight="1">
      <c r="A186" s="19">
        <v>185.0</v>
      </c>
      <c r="B186" s="19" t="s">
        <v>529</v>
      </c>
      <c r="C186" s="21" t="s">
        <v>566</v>
      </c>
      <c r="D186" s="21" t="str">
        <f>VLOOKUP(G186, Cards!A:B, 2, FALSE)</f>
        <v>#N/A</v>
      </c>
      <c r="E186" s="22">
        <v>2300000.0</v>
      </c>
      <c r="F186" s="23">
        <v>0.0</v>
      </c>
      <c r="G186" s="24" t="str">
        <f>IFERROR(__xludf.DUMMYFUNCTION("REGEXEXTRACT(C186, ""ک\s(\d{16})"")"),"#N/A")</f>
        <v>#N/A</v>
      </c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25.5" customHeight="1">
      <c r="A187" s="19">
        <v>186.0</v>
      </c>
      <c r="B187" s="19" t="s">
        <v>569</v>
      </c>
      <c r="C187" s="21" t="s">
        <v>571</v>
      </c>
      <c r="D187" s="21" t="str">
        <f>VLOOKUP(G187, Cards!A:B, 2, FALSE)</f>
        <v>#N/A</v>
      </c>
      <c r="E187" s="22">
        <v>6.0E7</v>
      </c>
      <c r="F187" s="23">
        <v>0.0</v>
      </c>
      <c r="G187" s="24" t="str">
        <f>IFERROR(__xludf.DUMMYFUNCTION("REGEXEXTRACT(C187, ""ک\s(\d{16})"")"),"#N/A")</f>
        <v>#N/A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25.5" customHeight="1">
      <c r="A188" s="19">
        <v>187.0</v>
      </c>
      <c r="B188" s="19" t="s">
        <v>569</v>
      </c>
      <c r="C188" s="21" t="s">
        <v>575</v>
      </c>
      <c r="D188" s="21" t="str">
        <f>VLOOKUP(G188, Cards!A:B, 2, FALSE)</f>
        <v>#N/A</v>
      </c>
      <c r="E188" s="22">
        <v>900000.0</v>
      </c>
      <c r="F188" s="23">
        <v>0.0</v>
      </c>
      <c r="G188" s="24" t="str">
        <f>IFERROR(__xludf.DUMMYFUNCTION("REGEXEXTRACT(C188, ""ک\s(\d{16})"")"),"#N/A")</f>
        <v>#N/A</v>
      </c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25.5" customHeight="1">
      <c r="A189" s="19">
        <v>188.0</v>
      </c>
      <c r="B189" s="19" t="s">
        <v>569</v>
      </c>
      <c r="C189" s="21" t="s">
        <v>579</v>
      </c>
      <c r="D189" s="21" t="str">
        <f>VLOOKUP(G189, Cards!A:B, 2, FALSE)</f>
        <v>#N/A</v>
      </c>
      <c r="E189" s="22">
        <v>1700000.0</v>
      </c>
      <c r="F189" s="23">
        <v>0.0</v>
      </c>
      <c r="G189" s="24" t="str">
        <f>IFERROR(__xludf.DUMMYFUNCTION("REGEXEXTRACT(C189, ""ک\s(\d{16})"")"),"6037691636021057")</f>
        <v>6037691636021057</v>
      </c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25.5" customHeight="1">
      <c r="A190" s="19">
        <v>189.0</v>
      </c>
      <c r="B190" s="19" t="s">
        <v>569</v>
      </c>
      <c r="C190" s="21" t="s">
        <v>582</v>
      </c>
      <c r="D190" s="21" t="str">
        <f>VLOOKUP(G190, Cards!A:B, 2, FALSE)</f>
        <v>#N/A</v>
      </c>
      <c r="E190" s="22">
        <v>0.0</v>
      </c>
      <c r="F190" s="23">
        <v>1800.0</v>
      </c>
      <c r="G190" s="24" t="str">
        <f>IFERROR(__xludf.DUMMYFUNCTION("REGEXEXTRACT(C190, ""ک\s(\d{16})"")"),"6219861085979838")</f>
        <v>6219861085979838</v>
      </c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25.5" customHeight="1">
      <c r="A191" s="19">
        <v>190.0</v>
      </c>
      <c r="B191" s="19" t="s">
        <v>569</v>
      </c>
      <c r="C191" s="21" t="s">
        <v>585</v>
      </c>
      <c r="D191" s="21" t="str">
        <f>VLOOKUP(G191, Cards!A:B, 2, FALSE)</f>
        <v>#N/A</v>
      </c>
      <c r="E191" s="22">
        <v>0.0</v>
      </c>
      <c r="F191" s="23">
        <v>1.584E7</v>
      </c>
      <c r="G191" s="24" t="str">
        <f>IFERROR(__xludf.DUMMYFUNCTION("REGEXEXTRACT(C191, ""ک\s(\d{16})"")"),"6037997452281877")</f>
        <v>6037997452281877</v>
      </c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25.5" customHeight="1">
      <c r="A192" s="19">
        <v>191.0</v>
      </c>
      <c r="B192" s="19" t="s">
        <v>569</v>
      </c>
      <c r="C192" s="21" t="s">
        <v>587</v>
      </c>
      <c r="D192" s="21" t="str">
        <f>VLOOKUP(G192, Cards!A:B, 2, FALSE)</f>
        <v>#N/A</v>
      </c>
      <c r="E192" s="22">
        <v>0.0</v>
      </c>
      <c r="F192" s="23">
        <v>12200.0</v>
      </c>
      <c r="G192" s="24" t="str">
        <f>IFERROR(__xludf.DUMMYFUNCTION("REGEXEXTRACT(C192, ""ک\s(\d{16})"")"),"6219861085979838")</f>
        <v>6219861085979838</v>
      </c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25.5" customHeight="1">
      <c r="A193" s="19">
        <v>192.0</v>
      </c>
      <c r="B193" s="19" t="s">
        <v>569</v>
      </c>
      <c r="C193" s="21" t="s">
        <v>589</v>
      </c>
      <c r="D193" s="21" t="str">
        <f>VLOOKUP(G193, Cards!A:B, 2, FALSE)</f>
        <v>#N/A</v>
      </c>
      <c r="E193" s="22">
        <v>0.0</v>
      </c>
      <c r="F193" s="23">
        <v>2.1744E7</v>
      </c>
      <c r="G193" s="24" t="str">
        <f>IFERROR(__xludf.DUMMYFUNCTION("REGEXEXTRACT(C193, ""ک\s(\d{16})"")"),"6104338738476148")</f>
        <v>6104338738476148</v>
      </c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25.5" customHeight="1">
      <c r="A194" s="19">
        <v>193.0</v>
      </c>
      <c r="B194" s="19" t="s">
        <v>569</v>
      </c>
      <c r="C194" s="21" t="s">
        <v>591</v>
      </c>
      <c r="D194" s="21" t="str">
        <f>VLOOKUP(G194, Cards!A:B, 2, FALSE)</f>
        <v>#N/A</v>
      </c>
      <c r="E194" s="22">
        <v>0.0</v>
      </c>
      <c r="F194" s="23">
        <v>15400.0</v>
      </c>
      <c r="G194" s="24" t="str">
        <f>IFERROR(__xludf.DUMMYFUNCTION("REGEXEXTRACT(C194, ""ک\s(\d{16})"")"),"6219861085979838")</f>
        <v>6219861085979838</v>
      </c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25.5" customHeight="1">
      <c r="A195" s="19">
        <v>194.0</v>
      </c>
      <c r="B195" s="19" t="s">
        <v>569</v>
      </c>
      <c r="C195" s="21" t="s">
        <v>593</v>
      </c>
      <c r="D195" s="21" t="str">
        <f>VLOOKUP(G195, Cards!A:B, 2, FALSE)</f>
        <v>#N/A</v>
      </c>
      <c r="E195" s="22">
        <v>0.0</v>
      </c>
      <c r="F195" s="23">
        <v>1800.0</v>
      </c>
      <c r="G195" s="24" t="str">
        <f>IFERROR(__xludf.DUMMYFUNCTION("REGEXEXTRACT(C195, ""ک\s(\d{16})"")"),"6219861085979838")</f>
        <v>6219861085979838</v>
      </c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25.5" customHeight="1">
      <c r="A196" s="19">
        <v>195.0</v>
      </c>
      <c r="B196" s="19" t="s">
        <v>595</v>
      </c>
      <c r="C196" s="21" t="s">
        <v>597</v>
      </c>
      <c r="D196" s="21" t="str">
        <f>VLOOKUP(G196, Cards!A:B, 2, FALSE)</f>
        <v>#N/A</v>
      </c>
      <c r="E196" s="22">
        <v>6.7E7</v>
      </c>
      <c r="F196" s="23">
        <v>0.0</v>
      </c>
      <c r="G196" s="24" t="str">
        <f>IFERROR(__xludf.DUMMYFUNCTION("REGEXEXTRACT(C196, ""ک\s(\d{16})"")"),"#N/A")</f>
        <v>#N/A</v>
      </c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25.5" customHeight="1">
      <c r="A197" s="19">
        <v>196.0</v>
      </c>
      <c r="B197" s="19" t="s">
        <v>595</v>
      </c>
      <c r="C197" s="21" t="s">
        <v>601</v>
      </c>
      <c r="D197" s="21" t="str">
        <f>VLOOKUP(G197, Cards!A:B, 2, FALSE)</f>
        <v>#N/A</v>
      </c>
      <c r="E197" s="22">
        <v>0.0</v>
      </c>
      <c r="F197" s="23">
        <v>1.55E7</v>
      </c>
      <c r="G197" s="24" t="str">
        <f>IFERROR(__xludf.DUMMYFUNCTION("REGEXEXTRACT(C197, ""ک\s(\d{16})"")"),"6219861085979838")</f>
        <v>6219861085979838</v>
      </c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25.5" customHeight="1">
      <c r="A198" s="19">
        <v>197.0</v>
      </c>
      <c r="B198" s="19" t="s">
        <v>595</v>
      </c>
      <c r="C198" s="21" t="s">
        <v>604</v>
      </c>
      <c r="D198" s="21" t="str">
        <f>VLOOKUP(G198, Cards!A:B, 2, FALSE)</f>
        <v>#N/A</v>
      </c>
      <c r="E198" s="22">
        <v>0.0</v>
      </c>
      <c r="F198" s="23">
        <v>6500000.0</v>
      </c>
      <c r="G198" s="24" t="str">
        <f>IFERROR(__xludf.DUMMYFUNCTION("REGEXEXTRACT(C198, ""ک\s(\d{16})"")"),"6219861085979838")</f>
        <v>6219861085979838</v>
      </c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25.5" customHeight="1">
      <c r="A199" s="19">
        <v>198.0</v>
      </c>
      <c r="B199" s="19" t="s">
        <v>595</v>
      </c>
      <c r="C199" s="21" t="s">
        <v>607</v>
      </c>
      <c r="D199" s="21" t="str">
        <f>VLOOKUP(G199, Cards!A:B, 2, FALSE)</f>
        <v>#N/A</v>
      </c>
      <c r="E199" s="22">
        <v>0.0</v>
      </c>
      <c r="F199" s="23">
        <v>1800.0</v>
      </c>
      <c r="G199" s="24" t="str">
        <f>IFERROR(__xludf.DUMMYFUNCTION("REGEXEXTRACT(C199, ""ک\s(\d{16})"")"),"6219861085979838")</f>
        <v>6219861085979838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25.5" customHeight="1">
      <c r="A200" s="19">
        <v>199.0</v>
      </c>
      <c r="B200" s="19" t="s">
        <v>595</v>
      </c>
      <c r="C200" s="21" t="s">
        <v>610</v>
      </c>
      <c r="D200" s="21" t="str">
        <f>VLOOKUP(G200, Cards!A:B, 2, FALSE)</f>
        <v>#N/A</v>
      </c>
      <c r="E200" s="22">
        <v>2000000.0</v>
      </c>
      <c r="F200" s="23">
        <v>0.0</v>
      </c>
      <c r="G200" s="24" t="str">
        <f>IFERROR(__xludf.DUMMYFUNCTION("REGEXEXTRACT(C200, ""ک\s(\d{16})"")"),"5859831117767532")</f>
        <v>5859831117767532</v>
      </c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25.5" customHeight="1">
      <c r="A201" s="19">
        <v>200.0</v>
      </c>
      <c r="B201" s="19" t="s">
        <v>595</v>
      </c>
      <c r="C201" s="21" t="s">
        <v>613</v>
      </c>
      <c r="D201" s="21" t="str">
        <f>VLOOKUP(G201, Cards!A:B, 2, FALSE)</f>
        <v>#N/A</v>
      </c>
      <c r="E201" s="22">
        <v>0.0</v>
      </c>
      <c r="F201" s="23">
        <v>2.34E7</v>
      </c>
      <c r="G201" s="24" t="str">
        <f>IFERROR(__xludf.DUMMYFUNCTION("REGEXEXTRACT(C201, ""ک\s(\d{16})"")"),"5894631178646402")</f>
        <v>5894631178646402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25.5" customHeight="1">
      <c r="A202" s="19">
        <v>201.0</v>
      </c>
      <c r="B202" s="19" t="s">
        <v>595</v>
      </c>
      <c r="C202" s="21" t="s">
        <v>615</v>
      </c>
      <c r="D202" s="21" t="str">
        <f>VLOOKUP(G202, Cards!A:B, 2, FALSE)</f>
        <v>#N/A</v>
      </c>
      <c r="E202" s="22">
        <v>0.0</v>
      </c>
      <c r="F202" s="23">
        <v>15400.0</v>
      </c>
      <c r="G202" s="24" t="str">
        <f>IFERROR(__xludf.DUMMYFUNCTION("REGEXEXTRACT(C202, ""ک\s(\d{16})"")"),"6219861085979838")</f>
        <v>6219861085979838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25.5" customHeight="1">
      <c r="A203" s="19">
        <v>202.0</v>
      </c>
      <c r="B203" s="19" t="s">
        <v>595</v>
      </c>
      <c r="C203" s="21" t="s">
        <v>617</v>
      </c>
      <c r="D203" s="21" t="str">
        <f>VLOOKUP(G203, Cards!A:B, 2, FALSE)</f>
        <v>#N/A</v>
      </c>
      <c r="E203" s="22">
        <v>0.0</v>
      </c>
      <c r="F203" s="23">
        <v>5650000.0</v>
      </c>
      <c r="G203" s="24" t="str">
        <f>IFERROR(__xludf.DUMMYFUNCTION("REGEXEXTRACT(C203, ""ک\s(\d{16})"")"),"6219861085979838")</f>
        <v>6219861085979838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25.5" customHeight="1">
      <c r="A204" s="19">
        <v>203.0</v>
      </c>
      <c r="B204" s="19" t="s">
        <v>619</v>
      </c>
      <c r="C204" s="21" t="s">
        <v>621</v>
      </c>
      <c r="D204" s="21" t="str">
        <f>VLOOKUP(G204, Cards!A:B, 2, FALSE)</f>
        <v>#N/A</v>
      </c>
      <c r="E204" s="22">
        <v>7.89E7</v>
      </c>
      <c r="F204" s="23">
        <v>0.0</v>
      </c>
      <c r="G204" s="24" t="str">
        <f>IFERROR(__xludf.DUMMYFUNCTION("REGEXEXTRACT(C204, ""ک\s(\d{16})"")"),"#N/A")</f>
        <v>#N/A</v>
      </c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25.5" customHeight="1">
      <c r="A205" s="19">
        <v>204.0</v>
      </c>
      <c r="B205" s="19" t="s">
        <v>619</v>
      </c>
      <c r="C205" s="21" t="s">
        <v>625</v>
      </c>
      <c r="D205" s="21" t="str">
        <f>VLOOKUP(G205, Cards!A:B, 2, FALSE)</f>
        <v>#N/A</v>
      </c>
      <c r="E205" s="22">
        <v>0.0</v>
      </c>
      <c r="F205" s="23">
        <v>9300000.0</v>
      </c>
      <c r="G205" s="24" t="str">
        <f>IFERROR(__xludf.DUMMYFUNCTION("REGEXEXTRACT(C205, ""ک\s(\d{16})"")"),"6219861085979838")</f>
        <v>6219861085979838</v>
      </c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25.5" customHeight="1">
      <c r="A206" s="19">
        <v>205.0</v>
      </c>
      <c r="B206" s="19" t="s">
        <v>619</v>
      </c>
      <c r="C206" s="21" t="s">
        <v>628</v>
      </c>
      <c r="D206" s="21" t="str">
        <f>VLOOKUP(G206, Cards!A:B, 2, FALSE)</f>
        <v>#N/A</v>
      </c>
      <c r="E206" s="22">
        <v>0.0</v>
      </c>
      <c r="F206" s="23">
        <v>1500000.0</v>
      </c>
      <c r="G206" s="24" t="str">
        <f>IFERROR(__xludf.DUMMYFUNCTION("REGEXEXTRACT(C206, ""ک\s(\d{16})"")"),"6219861085979838")</f>
        <v>6219861085979838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25.5" customHeight="1">
      <c r="A207" s="19">
        <v>206.0</v>
      </c>
      <c r="B207" s="19" t="s">
        <v>619</v>
      </c>
      <c r="C207" s="21" t="s">
        <v>631</v>
      </c>
      <c r="D207" s="21" t="str">
        <f>VLOOKUP(G207, Cards!A:B, 2, FALSE)</f>
        <v>#N/A</v>
      </c>
      <c r="E207" s="22">
        <v>0.0</v>
      </c>
      <c r="F207" s="23">
        <v>1200000.0</v>
      </c>
      <c r="G207" s="24" t="str">
        <f>IFERROR(__xludf.DUMMYFUNCTION("REGEXEXTRACT(C207, ""ک\s(\d{16})"")"),"6219861085979838")</f>
        <v>6219861085979838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25.5" customHeight="1">
      <c r="A208" s="19">
        <v>207.0</v>
      </c>
      <c r="B208" s="19" t="s">
        <v>619</v>
      </c>
      <c r="C208" s="21" t="s">
        <v>634</v>
      </c>
      <c r="D208" s="21" t="str">
        <f>VLOOKUP(G208, Cards!A:B, 2, FALSE)</f>
        <v>#N/A</v>
      </c>
      <c r="E208" s="22">
        <v>0.0</v>
      </c>
      <c r="F208" s="23">
        <v>3.23E7</v>
      </c>
      <c r="G208" s="24" t="str">
        <f>IFERROR(__xludf.DUMMYFUNCTION("REGEXEXTRACT(C208, ""ک\s(\d{16})"")"),"6219861085979838")</f>
        <v>6219861085979838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25.5" customHeight="1">
      <c r="A209" s="19">
        <v>208.0</v>
      </c>
      <c r="B209" s="19" t="s">
        <v>619</v>
      </c>
      <c r="C209" s="21" t="s">
        <v>637</v>
      </c>
      <c r="D209" s="21" t="str">
        <f>VLOOKUP(G209, Cards!A:B, 2, FALSE)</f>
        <v>#N/A</v>
      </c>
      <c r="E209" s="22">
        <v>0.0</v>
      </c>
      <c r="F209" s="23">
        <v>1800.0</v>
      </c>
      <c r="G209" s="24" t="str">
        <f>IFERROR(__xludf.DUMMYFUNCTION("REGEXEXTRACT(C209, ""ک\s(\d{16})"")"),"6219861085979838")</f>
        <v>6219861085979838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25.5" customHeight="1">
      <c r="A210" s="19">
        <v>209.0</v>
      </c>
      <c r="B210" s="19" t="s">
        <v>619</v>
      </c>
      <c r="C210" s="21" t="s">
        <v>640</v>
      </c>
      <c r="D210" s="21" t="str">
        <f>VLOOKUP(G210, Cards!A:B, 2, FALSE)</f>
        <v>#N/A</v>
      </c>
      <c r="E210" s="22">
        <v>0.0</v>
      </c>
      <c r="F210" s="23">
        <v>5.0E7</v>
      </c>
      <c r="G210" s="24" t="str">
        <f>IFERROR(__xludf.DUMMYFUNCTION("REGEXEXTRACT(C210, ""ک\s(\d{16})"")"),"#N/A")</f>
        <v>#N/A</v>
      </c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25.5" customHeight="1">
      <c r="A211" s="19">
        <v>210.0</v>
      </c>
      <c r="B211" s="19" t="s">
        <v>619</v>
      </c>
      <c r="C211" s="21" t="s">
        <v>207</v>
      </c>
      <c r="D211" s="21" t="str">
        <f>VLOOKUP(G211, Cards!A:B, 2, FALSE)</f>
        <v>#N/A</v>
      </c>
      <c r="E211" s="22">
        <v>0.0</v>
      </c>
      <c r="F211" s="23">
        <v>10000.0</v>
      </c>
      <c r="G211" s="24" t="str">
        <f>IFERROR(__xludf.DUMMYFUNCTION("REGEXEXTRACT(C211, ""ک\s(\d{16})"")"),"#N/A")</f>
        <v>#N/A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25.5" customHeight="1">
      <c r="A212" s="19">
        <v>211.0</v>
      </c>
      <c r="B212" s="19" t="s">
        <v>619</v>
      </c>
      <c r="C212" s="21" t="s">
        <v>645</v>
      </c>
      <c r="D212" s="21" t="str">
        <f>VLOOKUP(G212, Cards!A:B, 2, FALSE)</f>
        <v>#N/A</v>
      </c>
      <c r="E212" s="22">
        <v>1100000.0</v>
      </c>
      <c r="F212" s="23">
        <v>0.0</v>
      </c>
      <c r="G212" s="24" t="str">
        <f>IFERROR(__xludf.DUMMYFUNCTION("REGEXEXTRACT(C212, ""ک\s(\d{16})"")"),"6037997517594868")</f>
        <v>6037997517594868</v>
      </c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25.5" customHeight="1">
      <c r="A213" s="19">
        <v>212.0</v>
      </c>
      <c r="B213" s="19" t="s">
        <v>619</v>
      </c>
      <c r="C213" s="21" t="s">
        <v>648</v>
      </c>
      <c r="D213" s="21" t="str">
        <f>VLOOKUP(G213, Cards!A:B, 2, FALSE)</f>
        <v>#N/A</v>
      </c>
      <c r="E213" s="22">
        <v>1600000.0</v>
      </c>
      <c r="F213" s="23">
        <v>0.0</v>
      </c>
      <c r="G213" s="24" t="str">
        <f>IFERROR(__xludf.DUMMYFUNCTION("REGEXEXTRACT(C213, ""ک\s(\d{16})"")"),"6104337903746574")</f>
        <v>6104337903746574</v>
      </c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25.5" customHeight="1">
      <c r="A214" s="19">
        <v>213.0</v>
      </c>
      <c r="B214" s="19" t="s">
        <v>619</v>
      </c>
      <c r="C214" s="21" t="s">
        <v>651</v>
      </c>
      <c r="D214" s="21" t="str">
        <f>VLOOKUP(G214, Cards!A:B, 2, FALSE)</f>
        <v>#N/A</v>
      </c>
      <c r="E214" s="22">
        <v>0.0</v>
      </c>
      <c r="F214" s="23">
        <v>2500000.0</v>
      </c>
      <c r="G214" s="24" t="str">
        <f>IFERROR(__xludf.DUMMYFUNCTION("REGEXEXTRACT(C214, ""ک\s(\d{16})"")"),"6219861085979838")</f>
        <v>6219861085979838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25.5" customHeight="1">
      <c r="A215" s="19">
        <v>214.0</v>
      </c>
      <c r="B215" s="19" t="s">
        <v>619</v>
      </c>
      <c r="C215" s="21" t="s">
        <v>654</v>
      </c>
      <c r="D215" s="21" t="str">
        <f>VLOOKUP(G215, Cards!A:B, 2, FALSE)</f>
        <v>#N/A</v>
      </c>
      <c r="E215" s="22">
        <v>0.0</v>
      </c>
      <c r="F215" s="23">
        <v>4900000.0</v>
      </c>
      <c r="G215" s="24" t="str">
        <f>IFERROR(__xludf.DUMMYFUNCTION("REGEXEXTRACT(C215, ""ک\s(\d{16})"")"),"6219861085979838")</f>
        <v>6219861085979838</v>
      </c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25.5" customHeight="1">
      <c r="A216" s="19">
        <v>215.0</v>
      </c>
      <c r="B216" s="19" t="s">
        <v>619</v>
      </c>
      <c r="C216" s="21" t="s">
        <v>657</v>
      </c>
      <c r="D216" s="21" t="str">
        <f>VLOOKUP(G216, Cards!A:B, 2, FALSE)</f>
        <v>#N/A</v>
      </c>
      <c r="E216" s="22">
        <v>1400000.0</v>
      </c>
      <c r="F216" s="23">
        <v>0.0</v>
      </c>
      <c r="G216" s="24" t="str">
        <f>IFERROR(__xludf.DUMMYFUNCTION("REGEXEXTRACT(C216, ""ک\s(\d{16})"")"),"6037991210731638")</f>
        <v>6037991210731638</v>
      </c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25.5" customHeight="1">
      <c r="A217" s="19">
        <v>216.0</v>
      </c>
      <c r="B217" s="19" t="s">
        <v>619</v>
      </c>
      <c r="C217" s="21" t="s">
        <v>660</v>
      </c>
      <c r="D217" s="21" t="str">
        <f>VLOOKUP(G217, Cards!A:B, 2, FALSE)</f>
        <v>#N/A</v>
      </c>
      <c r="E217" s="22">
        <v>0.0</v>
      </c>
      <c r="F217" s="23">
        <v>1800.0</v>
      </c>
      <c r="G217" s="24" t="str">
        <f>IFERROR(__xludf.DUMMYFUNCTION("REGEXEXTRACT(C217, ""ک\s(\d{16})"")"),"6219861085979838")</f>
        <v>6219861085979838</v>
      </c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25.5" customHeight="1">
      <c r="A218" s="19">
        <v>217.0</v>
      </c>
      <c r="B218" s="19" t="s">
        <v>619</v>
      </c>
      <c r="C218" s="21" t="s">
        <v>663</v>
      </c>
      <c r="D218" s="21" t="str">
        <f>VLOOKUP(G218, Cards!A:B, 2, FALSE)</f>
        <v>#N/A</v>
      </c>
      <c r="E218" s="22">
        <v>600000.0</v>
      </c>
      <c r="F218" s="23">
        <v>0.0</v>
      </c>
      <c r="G218" s="24" t="str">
        <f>IFERROR(__xludf.DUMMYFUNCTION("REGEXEXTRACT(C218, ""ک\s(\d{16})"")"),"6063731254880249")</f>
        <v>6063731254880249</v>
      </c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25.5" customHeight="1">
      <c r="A219" s="19">
        <v>218.0</v>
      </c>
      <c r="B219" s="19" t="s">
        <v>665</v>
      </c>
      <c r="C219" s="21" t="s">
        <v>667</v>
      </c>
      <c r="D219" s="21" t="str">
        <f>VLOOKUP(G219, Cards!A:B, 2, FALSE)</f>
        <v>#N/A</v>
      </c>
      <c r="E219" s="22">
        <v>8.6E7</v>
      </c>
      <c r="F219" s="23">
        <v>0.0</v>
      </c>
      <c r="G219" s="24" t="str">
        <f>IFERROR(__xludf.DUMMYFUNCTION("REGEXEXTRACT(C219, ""ک\s(\d{16})"")"),"#N/A")</f>
        <v>#N/A</v>
      </c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25.5" customHeight="1">
      <c r="A220" s="19">
        <v>219.0</v>
      </c>
      <c r="B220" s="19" t="s">
        <v>665</v>
      </c>
      <c r="C220" s="21" t="s">
        <v>671</v>
      </c>
      <c r="D220" s="21" t="str">
        <f>VLOOKUP(G220, Cards!A:B, 2, FALSE)</f>
        <v>#N/A</v>
      </c>
      <c r="E220" s="22">
        <v>0.0</v>
      </c>
      <c r="F220" s="23">
        <v>1.0E8</v>
      </c>
      <c r="G220" s="24" t="str">
        <f>IFERROR(__xludf.DUMMYFUNCTION("REGEXEXTRACT(C220, ""ک\s(\d{16})"")"),"#N/A")</f>
        <v>#N/A</v>
      </c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25.5" customHeight="1">
      <c r="A221" s="19">
        <v>220.0</v>
      </c>
      <c r="B221" s="19" t="s">
        <v>665</v>
      </c>
      <c r="C221" s="21" t="s">
        <v>675</v>
      </c>
      <c r="D221" s="21" t="str">
        <f>VLOOKUP(G221, Cards!A:B, 2, FALSE)</f>
        <v>#N/A</v>
      </c>
      <c r="E221" s="22">
        <v>0.0</v>
      </c>
      <c r="F221" s="23">
        <v>4000000.0</v>
      </c>
      <c r="G221" s="24" t="str">
        <f>IFERROR(__xludf.DUMMYFUNCTION("REGEXEXTRACT(C221, ""ک\s(\d{16})"")"),"5859831103338371")</f>
        <v>5859831103338371</v>
      </c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25.5" customHeight="1">
      <c r="A222" s="19">
        <v>221.0</v>
      </c>
      <c r="B222" s="19" t="s">
        <v>665</v>
      </c>
      <c r="C222" s="21" t="s">
        <v>677</v>
      </c>
      <c r="D222" s="21" t="str">
        <f>VLOOKUP(G222, Cards!A:B, 2, FALSE)</f>
        <v>#N/A</v>
      </c>
      <c r="E222" s="22">
        <v>0.0</v>
      </c>
      <c r="F222" s="23">
        <v>9000.0</v>
      </c>
      <c r="G222" s="24" t="str">
        <f>IFERROR(__xludf.DUMMYFUNCTION("REGEXEXTRACT(C222, ""ک\s(\d{16})"")"),"6219861085979838")</f>
        <v>6219861085979838</v>
      </c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25.5" customHeight="1">
      <c r="A223" s="19">
        <v>222.0</v>
      </c>
      <c r="B223" s="19" t="s">
        <v>665</v>
      </c>
      <c r="C223" s="21" t="s">
        <v>679</v>
      </c>
      <c r="D223" s="21" t="str">
        <f>VLOOKUP(G223, Cards!A:B, 2, FALSE)</f>
        <v>#N/A</v>
      </c>
      <c r="E223" s="22">
        <v>0.0</v>
      </c>
      <c r="F223" s="23">
        <v>1800.0</v>
      </c>
      <c r="G223" s="24" t="str">
        <f>IFERROR(__xludf.DUMMYFUNCTION("REGEXEXTRACT(C223, ""ک\s(\d{16})"")"),"6219861085979838")</f>
        <v>6219861085979838</v>
      </c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25.5" customHeight="1">
      <c r="A224" s="19">
        <v>223.0</v>
      </c>
      <c r="B224" s="19" t="s">
        <v>665</v>
      </c>
      <c r="C224" s="21" t="s">
        <v>682</v>
      </c>
      <c r="D224" s="21" t="str">
        <f>VLOOKUP(G224, Cards!A:B, 2, FALSE)</f>
        <v>#N/A</v>
      </c>
      <c r="E224" s="22">
        <v>1200000.0</v>
      </c>
      <c r="F224" s="23">
        <v>0.0</v>
      </c>
      <c r="G224" s="24" t="str">
        <f>IFERROR(__xludf.DUMMYFUNCTION("REGEXEXTRACT(C224, ""ک\s(\d{16})"")"),"5047061665439127")</f>
        <v>5047061665439127</v>
      </c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25.5" customHeight="1">
      <c r="A225" s="19">
        <v>224.0</v>
      </c>
      <c r="B225" s="19" t="s">
        <v>665</v>
      </c>
      <c r="C225" s="21" t="s">
        <v>685</v>
      </c>
      <c r="D225" s="21" t="str">
        <f>VLOOKUP(G225, Cards!A:B, 2, FALSE)</f>
        <v>#N/A</v>
      </c>
      <c r="E225" s="22">
        <v>0.0</v>
      </c>
      <c r="F225" s="23">
        <v>1800.0</v>
      </c>
      <c r="G225" s="24" t="str">
        <f>IFERROR(__xludf.DUMMYFUNCTION("REGEXEXTRACT(C225, ""ک\s(\d{16})"")"),"6219861085979838")</f>
        <v>6219861085979838</v>
      </c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25.5" customHeight="1">
      <c r="A226" s="19">
        <v>225.0</v>
      </c>
      <c r="B226" s="19" t="s">
        <v>687</v>
      </c>
      <c r="C226" s="21" t="s">
        <v>689</v>
      </c>
      <c r="D226" s="21" t="str">
        <f>VLOOKUP(G226, Cards!A:B, 2, FALSE)</f>
        <v>#N/A</v>
      </c>
      <c r="E226" s="22">
        <v>7.1E7</v>
      </c>
      <c r="F226" s="23">
        <v>0.0</v>
      </c>
      <c r="G226" s="24" t="str">
        <f>IFERROR(__xludf.DUMMYFUNCTION("REGEXEXTRACT(C226, ""ک\s(\d{16})"")"),"#N/A")</f>
        <v>#N/A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25.5" customHeight="1">
      <c r="A227" s="19">
        <v>226.0</v>
      </c>
      <c r="B227" s="19" t="s">
        <v>692</v>
      </c>
      <c r="C227" s="21" t="s">
        <v>694</v>
      </c>
      <c r="D227" s="21" t="str">
        <f>VLOOKUP(G227, Cards!A:B, 2, FALSE)</f>
        <v>#N/A</v>
      </c>
      <c r="E227" s="22">
        <v>0.0</v>
      </c>
      <c r="F227" s="23">
        <v>1800.0</v>
      </c>
      <c r="G227" s="24" t="str">
        <f>IFERROR(__xludf.DUMMYFUNCTION("REGEXEXTRACT(C227, ""ک\s(\d{16})"")"),"6219861085979838")</f>
        <v>6219861085979838</v>
      </c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25.5" customHeight="1">
      <c r="A228" s="19">
        <v>227.0</v>
      </c>
      <c r="B228" s="19" t="s">
        <v>692</v>
      </c>
      <c r="C228" s="21" t="s">
        <v>697</v>
      </c>
      <c r="D228" s="21" t="str">
        <f>VLOOKUP(G228, Cards!A:B, 2, FALSE)</f>
        <v>#N/A</v>
      </c>
      <c r="E228" s="22">
        <v>0.0</v>
      </c>
      <c r="F228" s="23">
        <v>2.1E7</v>
      </c>
      <c r="G228" s="24" t="str">
        <f>IFERROR(__xludf.DUMMYFUNCTION("REGEXEXTRACT(C228, ""ک\s(\d{16})"")"),"6037701642636788")</f>
        <v>6037701642636788</v>
      </c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25.5" customHeight="1">
      <c r="A229" s="19">
        <v>228.0</v>
      </c>
      <c r="B229" s="19" t="s">
        <v>692</v>
      </c>
      <c r="C229" s="21" t="s">
        <v>699</v>
      </c>
      <c r="D229" s="21" t="str">
        <f>VLOOKUP(G229, Cards!A:B, 2, FALSE)</f>
        <v>#N/A</v>
      </c>
      <c r="E229" s="22">
        <v>0.0</v>
      </c>
      <c r="F229" s="23">
        <v>15400.0</v>
      </c>
      <c r="G229" s="24" t="str">
        <f>IFERROR(__xludf.DUMMYFUNCTION("REGEXEXTRACT(C229, ""ک\s(\d{16})"")"),"6219861085979838")</f>
        <v>6219861085979838</v>
      </c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25.5" customHeight="1">
      <c r="A230" s="19">
        <v>229.0</v>
      </c>
      <c r="B230" s="19" t="s">
        <v>692</v>
      </c>
      <c r="C230" s="21" t="s">
        <v>701</v>
      </c>
      <c r="D230" s="21" t="str">
        <f>VLOOKUP(G230, Cards!A:B, 2, FALSE)</f>
        <v>#N/A</v>
      </c>
      <c r="E230" s="22">
        <v>0.0</v>
      </c>
      <c r="F230" s="23">
        <v>2.1832E7</v>
      </c>
      <c r="G230" s="24" t="str">
        <f>IFERROR(__xludf.DUMMYFUNCTION("REGEXEXTRACT(C230, ""ک\s(\d{16})"")"),"6104338738476148")</f>
        <v>6104338738476148</v>
      </c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25.5" customHeight="1">
      <c r="A231" s="19">
        <v>230.0</v>
      </c>
      <c r="B231" s="19" t="s">
        <v>692</v>
      </c>
      <c r="C231" s="21" t="s">
        <v>703</v>
      </c>
      <c r="D231" s="21" t="str">
        <f>VLOOKUP(G231, Cards!A:B, 2, FALSE)</f>
        <v>#N/A</v>
      </c>
      <c r="E231" s="22">
        <v>0.0</v>
      </c>
      <c r="F231" s="23">
        <v>15400.0</v>
      </c>
      <c r="G231" s="24" t="str">
        <f>IFERROR(__xludf.DUMMYFUNCTION("REGEXEXTRACT(C231, ""ک\s(\d{16})"")"),"6219861085979838")</f>
        <v>6219861085979838</v>
      </c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25.5" customHeight="1">
      <c r="A232" s="19">
        <v>231.0</v>
      </c>
      <c r="B232" s="19" t="s">
        <v>692</v>
      </c>
      <c r="C232" s="21" t="s">
        <v>705</v>
      </c>
      <c r="D232" s="21" t="str">
        <f>VLOOKUP(G232, Cards!A:B, 2, FALSE)</f>
        <v>#N/A</v>
      </c>
      <c r="E232" s="22">
        <v>0.0</v>
      </c>
      <c r="F232" s="23">
        <v>2.661E7</v>
      </c>
      <c r="G232" s="24" t="str">
        <f>IFERROR(__xludf.DUMMYFUNCTION("REGEXEXTRACT(C232, ""ک\s(\d{16})"")"),"5894631178646402")</f>
        <v>5894631178646402</v>
      </c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25.5" customHeight="1">
      <c r="A233" s="19">
        <v>232.0</v>
      </c>
      <c r="B233" s="19" t="s">
        <v>692</v>
      </c>
      <c r="C233" s="21" t="s">
        <v>707</v>
      </c>
      <c r="D233" s="21" t="str">
        <f>VLOOKUP(G233, Cards!A:B, 2, FALSE)</f>
        <v>#N/A</v>
      </c>
      <c r="E233" s="22">
        <v>0.0</v>
      </c>
      <c r="F233" s="23">
        <v>15400.0</v>
      </c>
      <c r="G233" s="24" t="str">
        <f>IFERROR(__xludf.DUMMYFUNCTION("REGEXEXTRACT(C233, ""ک\s(\d{16})"")"),"6219861085979838")</f>
        <v>6219861085979838</v>
      </c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25.5" customHeight="1">
      <c r="A234" s="19">
        <v>233.0</v>
      </c>
      <c r="B234" s="19" t="s">
        <v>692</v>
      </c>
      <c r="C234" s="21" t="s">
        <v>709</v>
      </c>
      <c r="D234" s="21" t="str">
        <f>VLOOKUP(G234, Cards!A:B, 2, FALSE)</f>
        <v>#N/A</v>
      </c>
      <c r="E234" s="22">
        <v>0.0</v>
      </c>
      <c r="F234" s="23">
        <v>4118000.0</v>
      </c>
      <c r="G234" s="24" t="str">
        <f>IFERROR(__xludf.DUMMYFUNCTION("REGEXEXTRACT(C234, ""ک\s(\d{16})"")"),"6219861085979838")</f>
        <v>6219861085979838</v>
      </c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25.5" customHeight="1">
      <c r="A235" s="19">
        <v>234.0</v>
      </c>
      <c r="B235" s="19" t="s">
        <v>692</v>
      </c>
      <c r="C235" s="21" t="s">
        <v>712</v>
      </c>
      <c r="D235" s="21" t="str">
        <f>VLOOKUP(G235, Cards!A:B, 2, FALSE)</f>
        <v>#N/A</v>
      </c>
      <c r="E235" s="22">
        <v>2500000.0</v>
      </c>
      <c r="F235" s="23">
        <v>0.0</v>
      </c>
      <c r="G235" s="24" t="str">
        <f>IFERROR(__xludf.DUMMYFUNCTION("REGEXEXTRACT(C235, ""ک\s(\d{16})"")"),"#N/A")</f>
        <v>#N/A</v>
      </c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25.5" customHeight="1">
      <c r="A236" s="19">
        <v>235.0</v>
      </c>
      <c r="B236" s="19" t="s">
        <v>714</v>
      </c>
      <c r="C236" s="21" t="s">
        <v>716</v>
      </c>
      <c r="D236" s="21" t="str">
        <f>VLOOKUP(G236, Cards!A:B, 2, FALSE)</f>
        <v>#N/A</v>
      </c>
      <c r="E236" s="22">
        <v>4.9E7</v>
      </c>
      <c r="F236" s="23">
        <v>0.0</v>
      </c>
      <c r="G236" s="24" t="str">
        <f>IFERROR(__xludf.DUMMYFUNCTION("REGEXEXTRACT(C236, ""ک\s(\d{16})"")"),"#N/A")</f>
        <v>#N/A</v>
      </c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25.5" customHeight="1">
      <c r="A237" s="19">
        <v>236.0</v>
      </c>
      <c r="B237" s="19" t="s">
        <v>714</v>
      </c>
      <c r="C237" s="21" t="s">
        <v>720</v>
      </c>
      <c r="D237" s="21" t="str">
        <f>VLOOKUP(G237, Cards!A:B, 2, FALSE)</f>
        <v>#N/A</v>
      </c>
      <c r="E237" s="22">
        <v>0.0</v>
      </c>
      <c r="F237" s="23">
        <v>1.55E7</v>
      </c>
      <c r="G237" s="24" t="str">
        <f>IFERROR(__xludf.DUMMYFUNCTION("REGEXEXTRACT(C237, ""ک\s(\d{16})"")"),"6219861085979838")</f>
        <v>6219861085979838</v>
      </c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25.5" customHeight="1">
      <c r="A238" s="19">
        <v>237.0</v>
      </c>
      <c r="B238" s="19" t="s">
        <v>714</v>
      </c>
      <c r="C238" s="21" t="s">
        <v>723</v>
      </c>
      <c r="D238" s="21" t="str">
        <f>VLOOKUP(G238, Cards!A:B, 2, FALSE)</f>
        <v>#N/A</v>
      </c>
      <c r="E238" s="22">
        <v>0.0</v>
      </c>
      <c r="F238" s="23">
        <v>3700000.0</v>
      </c>
      <c r="G238" s="24" t="str">
        <f>IFERROR(__xludf.DUMMYFUNCTION("REGEXEXTRACT(C238, ""ک\s(\d{16})"")"),"6219861085979838")</f>
        <v>6219861085979838</v>
      </c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25.5" customHeight="1">
      <c r="A239" s="19">
        <v>238.0</v>
      </c>
      <c r="B239" s="19" t="s">
        <v>714</v>
      </c>
      <c r="C239" s="21" t="s">
        <v>726</v>
      </c>
      <c r="D239" s="21" t="str">
        <f>VLOOKUP(G239, Cards!A:B, 2, FALSE)</f>
        <v>#N/A</v>
      </c>
      <c r="E239" s="22">
        <v>0.0</v>
      </c>
      <c r="F239" s="23">
        <v>500000.0</v>
      </c>
      <c r="G239" s="24" t="str">
        <f>IFERROR(__xludf.DUMMYFUNCTION("REGEXEXTRACT(C239, ""ک\s(\d{16})"")"),"6219861085979838")</f>
        <v>6219861085979838</v>
      </c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25.5" customHeight="1">
      <c r="A240" s="19">
        <v>239.0</v>
      </c>
      <c r="B240" s="19" t="s">
        <v>714</v>
      </c>
      <c r="C240" s="21" t="s">
        <v>729</v>
      </c>
      <c r="D240" s="21" t="str">
        <f>VLOOKUP(G240, Cards!A:B, 2, FALSE)</f>
        <v>#N/A</v>
      </c>
      <c r="E240" s="22">
        <v>0.0</v>
      </c>
      <c r="F240" s="23">
        <v>1800.0</v>
      </c>
      <c r="G240" s="24" t="str">
        <f>IFERROR(__xludf.DUMMYFUNCTION("REGEXEXTRACT(C240, ""ک\s(\d{16})"")"),"6219861085979838")</f>
        <v>6219861085979838</v>
      </c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25.5" customHeight="1">
      <c r="A241" s="19">
        <v>240.0</v>
      </c>
      <c r="B241" s="19" t="s">
        <v>714</v>
      </c>
      <c r="C241" s="21" t="s">
        <v>732</v>
      </c>
      <c r="D241" s="21" t="str">
        <f>VLOOKUP(G241, Cards!A:B, 2, FALSE)</f>
        <v>#N/A</v>
      </c>
      <c r="E241" s="22">
        <v>0.0</v>
      </c>
      <c r="F241" s="23">
        <v>3.288E7</v>
      </c>
      <c r="G241" s="24" t="str">
        <f>IFERROR(__xludf.DUMMYFUNCTION("REGEXEXTRACT(C241, ""ک\s(\d{16})"")"),"6037997452281877")</f>
        <v>6037997452281877</v>
      </c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25.5" customHeight="1">
      <c r="A242" s="19">
        <v>241.0</v>
      </c>
      <c r="B242" s="19" t="s">
        <v>714</v>
      </c>
      <c r="C242" s="21" t="s">
        <v>734</v>
      </c>
      <c r="D242" s="21" t="str">
        <f>VLOOKUP(G242, Cards!A:B, 2, FALSE)</f>
        <v>#N/A</v>
      </c>
      <c r="E242" s="22">
        <v>0.0</v>
      </c>
      <c r="F242" s="23">
        <v>18600.0</v>
      </c>
      <c r="G242" s="24" t="str">
        <f>IFERROR(__xludf.DUMMYFUNCTION("REGEXEXTRACT(C242, ""ک\s(\d{16})"")"),"6219861085979838")</f>
        <v>6219861085979838</v>
      </c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25.5" customHeight="1">
      <c r="A243" s="19">
        <v>242.0</v>
      </c>
      <c r="B243" s="19" t="s">
        <v>714</v>
      </c>
      <c r="C243" s="21" t="s">
        <v>736</v>
      </c>
      <c r="D243" s="21" t="str">
        <f>VLOOKUP(G243, Cards!A:B, 2, FALSE)</f>
        <v>#N/A</v>
      </c>
      <c r="E243" s="22">
        <v>0.0</v>
      </c>
      <c r="F243" s="23">
        <v>4500000.0</v>
      </c>
      <c r="G243" s="24" t="str">
        <f>IFERROR(__xludf.DUMMYFUNCTION("REGEXEXTRACT(C243, ""ک\s(\d{16})"")"),"6219861085979838")</f>
        <v>6219861085979838</v>
      </c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25.5" customHeight="1">
      <c r="A244" s="19">
        <v>243.0</v>
      </c>
      <c r="B244" s="19" t="s">
        <v>714</v>
      </c>
      <c r="C244" s="21" t="s">
        <v>739</v>
      </c>
      <c r="D244" s="21" t="str">
        <f>VLOOKUP(G244, Cards!A:B, 2, FALSE)</f>
        <v>#N/A</v>
      </c>
      <c r="E244" s="22">
        <v>0.0</v>
      </c>
      <c r="F244" s="23">
        <v>8000000.0</v>
      </c>
      <c r="G244" s="24" t="str">
        <f>IFERROR(__xludf.DUMMYFUNCTION("REGEXEXTRACT(C244, ""ک\s(\d{16})"")"),"6219861085979838")</f>
        <v>6219861085979838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25.5" customHeight="1">
      <c r="A245" s="19">
        <v>244.0</v>
      </c>
      <c r="B245" s="19" t="s">
        <v>714</v>
      </c>
      <c r="C245" s="21" t="s">
        <v>742</v>
      </c>
      <c r="D245" s="21" t="str">
        <f>VLOOKUP(G245, Cards!A:B, 2, FALSE)</f>
        <v>#N/A</v>
      </c>
      <c r="E245" s="22">
        <v>0.0</v>
      </c>
      <c r="F245" s="23">
        <v>800000.0</v>
      </c>
      <c r="G245" s="24" t="str">
        <f>IFERROR(__xludf.DUMMYFUNCTION("REGEXEXTRACT(C245, ""ک\s(\d{16})"")"),"6219861085979838")</f>
        <v>6219861085979838</v>
      </c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25.5" customHeight="1">
      <c r="A246" s="19">
        <v>245.0</v>
      </c>
      <c r="B246" s="19" t="s">
        <v>714</v>
      </c>
      <c r="C246" s="21" t="s">
        <v>745</v>
      </c>
      <c r="D246" s="21" t="str">
        <f>VLOOKUP(G246, Cards!A:B, 2, FALSE)</f>
        <v>#N/A</v>
      </c>
      <c r="E246" s="22">
        <v>0.0</v>
      </c>
      <c r="F246" s="23">
        <v>50000.0</v>
      </c>
      <c r="G246" s="24" t="str">
        <f>IFERROR(__xludf.DUMMYFUNCTION("REGEXEXTRACT(C246, ""ک\s(\d{16})"")"),"6219861085979838")</f>
        <v>6219861085979838</v>
      </c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25.5" customHeight="1">
      <c r="A247" s="19">
        <v>246.0</v>
      </c>
      <c r="B247" s="19" t="s">
        <v>714</v>
      </c>
      <c r="C247" s="21" t="s">
        <v>748</v>
      </c>
      <c r="D247" s="21" t="str">
        <f>VLOOKUP(G247, Cards!A:B, 2, FALSE)</f>
        <v>#N/A</v>
      </c>
      <c r="E247" s="22">
        <v>0.0</v>
      </c>
      <c r="F247" s="23">
        <v>50000.0</v>
      </c>
      <c r="G247" s="24" t="str">
        <f>IFERROR(__xludf.DUMMYFUNCTION("REGEXEXTRACT(C247, ""ک\s(\d{16})"")"),"6219861085979838")</f>
        <v>6219861085979838</v>
      </c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25.5" customHeight="1">
      <c r="A248" s="19">
        <v>247.0</v>
      </c>
      <c r="B248" s="19" t="s">
        <v>714</v>
      </c>
      <c r="C248" s="21" t="s">
        <v>751</v>
      </c>
      <c r="D248" s="21" t="str">
        <f>VLOOKUP(G248, Cards!A:B, 2, FALSE)</f>
        <v>#N/A</v>
      </c>
      <c r="E248" s="22">
        <v>1700000.0</v>
      </c>
      <c r="F248" s="23">
        <v>0.0</v>
      </c>
      <c r="G248" s="24" t="str">
        <f>IFERROR(__xludf.DUMMYFUNCTION("REGEXEXTRACT(C248, ""ک\s(\d{16})"")"),"6037998250354395")</f>
        <v>6037998250354395</v>
      </c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25.5" customHeight="1">
      <c r="A249" s="19">
        <v>248.0</v>
      </c>
      <c r="B249" s="19" t="s">
        <v>753</v>
      </c>
      <c r="C249" s="21" t="s">
        <v>755</v>
      </c>
      <c r="D249" s="21" t="str">
        <f>VLOOKUP(G249, Cards!A:B, 2, FALSE)</f>
        <v>#N/A</v>
      </c>
      <c r="E249" s="22">
        <v>5.18E7</v>
      </c>
      <c r="F249" s="23">
        <v>0.0</v>
      </c>
      <c r="G249" s="24" t="str">
        <f>IFERROR(__xludf.DUMMYFUNCTION("REGEXEXTRACT(C249, ""ک\s(\d{16})"")"),"#N/A")</f>
        <v>#N/A</v>
      </c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25.5" customHeight="1">
      <c r="A250" s="19">
        <v>249.0</v>
      </c>
      <c r="B250" s="19" t="s">
        <v>753</v>
      </c>
      <c r="C250" s="21" t="s">
        <v>759</v>
      </c>
      <c r="D250" s="21" t="str">
        <f>VLOOKUP(G250, Cards!A:B, 2, FALSE)</f>
        <v>#N/A</v>
      </c>
      <c r="E250" s="22">
        <v>0.0</v>
      </c>
      <c r="F250" s="23">
        <v>2000000.0</v>
      </c>
      <c r="G250" s="24" t="str">
        <f>IFERROR(__xludf.DUMMYFUNCTION("REGEXEXTRACT(C250, ""ک\s(\d{16})"")"),"6219861085979838")</f>
        <v>6219861085979838</v>
      </c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25.5" customHeight="1">
      <c r="A251" s="19">
        <v>250.0</v>
      </c>
      <c r="B251" s="19" t="s">
        <v>753</v>
      </c>
      <c r="C251" s="21" t="s">
        <v>762</v>
      </c>
      <c r="D251" s="21" t="str">
        <f>VLOOKUP(G251, Cards!A:B, 2, FALSE)</f>
        <v>#N/A</v>
      </c>
      <c r="E251" s="22">
        <v>0.0</v>
      </c>
      <c r="F251" s="23">
        <v>1.31012E7</v>
      </c>
      <c r="G251" s="24" t="str">
        <f>IFERROR(__xludf.DUMMYFUNCTION("REGEXEXTRACT(C251, ""ک\s(\d{16})"")"),"6219861085979838")</f>
        <v>6219861085979838</v>
      </c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25.5" customHeight="1">
      <c r="A252" s="19">
        <v>251.0</v>
      </c>
      <c r="B252" s="19" t="s">
        <v>753</v>
      </c>
      <c r="C252" s="21" t="s">
        <v>765</v>
      </c>
      <c r="D252" s="21" t="str">
        <f>VLOOKUP(G252, Cards!A:B, 2, FALSE)</f>
        <v>#N/A</v>
      </c>
      <c r="E252" s="22">
        <v>0.0</v>
      </c>
      <c r="F252" s="23">
        <v>6061818.0</v>
      </c>
      <c r="G252" s="24" t="str">
        <f>IFERROR(__xludf.DUMMYFUNCTION("REGEXEXTRACT(C252, ""ک\s(\d{16})"")"),"6219861085979838")</f>
        <v>6219861085979838</v>
      </c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25.5" customHeight="1">
      <c r="A253" s="19">
        <v>252.0</v>
      </c>
      <c r="B253" s="19" t="s">
        <v>753</v>
      </c>
      <c r="C253" s="21" t="s">
        <v>768</v>
      </c>
      <c r="D253" s="21" t="str">
        <f>VLOOKUP(G253, Cards!A:B, 2, FALSE)</f>
        <v>#N/A</v>
      </c>
      <c r="E253" s="22">
        <v>0.0</v>
      </c>
      <c r="F253" s="23">
        <v>1.01012E7</v>
      </c>
      <c r="G253" s="24" t="str">
        <f>IFERROR(__xludf.DUMMYFUNCTION("REGEXEXTRACT(C253, ""ک\s(\d{16})"")"),"6219861085979838")</f>
        <v>6219861085979838</v>
      </c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25.5" customHeight="1">
      <c r="A254" s="19">
        <v>253.0</v>
      </c>
      <c r="B254" s="19" t="s">
        <v>753</v>
      </c>
      <c r="C254" s="21" t="s">
        <v>771</v>
      </c>
      <c r="D254" s="21" t="str">
        <f>VLOOKUP(G254, Cards!A:B, 2, FALSE)</f>
        <v>#N/A</v>
      </c>
      <c r="E254" s="22">
        <v>0.0</v>
      </c>
      <c r="F254" s="23">
        <v>771000.0</v>
      </c>
      <c r="G254" s="24" t="str">
        <f>IFERROR(__xludf.DUMMYFUNCTION("REGEXEXTRACT(C254, ""ک\s(\d{16})"")"),"6219861085979838")</f>
        <v>6219861085979838</v>
      </c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25.5" customHeight="1">
      <c r="A255" s="19">
        <v>254.0</v>
      </c>
      <c r="B255" s="19" t="s">
        <v>753</v>
      </c>
      <c r="C255" s="21" t="s">
        <v>774</v>
      </c>
      <c r="D255" s="21" t="str">
        <f>VLOOKUP(G255, Cards!A:B, 2, FALSE)</f>
        <v>#N/A</v>
      </c>
      <c r="E255" s="22">
        <v>950000.0</v>
      </c>
      <c r="F255" s="23">
        <v>0.0</v>
      </c>
      <c r="G255" s="24" t="str">
        <f>IFERROR(__xludf.DUMMYFUNCTION("REGEXEXTRACT(C255, ""ک\s(\d{16})"")"),"5859831035035384")</f>
        <v>5859831035035384</v>
      </c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25.5" customHeight="1">
      <c r="A256" s="19">
        <v>255.0</v>
      </c>
      <c r="B256" s="19" t="s">
        <v>753</v>
      </c>
      <c r="C256" s="21" t="s">
        <v>777</v>
      </c>
      <c r="D256" s="21" t="str">
        <f>VLOOKUP(G256, Cards!A:B, 2, FALSE)</f>
        <v>#N/A</v>
      </c>
      <c r="E256" s="22">
        <v>0.0</v>
      </c>
      <c r="F256" s="23">
        <v>2150000.0</v>
      </c>
      <c r="G256" s="24" t="str">
        <f>IFERROR(__xludf.DUMMYFUNCTION("REGEXEXTRACT(C256, ""ک\s(\d{16})"")"),"6219861085979838")</f>
        <v>6219861085979838</v>
      </c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25.5" customHeight="1">
      <c r="A257" s="19">
        <v>256.0</v>
      </c>
      <c r="B257" s="19" t="s">
        <v>753</v>
      </c>
      <c r="C257" s="21" t="s">
        <v>780</v>
      </c>
      <c r="D257" s="21" t="str">
        <f>VLOOKUP(G257, Cards!A:B, 2, FALSE)</f>
        <v>#N/A</v>
      </c>
      <c r="E257" s="22">
        <v>0.0</v>
      </c>
      <c r="F257" s="23">
        <v>1800.0</v>
      </c>
      <c r="G257" s="24" t="str">
        <f>IFERROR(__xludf.DUMMYFUNCTION("REGEXEXTRACT(C257, ""ک\s(\d{16})"")"),"6219861085979838")</f>
        <v>6219861085979838</v>
      </c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25.5" customHeight="1">
      <c r="A258" s="19">
        <v>257.0</v>
      </c>
      <c r="B258" s="19" t="s">
        <v>753</v>
      </c>
      <c r="C258" s="21" t="s">
        <v>783</v>
      </c>
      <c r="D258" s="21" t="str">
        <f>VLOOKUP(G258, Cards!A:B, 2, FALSE)</f>
        <v>#N/A</v>
      </c>
      <c r="E258" s="22">
        <v>1800000.0</v>
      </c>
      <c r="F258" s="23">
        <v>0.0</v>
      </c>
      <c r="G258" s="24" t="str">
        <f>IFERROR(__xludf.DUMMYFUNCTION("REGEXEXTRACT(C258, ""ک\s(\d{16})"")"),"5859831157250340")</f>
        <v>5859831157250340</v>
      </c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25.5" customHeight="1">
      <c r="A259" s="19">
        <v>258.0</v>
      </c>
      <c r="B259" s="19" t="s">
        <v>753</v>
      </c>
      <c r="C259" s="21" t="s">
        <v>786</v>
      </c>
      <c r="D259" s="21" t="str">
        <f>VLOOKUP(G259, Cards!A:B, 2, FALSE)</f>
        <v>#N/A</v>
      </c>
      <c r="E259" s="22">
        <v>0.0</v>
      </c>
      <c r="F259" s="23">
        <v>2300000.0</v>
      </c>
      <c r="G259" s="24" t="str">
        <f>IFERROR(__xludf.DUMMYFUNCTION("REGEXEXTRACT(C259, ""ک\s(\d{16})"")"),"6219861085979838")</f>
        <v>6219861085979838</v>
      </c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25.5" customHeight="1">
      <c r="A260" s="19">
        <v>259.0</v>
      </c>
      <c r="B260" s="19" t="s">
        <v>753</v>
      </c>
      <c r="C260" s="21" t="s">
        <v>789</v>
      </c>
      <c r="D260" s="21" t="str">
        <f>VLOOKUP(G260, Cards!A:B, 2, FALSE)</f>
        <v>#N/A</v>
      </c>
      <c r="E260" s="22">
        <v>450000.0</v>
      </c>
      <c r="F260" s="23">
        <v>0.0</v>
      </c>
      <c r="G260" s="24" t="str">
        <f>IFERROR(__xludf.DUMMYFUNCTION("REGEXEXTRACT(C260, ""ک\s(\d{16})"")"),"#N/A")</f>
        <v>#N/A</v>
      </c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25.5" customHeight="1">
      <c r="A261" s="19">
        <v>260.0</v>
      </c>
      <c r="B261" s="19" t="s">
        <v>753</v>
      </c>
      <c r="C261" s="21" t="s">
        <v>792</v>
      </c>
      <c r="D261" s="21" t="str">
        <f>VLOOKUP(G261, Cards!A:B, 2, FALSE)</f>
        <v>#N/A</v>
      </c>
      <c r="E261" s="22">
        <v>0.0</v>
      </c>
      <c r="F261" s="23">
        <v>1800.0</v>
      </c>
      <c r="G261" s="24" t="str">
        <f>IFERROR(__xludf.DUMMYFUNCTION("REGEXEXTRACT(C261, ""ک\s(\d{16})"")"),"6219861085979838")</f>
        <v>6219861085979838</v>
      </c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25.5" customHeight="1">
      <c r="A262" s="19">
        <v>261.0</v>
      </c>
      <c r="B262" s="19" t="s">
        <v>794</v>
      </c>
      <c r="C262" s="21" t="s">
        <v>796</v>
      </c>
      <c r="D262" s="21" t="str">
        <f>VLOOKUP(G262, Cards!A:B, 2, FALSE)</f>
        <v>#N/A</v>
      </c>
      <c r="E262" s="22">
        <v>6.7E7</v>
      </c>
      <c r="F262" s="23">
        <v>0.0</v>
      </c>
      <c r="G262" s="24" t="str">
        <f>IFERROR(__xludf.DUMMYFUNCTION("REGEXEXTRACT(C262, ""ک\s(\d{16})"")"),"#N/A")</f>
        <v>#N/A</v>
      </c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25.5" customHeight="1">
      <c r="A263" s="19">
        <v>262.0</v>
      </c>
      <c r="B263" s="19" t="s">
        <v>794</v>
      </c>
      <c r="C263" s="21" t="s">
        <v>800</v>
      </c>
      <c r="D263" s="21" t="str">
        <f>VLOOKUP(G263, Cards!A:B, 2, FALSE)</f>
        <v>#N/A</v>
      </c>
      <c r="E263" s="22">
        <v>0.0</v>
      </c>
      <c r="F263" s="23">
        <v>5.00526E7</v>
      </c>
      <c r="G263" s="24" t="str">
        <f>IFERROR(__xludf.DUMMYFUNCTION("REGEXEXTRACT(C263, ""ک\s(\d{16})"")"),"6219861085979838")</f>
        <v>6219861085979838</v>
      </c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25.5" customHeight="1">
      <c r="A264" s="19">
        <v>263.0</v>
      </c>
      <c r="B264" s="19" t="s">
        <v>794</v>
      </c>
      <c r="C264" s="21" t="s">
        <v>803</v>
      </c>
      <c r="D264" s="21" t="str">
        <f>VLOOKUP(G264, Cards!A:B, 2, FALSE)</f>
        <v>#N/A</v>
      </c>
      <c r="E264" s="22">
        <v>0.0</v>
      </c>
      <c r="F264" s="23">
        <v>800000.0</v>
      </c>
      <c r="G264" s="24" t="str">
        <f>IFERROR(__xludf.DUMMYFUNCTION("REGEXEXTRACT(C264, ""ک\s(\d{16})"")"),"6219861085979838")</f>
        <v>6219861085979838</v>
      </c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25.5" customHeight="1">
      <c r="A265" s="19">
        <v>264.0</v>
      </c>
      <c r="B265" s="19" t="s">
        <v>794</v>
      </c>
      <c r="C265" s="21" t="s">
        <v>806</v>
      </c>
      <c r="D265" s="21" t="str">
        <f>VLOOKUP(G265, Cards!A:B, 2, FALSE)</f>
        <v>#N/A</v>
      </c>
      <c r="E265" s="22">
        <v>0.0</v>
      </c>
      <c r="F265" s="23">
        <v>1.55E7</v>
      </c>
      <c r="G265" s="24" t="str">
        <f>IFERROR(__xludf.DUMMYFUNCTION("REGEXEXTRACT(C265, ""ک\s(\d{16})"")"),"6037697600840968")</f>
        <v>6037697600840968</v>
      </c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25.5" customHeight="1">
      <c r="A266" s="19">
        <v>265.0</v>
      </c>
      <c r="B266" s="19" t="s">
        <v>794</v>
      </c>
      <c r="C266" s="21" t="s">
        <v>808</v>
      </c>
      <c r="D266" s="21" t="str">
        <f>VLOOKUP(G266, Cards!A:B, 2, FALSE)</f>
        <v>#N/A</v>
      </c>
      <c r="E266" s="22">
        <v>0.0</v>
      </c>
      <c r="F266" s="23">
        <v>12200.0</v>
      </c>
      <c r="G266" s="24" t="str">
        <f>IFERROR(__xludf.DUMMYFUNCTION("REGEXEXTRACT(C266, ""ک\s(\d{16})"")"),"6219861085979838")</f>
        <v>6219861085979838</v>
      </c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25.5" customHeight="1">
      <c r="A267" s="19">
        <v>266.0</v>
      </c>
      <c r="B267" s="19" t="s">
        <v>794</v>
      </c>
      <c r="C267" s="21" t="s">
        <v>810</v>
      </c>
      <c r="D267" s="21" t="str">
        <f>VLOOKUP(G267, Cards!A:B, 2, FALSE)</f>
        <v>#N/A</v>
      </c>
      <c r="E267" s="22">
        <v>900000.0</v>
      </c>
      <c r="F267" s="23">
        <v>0.0</v>
      </c>
      <c r="G267" s="24" t="str">
        <f>IFERROR(__xludf.DUMMYFUNCTION("REGEXEXTRACT(C267, ""ک\s(\d{16})"")"),"6104338785410909")</f>
        <v>6104338785410909</v>
      </c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25.5" customHeight="1">
      <c r="A268" s="19">
        <v>267.0</v>
      </c>
      <c r="B268" s="19" t="s">
        <v>794</v>
      </c>
      <c r="C268" s="21" t="s">
        <v>813</v>
      </c>
      <c r="D268" s="21" t="str">
        <f>VLOOKUP(G268, Cards!A:B, 2, FALSE)</f>
        <v>#N/A</v>
      </c>
      <c r="E268" s="22">
        <v>0.0</v>
      </c>
      <c r="F268" s="23">
        <v>6800000.0</v>
      </c>
      <c r="G268" s="24" t="str">
        <f>IFERROR(__xludf.DUMMYFUNCTION("REGEXEXTRACT(C268, ""ک\s(\d{16})"")"),"#N/A")</f>
        <v>#N/A</v>
      </c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25.5" customHeight="1">
      <c r="A269" s="19">
        <v>268.0</v>
      </c>
      <c r="B269" s="19" t="s">
        <v>794</v>
      </c>
      <c r="C269" s="21" t="s">
        <v>817</v>
      </c>
      <c r="D269" s="21" t="str">
        <f>VLOOKUP(G269, Cards!A:B, 2, FALSE)</f>
        <v>#N/A</v>
      </c>
      <c r="E269" s="22">
        <v>0.0</v>
      </c>
      <c r="F269" s="23">
        <v>7500000.0</v>
      </c>
      <c r="G269" s="24" t="str">
        <f>IFERROR(__xludf.DUMMYFUNCTION("REGEXEXTRACT(C269, ""ک\s(\d{16})"")"),"#N/A")</f>
        <v>#N/A</v>
      </c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25.5" customHeight="1">
      <c r="A270" s="19">
        <v>269.0</v>
      </c>
      <c r="B270" s="19" t="s">
        <v>794</v>
      </c>
      <c r="C270" s="21" t="s">
        <v>821</v>
      </c>
      <c r="D270" s="21" t="str">
        <f>VLOOKUP(G270, Cards!A:B, 2, FALSE)</f>
        <v>#N/A</v>
      </c>
      <c r="E270" s="22">
        <v>0.0</v>
      </c>
      <c r="F270" s="23">
        <v>1800.0</v>
      </c>
      <c r="G270" s="24" t="str">
        <f>IFERROR(__xludf.DUMMYFUNCTION("REGEXEXTRACT(C270, ""ک\s(\d{16})"")"),"6219861085979838")</f>
        <v>6219861085979838</v>
      </c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25.5" customHeight="1">
      <c r="A271" s="19">
        <v>270.0</v>
      </c>
      <c r="B271" s="19" t="s">
        <v>794</v>
      </c>
      <c r="C271" s="21" t="s">
        <v>824</v>
      </c>
      <c r="D271" s="21" t="str">
        <f>VLOOKUP(G271, Cards!A:B, 2, FALSE)</f>
        <v>#N/A</v>
      </c>
      <c r="E271" s="22">
        <v>0.0</v>
      </c>
      <c r="F271" s="23">
        <v>2000000.0</v>
      </c>
      <c r="G271" s="24" t="str">
        <f>IFERROR(__xludf.DUMMYFUNCTION("REGEXEXTRACT(C271, ""ک\s(\d{16})"")"),"5029081028402846")</f>
        <v>5029081028402846</v>
      </c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25.5" customHeight="1">
      <c r="A272" s="19">
        <v>271.0</v>
      </c>
      <c r="B272" s="19" t="s">
        <v>794</v>
      </c>
      <c r="C272" s="21" t="s">
        <v>826</v>
      </c>
      <c r="D272" s="21" t="str">
        <f>VLOOKUP(G272, Cards!A:B, 2, FALSE)</f>
        <v>#N/A</v>
      </c>
      <c r="E272" s="22">
        <v>0.0</v>
      </c>
      <c r="F272" s="23">
        <v>9000.0</v>
      </c>
      <c r="G272" s="24" t="str">
        <f>IFERROR(__xludf.DUMMYFUNCTION("REGEXEXTRACT(C272, ""ک\s(\d{16})"")"),"6219861085979838")</f>
        <v>6219861085979838</v>
      </c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25.5" customHeight="1">
      <c r="A273" s="19">
        <v>272.0</v>
      </c>
      <c r="B273" s="19" t="s">
        <v>794</v>
      </c>
      <c r="C273" s="21" t="s">
        <v>828</v>
      </c>
      <c r="D273" s="21" t="str">
        <f>VLOOKUP(G273, Cards!A:B, 2, FALSE)</f>
        <v>#N/A</v>
      </c>
      <c r="E273" s="22">
        <v>0.0</v>
      </c>
      <c r="F273" s="23">
        <v>2000000.0</v>
      </c>
      <c r="G273" s="24" t="str">
        <f>IFERROR(__xludf.DUMMYFUNCTION("REGEXEXTRACT(C273, ""ک\s(\d{16})"")"),"6037697697566260")</f>
        <v>6037697697566260</v>
      </c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25.5" customHeight="1">
      <c r="A274" s="19">
        <v>273.0</v>
      </c>
      <c r="B274" s="19" t="s">
        <v>794</v>
      </c>
      <c r="C274" s="21" t="s">
        <v>830</v>
      </c>
      <c r="D274" s="21" t="str">
        <f>VLOOKUP(G274, Cards!A:B, 2, FALSE)</f>
        <v>#N/A</v>
      </c>
      <c r="E274" s="22">
        <v>0.0</v>
      </c>
      <c r="F274" s="23">
        <v>9000.0</v>
      </c>
      <c r="G274" s="24" t="str">
        <f>IFERROR(__xludf.DUMMYFUNCTION("REGEXEXTRACT(C274, ""ک\s(\d{16})"")"),"6219861085979838")</f>
        <v>6219861085979838</v>
      </c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25.5" customHeight="1">
      <c r="A275" s="19">
        <v>274.0</v>
      </c>
      <c r="B275" s="19" t="s">
        <v>831</v>
      </c>
      <c r="C275" s="21" t="s">
        <v>833</v>
      </c>
      <c r="D275" s="21" t="str">
        <f>VLOOKUP(G275, Cards!A:B, 2, FALSE)</f>
        <v>#N/A</v>
      </c>
      <c r="E275" s="22">
        <v>6.3E7</v>
      </c>
      <c r="F275" s="23">
        <v>0.0</v>
      </c>
      <c r="G275" s="24" t="str">
        <f>IFERROR(__xludf.DUMMYFUNCTION("REGEXEXTRACT(C275, ""ک\s(\d{16})"")"),"#N/A")</f>
        <v>#N/A</v>
      </c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25.5" customHeight="1">
      <c r="A276" s="19">
        <v>275.0</v>
      </c>
      <c r="B276" s="19" t="s">
        <v>831</v>
      </c>
      <c r="C276" s="21" t="s">
        <v>837</v>
      </c>
      <c r="D276" s="21" t="str">
        <f>VLOOKUP(G276, Cards!A:B, 2, FALSE)</f>
        <v>#N/A</v>
      </c>
      <c r="E276" s="22">
        <v>0.0</v>
      </c>
      <c r="F276" s="23">
        <v>4000000.0</v>
      </c>
      <c r="G276" s="24" t="str">
        <f>IFERROR(__xludf.DUMMYFUNCTION("REGEXEXTRACT(C276, ""ک\s(\d{16})"")"),"5859831103338371")</f>
        <v>5859831103338371</v>
      </c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25.5" customHeight="1">
      <c r="A277" s="19">
        <v>276.0</v>
      </c>
      <c r="B277" s="19" t="s">
        <v>831</v>
      </c>
      <c r="C277" s="21" t="s">
        <v>839</v>
      </c>
      <c r="D277" s="21" t="str">
        <f>VLOOKUP(G277, Cards!A:B, 2, FALSE)</f>
        <v>#N/A</v>
      </c>
      <c r="E277" s="22">
        <v>0.0</v>
      </c>
      <c r="F277" s="23">
        <v>9000.0</v>
      </c>
      <c r="G277" s="24" t="str">
        <f>IFERROR(__xludf.DUMMYFUNCTION("REGEXEXTRACT(C277, ""ک\s(\d{16})"")"),"6219861085979838")</f>
        <v>6219861085979838</v>
      </c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25.5" customHeight="1">
      <c r="A278" s="19">
        <v>277.0</v>
      </c>
      <c r="B278" s="19" t="s">
        <v>831</v>
      </c>
      <c r="C278" s="21" t="s">
        <v>841</v>
      </c>
      <c r="D278" s="21" t="str">
        <f>VLOOKUP(G278, Cards!A:B, 2, FALSE)</f>
        <v>#N/A</v>
      </c>
      <c r="E278" s="22">
        <v>0.0</v>
      </c>
      <c r="F278" s="23">
        <v>2.1168E7</v>
      </c>
      <c r="G278" s="24" t="str">
        <f>IFERROR(__xludf.DUMMYFUNCTION("REGEXEXTRACT(C278, ""ک\s(\d{16})"")"),"6104338738476148")</f>
        <v>6104338738476148</v>
      </c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25.5" customHeight="1">
      <c r="A279" s="19">
        <v>278.0</v>
      </c>
      <c r="B279" s="19" t="s">
        <v>831</v>
      </c>
      <c r="C279" s="21" t="s">
        <v>843</v>
      </c>
      <c r="D279" s="21" t="str">
        <f>VLOOKUP(G279, Cards!A:B, 2, FALSE)</f>
        <v>#N/A</v>
      </c>
      <c r="E279" s="22">
        <v>0.0</v>
      </c>
      <c r="F279" s="23">
        <v>15400.0</v>
      </c>
      <c r="G279" s="24" t="str">
        <f>IFERROR(__xludf.DUMMYFUNCTION("REGEXEXTRACT(C279, ""ک\s(\d{16})"")"),"6219861085979838")</f>
        <v>6219861085979838</v>
      </c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25.5" customHeight="1">
      <c r="A280" s="19">
        <v>279.0</v>
      </c>
      <c r="B280" s="19" t="s">
        <v>831</v>
      </c>
      <c r="C280" s="21" t="s">
        <v>845</v>
      </c>
      <c r="D280" s="21" t="str">
        <f>VLOOKUP(G280, Cards!A:B, 2, FALSE)</f>
        <v>#N/A</v>
      </c>
      <c r="E280" s="22">
        <v>0.0</v>
      </c>
      <c r="F280" s="23">
        <v>3.7E7</v>
      </c>
      <c r="G280" s="24" t="str">
        <f>IFERROR(__xludf.DUMMYFUNCTION("REGEXEXTRACT(C280, ""ک\s(\d{16})"")"),"6280238033262159")</f>
        <v>6280238033262159</v>
      </c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25.5" customHeight="1">
      <c r="A281" s="19">
        <v>280.0</v>
      </c>
      <c r="B281" s="19" t="s">
        <v>831</v>
      </c>
      <c r="C281" s="21" t="s">
        <v>847</v>
      </c>
      <c r="D281" s="21" t="str">
        <f>VLOOKUP(G281, Cards!A:B, 2, FALSE)</f>
        <v>#N/A</v>
      </c>
      <c r="E281" s="22">
        <v>0.0</v>
      </c>
      <c r="F281" s="23">
        <v>18600.0</v>
      </c>
      <c r="G281" s="24" t="str">
        <f>IFERROR(__xludf.DUMMYFUNCTION("REGEXEXTRACT(C281, ""ک\s(\d{16})"")"),"6219861085979838")</f>
        <v>6219861085979838</v>
      </c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25.5" customHeight="1">
      <c r="A282" s="19">
        <v>281.0</v>
      </c>
      <c r="B282" s="19" t="s">
        <v>831</v>
      </c>
      <c r="C282" s="21" t="s">
        <v>849</v>
      </c>
      <c r="D282" s="21" t="str">
        <f>VLOOKUP(G282, Cards!A:B, 2, FALSE)</f>
        <v>#N/A</v>
      </c>
      <c r="E282" s="22">
        <v>550000.0</v>
      </c>
      <c r="F282" s="23">
        <v>0.0</v>
      </c>
      <c r="G282" s="24" t="str">
        <f>IFERROR(__xludf.DUMMYFUNCTION("REGEXEXTRACT(C282, ""ک\s(\d{16})"")"),"6037998155356842")</f>
        <v>6037998155356842</v>
      </c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25.5" customHeight="1">
      <c r="A283" s="19">
        <v>282.0</v>
      </c>
      <c r="B283" s="19" t="s">
        <v>831</v>
      </c>
      <c r="C283" s="21" t="s">
        <v>852</v>
      </c>
      <c r="D283" s="21" t="str">
        <f>VLOOKUP(G283, Cards!A:B, 2, FALSE)</f>
        <v>#N/A</v>
      </c>
      <c r="E283" s="22">
        <v>1400000.0</v>
      </c>
      <c r="F283" s="23">
        <v>0.0</v>
      </c>
      <c r="G283" s="24" t="str">
        <f>IFERROR(__xludf.DUMMYFUNCTION("REGEXEXTRACT(C283, ""ک\s(\d{16})"")"),"6037998250354395")</f>
        <v>6037998250354395</v>
      </c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</sheetData>
  <drawing r:id="rId1"/>
</worksheet>
</file>